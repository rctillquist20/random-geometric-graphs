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e7d936c5b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2cd5c6bf06694a13"/>
    <x:sheet xmlns:r="http://schemas.openxmlformats.org/officeDocument/2006/relationships" name="Dashboard" sheetId="2" r:id="Rbfac6dbd1f4944f4"/>
    <x:sheet xmlns:r="http://schemas.openxmlformats.org/officeDocument/2006/relationships" name="Method Summary" sheetId="3" r:id="R168d94e751c44a0e"/>
    <x:sheet xmlns:r="http://schemas.openxmlformats.org/officeDocument/2006/relationships" name="By Configuration" sheetId="4" r:id="Rda747e88b8114ae9"/>
    <x:sheet xmlns:r="http://schemas.openxmlformats.org/officeDocument/2006/relationships" name="Pair &amp; Repair" sheetId="5" r:id="R665de2b64e6845e8"/>
    <x:sheet xmlns:r="http://schemas.openxmlformats.org/officeDocument/2006/relationships" name="Research Notes" sheetId="6" r:id="Rdb3e5c7a8bbf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0"/>
    <x:numFmt numFmtId="203" formatCode="0.0000"/>
    <x:numFmt numFmtId="204" formatCode="0.00"/>
    <x:numFmt numFmtId="205" formatCode="0.0"/>
    <x:numFmt numFmtId="206" formatCode="0.00000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365D"/>
      <x:name val="Carlito"/>
    </x:font>
    <x:font>
      <x:b/>
      <x:sz val="9"/>
      <x:color rgb="FFFFFFFF"/>
      <x:name val="Carlito"/>
    </x:font>
    <x:font>
      <x:b/>
      <x:sz val="18"/>
      <x:color rgb="FF17365D"/>
      <x:name val="Carlito"/>
    </x:font>
    <x:font>
      <x:b/>
      <x:sz val="12"/>
      <x:color rgb="FFFFFFFF"/>
      <x:name val="Carlito"/>
    </x:font>
    <x:font>
      <x:sz val="9"/>
      <x:color rgb="FF1F1F1F"/>
      <x:name val="Carlito"/>
    </x:font>
    <x:font>
      <x:b/>
      <x:sz val="11"/>
      <x:color rgb="FF375623"/>
      <x:name val="Carlito"/>
    </x:font>
    <x:font>
      <x:b/>
      <x:sz val="9"/>
      <x:color rgb="FF2F75B5"/>
      <x:name val="Carlito"/>
    </x:font>
    <x:font>
      <x:b/>
      <x:sz val="9"/>
      <x:color rgb="FFED7D31"/>
      <x:name val="Carlito"/>
    </x:font>
    <x:font>
      <x:b/>
      <x:sz val="9"/>
      <x:color rgb="FF17365D"/>
      <x:name val="Carlito"/>
    </x:font>
    <x:font>
      <x:sz val="8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ED7D31"/>
      </x:patternFill>
    </x:fill>
    <x:fill>
      <x:patternFill patternType="solid">
        <x:fgColor rgb="FFE2F0D9"/>
      </x:patternFill>
    </x:fill>
    <x:fill>
      <x:patternFill patternType="solid">
        <x:fgColor rgb="FF666666"/>
      </x:patternFill>
    </x:fill>
    <x:fill>
      <x:patternFill patternType="solid">
        <x:fgColor rgb="FFBF9000"/>
      </x:patternFill>
    </x:fill>
    <x:fill>
      <x:patternFill patternType="solid">
        <x:fgColor rgb="FFEEF3F8"/>
      </x:patternFill>
    </x:fill>
  </x:fills>
  <x:borders count="30">
    <x:border/>
    <x:border/>
    <x:border>
      <x:left style="thin">
        <x:color rgb="FF2F75B5"/>
      </x:left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left style="thin">
        <x:color rgb="FF2F75B5"/>
      </x:left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</x:border>
    <x:border>
      <x:right style="medium">
        <x:color rgb="FF548235"/>
      </x:right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</x:borders>
  <x:cellStyleXfs count="1">
    <x:xf numFmtId="0" fontId="0" fillId="0" borderId="0"/>
  </x:cellStyleXfs>
  <x:cellXfs count="2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7" xfId="0" applyNumberFormat="1" applyFont="1" applyFill="1" applyBorder="1" applyAlignment="1">
      <x:alignment horizontal="center"/>
    </x:xf>
    <x:xf numFmtId="201" fontId="4" fillId="5" borderId="8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203" fontId="6" fillId="0" borderId="12" xfId="0" applyNumberFormat="1" applyFont="1" applyFill="1" applyBorder="1" applyAlignment="1">
      <x:alignment vertical="center"/>
    </x:xf>
    <x:xf numFmtId="203" fontId="6" fillId="0" borderId="13" xfId="0" applyNumberFormat="1" applyFont="1" applyFill="1" applyBorder="1" applyAlignment="1">
      <x:alignment vertical="center"/>
    </x:xf>
    <x:xf numFmtId="201" fontId="6" fillId="0" borderId="12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0" fontId="6" fillId="7" borderId="12" xfId="0" applyNumberFormat="1" applyFont="1" applyFill="1" applyBorder="1" applyAlignment="1">
      <x:alignment vertical="center"/>
    </x:xf>
    <x:xf numFmtId="202" fontId="6" fillId="7" borderId="12" xfId="0" applyNumberFormat="1" applyFont="1" applyFill="1" applyBorder="1" applyAlignment="1">
      <x:alignment vertical="center"/>
    </x:xf>
    <x:xf numFmtId="203" fontId="6" fillId="7" borderId="12" xfId="0" applyNumberFormat="1" applyFont="1" applyFill="1" applyBorder="1" applyAlignment="1">
      <x:alignment vertical="center"/>
    </x:xf>
    <x:xf numFmtId="201" fontId="6" fillId="7" borderId="12" xfId="0" applyNumberFormat="1" applyFont="1" applyFill="1" applyBorder="1" applyAlignment="1">
      <x:alignment vertical="center"/>
    </x:xf>
    <x:xf numFmtId="0" fontId="6" fillId="7" borderId="13" xfId="0" applyNumberFormat="1" applyFont="1" applyFill="1" applyBorder="1" applyAlignment="1">
      <x:alignment vertical="center"/>
    </x:xf>
    <x:xf numFmtId="202" fontId="6" fillId="7" borderId="13" xfId="0" applyNumberFormat="1" applyFont="1" applyFill="1" applyBorder="1" applyAlignment="1">
      <x:alignment vertical="center"/>
    </x:xf>
    <x:xf numFmtId="203" fontId="6" fillId="7" borderId="13" xfId="0" applyNumberFormat="1" applyFont="1" applyFill="1" applyBorder="1" applyAlignment="1">
      <x:alignment vertical="center"/>
    </x:xf>
    <x:xf numFmtId="201" fontId="6" fillId="7" borderId="1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4" fontId="6" fillId="0" borderId="13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8" xfId="0" applyNumberFormat="1" applyFont="1" applyFill="1" applyBorder="1"/>
    <x:xf numFmtId="0" fontId="7" fillId="9" borderId="19" xfId="0" applyNumberFormat="1" applyFont="1" applyFill="1" applyBorder="1"/>
    <x:xf numFmtId="0" fontId="7" fillId="9" borderId="20" xfId="0" applyNumberFormat="1" applyFont="1" applyFill="1" applyBorder="1"/>
    <x:xf numFmtId="0" fontId="7" fillId="9" borderId="21" xfId="0" applyNumberFormat="1" applyFont="1" applyFill="1" applyBorder="1"/>
    <x:xf numFmtId="0" fontId="7" fillId="9" borderId="22" xfId="0" applyNumberFormat="1" applyFont="1" applyFill="1" applyBorder="1"/>
    <x:xf numFmtId="0" fontId="7" fillId="9" borderId="23" xfId="0" applyNumberFormat="1" applyFont="1" applyFill="1" applyBorder="1"/>
    <x:xf numFmtId="0" fontId="7" fillId="9" borderId="24" xfId="0" applyNumberFormat="1" applyFont="1" applyFill="1" applyBorder="1"/>
    <x:xf numFmtId="0" fontId="7" fillId="9" borderId="25" xfId="0" applyNumberFormat="1" applyFont="1" applyFill="1" applyBorder="1"/>
    <x:xf numFmtId="0" fontId="7" fillId="9" borderId="26" xfId="0" applyNumberFormat="1" applyFont="1" applyFill="1" applyBorder="1"/>
    <x:xf numFmtId="0" fontId="7" fillId="9" borderId="27" xfId="0" applyNumberFormat="1" applyFont="1" applyFill="1" applyBorder="1"/>
    <x:xf numFmtId="0" fontId="7" fillId="9" borderId="28" xfId="0" applyNumberFormat="1" applyFont="1" applyFill="1" applyBorder="1"/>
    <x:xf numFmtId="0" fontId="7" fillId="9" borderId="29" xfId="0" applyNumberFormat="1" applyFont="1" applyFill="1" applyBorder="1"/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wrapText="1"/>
    </x:xf>
    <x:xf numFmtId="0" fontId="7" fillId="9" borderId="19" xfId="0" applyNumberFormat="1" applyFont="1" applyFill="1" applyBorder="1" applyAlignment="1">
      <x:alignment wrapText="1"/>
    </x:xf>
    <x:xf numFmtId="0" fontId="7" fillId="9" borderId="20" xfId="0" applyNumberFormat="1" applyFont="1" applyFill="1" applyBorder="1" applyAlignment="1">
      <x:alignment wrapText="1"/>
    </x:xf>
    <x:xf numFmtId="0" fontId="7" fillId="9" borderId="21" xfId="0" applyNumberFormat="1" applyFont="1" applyFill="1" applyBorder="1" applyAlignment="1">
      <x:alignment wrapText="1"/>
    </x:xf>
    <x:xf numFmtId="0" fontId="7" fillId="9" borderId="22" xfId="0" applyNumberFormat="1" applyFont="1" applyFill="1" applyBorder="1" applyAlignment="1">
      <x:alignment wrapText="1"/>
    </x:xf>
    <x:xf numFmtId="0" fontId="7" fillId="9" borderId="23" xfId="0" applyNumberFormat="1" applyFont="1" applyFill="1" applyBorder="1" applyAlignment="1">
      <x:alignment wrapText="1"/>
    </x:xf>
    <x:xf numFmtId="0" fontId="7" fillId="9" borderId="24" xfId="0" applyNumberFormat="1" applyFont="1" applyFill="1" applyBorder="1" applyAlignment="1">
      <x:alignment wrapText="1"/>
    </x:xf>
    <x:xf numFmtId="0" fontId="7" fillId="9" borderId="25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26" xfId="0" applyNumberFormat="1" applyFont="1" applyFill="1" applyBorder="1" applyAlignment="1">
      <x:alignment wrapText="1"/>
    </x:xf>
    <x:xf numFmtId="0" fontId="7" fillId="9" borderId="27" xfId="0" applyNumberFormat="1" applyFont="1" applyFill="1" applyBorder="1" applyAlignment="1">
      <x:alignment wrapText="1"/>
    </x:xf>
    <x:xf numFmtId="0" fontId="7" fillId="9" borderId="28" xfId="0" applyNumberFormat="1" applyFont="1" applyFill="1" applyBorder="1" applyAlignment="1">
      <x:alignment wrapText="1"/>
    </x:xf>
    <x:xf numFmtId="0" fontId="7" fillId="9" borderId="29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8" xfId="0" applyNumberFormat="1" applyFont="1" applyFill="1" applyBorder="1" applyAlignment="1">
      <x:alignment vertical="center" wrapText="1"/>
    </x:xf>
    <x:xf numFmtId="0" fontId="7" fillId="9" borderId="19" xfId="0" applyNumberFormat="1" applyFont="1" applyFill="1" applyBorder="1" applyAlignment="1">
      <x:alignment vertical="center" wrapText="1"/>
    </x:xf>
    <x:xf numFmtId="0" fontId="7" fillId="9" borderId="20" xfId="0" applyNumberFormat="1" applyFont="1" applyFill="1" applyBorder="1" applyAlignment="1">
      <x:alignment vertical="center" wrapText="1"/>
    </x:xf>
    <x:xf numFmtId="0" fontId="7" fillId="9" borderId="21" xfId="0" applyNumberFormat="1" applyFont="1" applyFill="1" applyBorder="1" applyAlignment="1">
      <x:alignment vertical="center" wrapText="1"/>
    </x:xf>
    <x:xf numFmtId="0" fontId="7" fillId="9" borderId="22" xfId="0" applyNumberFormat="1" applyFont="1" applyFill="1" applyBorder="1" applyAlignment="1">
      <x:alignment vertical="center" wrapText="1"/>
    </x:xf>
    <x:xf numFmtId="0" fontId="7" fillId="9" borderId="23" xfId="0" applyNumberFormat="1" applyFont="1" applyFill="1" applyBorder="1" applyAlignment="1">
      <x:alignment vertical="center" wrapText="1"/>
    </x:xf>
    <x:xf numFmtId="0" fontId="7" fillId="9" borderId="24" xfId="0" applyNumberFormat="1" applyFont="1" applyFill="1" applyBorder="1" applyAlignment="1">
      <x:alignment vertical="center" wrapText="1"/>
    </x:xf>
    <x:xf numFmtId="0" fontId="7" fillId="9" borderId="25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9" borderId="26" xfId="0" applyNumberFormat="1" applyFont="1" applyFill="1" applyBorder="1" applyAlignment="1">
      <x:alignment vertical="center" wrapText="1"/>
    </x:xf>
    <x:xf numFmtId="0" fontId="7" fillId="9" borderId="27" xfId="0" applyNumberFormat="1" applyFont="1" applyFill="1" applyBorder="1" applyAlignment="1">
      <x:alignment vertical="center" wrapText="1"/>
    </x:xf>
    <x:xf numFmtId="0" fontId="7" fillId="9" borderId="28" xfId="0" applyNumberFormat="1" applyFont="1" applyFill="1" applyBorder="1" applyAlignment="1">
      <x:alignment vertical="center" wrapText="1"/>
    </x:xf>
    <x:xf numFmtId="0" fontId="7" fillId="9" borderId="29" xfId="0" applyNumberFormat="1" applyFont="1" applyFill="1" applyBorder="1" applyAlignment="1">
      <x:alignment vertical="center" wrapText="1"/>
    </x:xf>
    <x:xf numFmtId="205" fontId="6" fillId="0" borderId="12" xfId="0" applyNumberFormat="1" applyFont="1" applyFill="1" applyBorder="1" applyAlignment="1">
      <x:alignment vertical="center"/>
    </x:xf>
    <x:xf numFmtId="205" fontId="6" fillId="0" borderId="13" xfId="0" applyNumberFormat="1" applyFont="1" applyFill="1" applyBorder="1" applyAlignment="1">
      <x:alignment vertical="center"/>
    </x:xf>
    <x:xf numFmtId="200" fontId="6" fillId="0" borderId="12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8" fillId="5" borderId="13" xfId="0" applyNumberFormat="1" applyFont="1" applyFill="1" applyBorder="1" applyAlignment="1">
      <x:alignment vertical="center"/>
    </x:xf>
    <x:xf numFmtId="0" fontId="9" fillId="7" borderId="12" xfId="0" applyNumberFormat="1" applyFont="1" applyFill="1" applyBorder="1" applyAlignment="1">
      <x:alignment vertical="center"/>
    </x:xf>
    <x:xf numFmtId="0" fontId="9" fillId="7" borderId="13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5" fillId="1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5" fillId="11" borderId="1" xfId="0" applyNumberFormat="1" applyFont="1" applyFill="1" applyBorder="1" applyAlignment="1">
      <x:alignment vertical="center"/>
    </x:xf>
    <x:xf numFmtId="0" fontId="6" fillId="12" borderId="12" xfId="0" applyNumberFormat="1" applyFont="1" applyFill="1" applyBorder="1" applyAlignment="1">
      <x:alignment vertical="center"/>
    </x:xf>
    <x:xf numFmtId="0" fontId="6" fillId="12" borderId="13" xfId="0" applyNumberFormat="1" applyFont="1" applyFill="1" applyBorder="1" applyAlignment="1">
      <x:alignment vertical="center"/>
    </x:xf>
    <x:xf numFmtId="0" fontId="10" fillId="12" borderId="12" xfId="0" applyNumberFormat="1" applyFont="1" applyFill="1" applyBorder="1" applyAlignment="1">
      <x:alignment vertical="center"/>
    </x:xf>
    <x:xf numFmtId="0" fontId="10" fillId="12" borderId="13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6" fontId="11" fillId="0" borderId="0" xfId="0" applyNumberFormat="1" applyFont="1" applyFill="1" applyBorder="1"/>
    <x:xf numFmtId="206" fontId="11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BF9000"/>
      </x:font>
      <x:fill>
        <x:patternFill patternType="solid">
          <x:bgColor rgb="FFFFF2CC"/>
        </x:patternFill>
      </x:fill>
    </x:dxf>
    <x:dxf>
      <x:font>
        <x:color rgb="FFBF9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0d6fc49484396" /><Relationship Type="http://schemas.openxmlformats.org/officeDocument/2006/relationships/theme" Target="/xl/theme/theme1.xml" Id="R0255c61f3c8d4474" /><Relationship Type="http://schemas.openxmlformats.org/officeDocument/2006/relationships/sharedStrings" Target="/xl/sharedStrings.xml" Id="Re7808f55db74402f" /><Relationship Type="http://schemas.openxmlformats.org/officeDocument/2006/relationships/worksheet" Target="/xl/worksheets/sheet1.xml" Id="R2cd5c6bf06694a13" /><Relationship Type="http://schemas.openxmlformats.org/officeDocument/2006/relationships/worksheet" Target="/xl/worksheets/sheet2.xml" Id="Rbfac6dbd1f4944f4" /><Relationship Type="http://schemas.openxmlformats.org/officeDocument/2006/relationships/worksheet" Target="/xl/worksheets/sheet3.xml" Id="R168d94e751c44a0e" /><Relationship Type="http://schemas.openxmlformats.org/officeDocument/2006/relationships/worksheet" Target="/xl/worksheets/sheet4.xml" Id="Rda747e88b8114ae9" /><Relationship Type="http://schemas.openxmlformats.org/officeDocument/2006/relationships/worksheet" Target="/xl/worksheets/sheet5.xml" Id="R665de2b64e6845e8" /><Relationship Type="http://schemas.openxmlformats.org/officeDocument/2006/relationships/worksheet" Target="/xl/worksheets/sheet6.xml" Id="Rdb3e5c7a8bbf44b1" /></Relationships>
</file>

<file path=xl/tables/table1.xml><?xml version="1.0" encoding="utf-8"?>
<x:table xmlns:x="http://schemas.openxmlformats.org/spreadsheetml/2006/main" id="6" name="RawBenchmarkData" displayName="RawBenchmarkData" ref="A1:CY65" headerRowCount="1" totalsRowCount="0" totalsRowShown="0">
  <x:tableColumns count="103">
    <x:tableColumn id="1" name="experiment_version"/>
    <x:tableColumn id="2" name="benchmark_seed"/>
    <x:tableColumn id="3" name="configuration_sequence"/>
    <x:tableColumn id="4" name="graph_sequence"/>
    <x:tableColumn id="5" name="graph_id"/>
    <x:tableColumn id="6" name="n"/>
    <x:tableColumn id="7" name="radius"/>
    <x:tableColumn id="8" name="repeat"/>
    <x:tableColumn id="9" name="graph_seed"/>
    <x:tableColumn id="10" name="graph_fingerprint_sha256"/>
    <x:tableColumn id="11" name="edge_count"/>
    <x:tableColumn id="12" name="component_count"/>
    <x:tableColumn id="13" name="largest_component_size"/>
    <x:tableColumn id="14" name="connected"/>
    <x:tableColumn id="15" name="isolated_node_count"/>
    <x:tableColumn id="16" name="average_degree"/>
    <x:tableColumn id="17" name="degree_population_stddev"/>
    <x:tableColumn id="18" name="minimum_degree"/>
    <x:tableColumn id="19" name="maximum_degree"/>
    <x:tableColumn id="20" name="edge_density"/>
    <x:tableColumn id="21" name="graph_generation_time_seconds"/>
    <x:tableColumn id="22" name="shared_preprocessing_time_seconds"/>
    <x:tableColumn id="23" name="shared_preprocessing_excluded_from_paired_times"/>
    <x:tableColumn id="24" name="method_reproducibility_check_performed"/>
    <x:tableColumn id="25" name="k_nearest"/>
    <x:tableColumn id="26" name="family"/>
    <x:tableColumn id="27" name="family_execution_position"/>
    <x:tableColumn id="28" name="family_execution_order"/>
    <x:tableColumn id="29" name="pair_seed"/>
    <x:tableColumn id="30" name="repair_seed"/>
    <x:tableColumn id="31" name="strategy_execution_order"/>
    <x:tableColumn id="32" name="entropy_original_pre_prune_size"/>
    <x:tableColumn id="33" name="entropy_original_size"/>
    <x:tableColumn id="34" name="entropy_original_time_seconds"/>
    <x:tableColumn id="35" name="entropy_original_valid"/>
    <x:tableColumn id="36" name="entropy_original_set_fingerprint"/>
    <x:tableColumn id="37" name="entropy_collisions_before_repair"/>
    <x:tableColumn id="38" name="entropy_repair_probe_count"/>
    <x:tableColumn id="39" name="entropy_repair_probe_list"/>
    <x:tableColumn id="40" name="entropy_repair_time_seconds"/>
    <x:tableColumn id="41" name="entropy_repaired_pre_prune_size"/>
    <x:tableColumn id="42" name="entropy_pruned_after_repair"/>
    <x:tableColumn id="43" name="entropy_collision_pairs_after_repair"/>
    <x:tableColumn id="44" name="entropy_repaired_size"/>
    <x:tableColumn id="45" name="entropy_repaired_total_time_seconds"/>
    <x:tableColumn id="46" name="entropy_repaired_valid"/>
    <x:tableColumn id="47" name="entropy_repaired_set_fingerprint"/>
    <x:tableColumn id="48" name="entropy_repaired_size_change_from_original"/>
    <x:tableColumn id="49" name="entropy_common_prune_input_size"/>
    <x:tableColumn id="50" name="entropy_common_pruned_count"/>
    <x:tableColumn id="51" name="entropy_common_prune_time_seconds"/>
    <x:tableColumn id="52" name="entropy_common_prune_reverted_for_exact_validity"/>
    <x:tableColumn id="53" name="entropy_final_size"/>
    <x:tableColumn id="54" name="entropy_final_total_time_seconds"/>
    <x:tableColumn id="55" name="entropy_final_valid"/>
    <x:tableColumn id="56" name="entropy_final_set_fingerprint"/>
    <x:tableColumn id="57" name="entropy_final_size_change_from_original"/>
    <x:tableColumn id="58" name="entropy_captured_stdout_characters"/>
    <x:tableColumn id="59" name="entropy_strategy_execution_position"/>
    <x:tableColumn id="60" name="collision_original_pre_prune_size"/>
    <x:tableColumn id="61" name="collision_original_size"/>
    <x:tableColumn id="62" name="collision_original_time_seconds"/>
    <x:tableColumn id="63" name="collision_original_valid"/>
    <x:tableColumn id="64" name="collision_original_set_fingerprint"/>
    <x:tableColumn id="65" name="collision_collisions_before_repair"/>
    <x:tableColumn id="66" name="collision_repair_probe_count"/>
    <x:tableColumn id="67" name="collision_repair_probe_list"/>
    <x:tableColumn id="68" name="collision_repair_time_seconds"/>
    <x:tableColumn id="69" name="collision_repaired_pre_prune_size"/>
    <x:tableColumn id="70" name="collision_pruned_after_repair"/>
    <x:tableColumn id="71" name="collision_collision_pairs_after_repair"/>
    <x:tableColumn id="72" name="collision_repaired_size"/>
    <x:tableColumn id="73" name="collision_repaired_total_time_seconds"/>
    <x:tableColumn id="74" name="collision_repaired_valid"/>
    <x:tableColumn id="75" name="collision_repaired_set_fingerprint"/>
    <x:tableColumn id="76" name="collision_repaired_size_change_from_original"/>
    <x:tableColumn id="77" name="collision_common_prune_input_size"/>
    <x:tableColumn id="78" name="collision_common_pruned_count"/>
    <x:tableColumn id="79" name="collision_common_prune_time_seconds"/>
    <x:tableColumn id="80" name="collision_common_prune_reverted_for_exact_validity"/>
    <x:tableColumn id="81" name="collision_final_size"/>
    <x:tableColumn id="82" name="collision_final_total_time_seconds"/>
    <x:tableColumn id="83" name="collision_final_valid"/>
    <x:tableColumn id="84" name="collision_final_set_fingerprint"/>
    <x:tableColumn id="85" name="collision_final_size_change_from_original"/>
    <x:tableColumn id="86" name="collision_captured_stdout_characters"/>
    <x:tableColumn id="87" name="collision_strategy_execution_position"/>
    <x:tableColumn id="88" name="both_original_valid"/>
    <x:tableColumn id="89" name="both_repaired_valid"/>
    <x:tableColumn id="90" name="both_final_valid"/>
    <x:tableColumn id="91" name="original_size_winner"/>
    <x:tableColumn id="92" name="final_size_difference_collision_minus_entropy"/>
    <x:tableColumn id="93" name="final_time_difference_collision_minus_entropy_seconds"/>
    <x:tableColumn id="94" name="collision_to_entropy_final_size_ratio"/>
    <x:tableColumn id="95" name="collision_to_entropy_final_time_ratio"/>
    <x:tableColumn id="96" name="collision_final_speedup_factor_vs_entropy"/>
    <x:tableColumn id="97" name="final_size_winner"/>
    <x:tableColumn id="98" name="final_faster_method"/>
    <x:tableColumn id="99" name="final_pareto_result"/>
    <x:tableColumn id="100" name="repair_need_comparison"/>
    <x:tableColumn id="101" name="raw_validity_comparison"/>
    <x:tableColumn id="102" name="large_final_size_gap_flag"/>
    <x:tableColumn id="103" name="large_final_time_gap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nnectedMethodSummary" displayName="ConnectedMethodSummary" ref="A5:N13" headerRowCount="1" totalsRowCount="0" totalsRowShown="0">
  <x:tableColumns count="14">
    <x:tableColumn id="1" name="Family"/>
    <x:tableColumn id="2" name="Strategy"/>
    <x:tableColumn id="3" name="Runs"/>
    <x:tableColumn id="4" name="Raw valid %"/>
    <x:tableColumn id="5" name="Repair needed %"/>
    <x:tableColumn id="6" name="Final valid %"/>
    <x:tableColumn id="7" name="Median final size"/>
    <x:tableColumn id="8" name="Mean final size"/>
    <x:tableColumn id="9" name="Median size / n"/>
    <x:tableColumn id="10" name="IQR size / n"/>
    <x:tableColumn id="11" name="Median total seconds"/>
    <x:tableColumn id="12" name="IQR total seconds"/>
    <x:tableColumn id="13" name="Repair probes added"/>
    <x:tableColumn id="14" name="Common-prune remova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nnectedPairSummary" displayName="ConnectedPairSummary" ref="A17:L21" headerRowCount="1" totalsRowCount="0" totalsRowShown="0">
  <x:tableColumns count="12">
    <x:tableColumn id="1" name="Family"/>
    <x:tableColumn id="2" name="Pairs"/>
    <x:tableColumn id="3" name="C size wins"/>
    <x:tableColumn id="4" name="Ties"/>
    <x:tableColumn id="5" name="C size losses"/>
    <x:tableColumn id="6" name="Median C−E"/>
    <x:tableColumn id="7" name="Mean C−E"/>
    <x:tableColumn id="8" name="C faster %"/>
    <x:tableColumn id="9" name="Median C/E time"/>
    <x:tableColumn id="10" name="C dominates"/>
    <x:tableColumn id="11" name="E dominates"/>
    <x:tableColumn id="12" name="Tradeoff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3" name="AllGraphMethodSummary" displayName="AllGraphMethodSummary" ref="A25:N33" headerRowCount="1" totalsRowCount="0" totalsRowShown="0">
  <x:tableColumns count="14">
    <x:tableColumn id="1" name="Family"/>
    <x:tableColumn id="2" name="Strategy"/>
    <x:tableColumn id="3" name="Runs"/>
    <x:tableColumn id="4" name="Raw valid %"/>
    <x:tableColumn id="5" name="Repair needed %"/>
    <x:tableColumn id="6" name="Final valid %"/>
    <x:tableColumn id="7" name="Median final size"/>
    <x:tableColumn id="8" name="Mean final size"/>
    <x:tableColumn id="9" name="Median size / n"/>
    <x:tableColumn id="10" name="IQR size / n"/>
    <x:tableColumn id="11" name="Median total seconds"/>
    <x:tableColumn id="12" name="IQR total seconds"/>
    <x:tableColumn id="13" name="Repair probes added"/>
    <x:tableColumn id="14" name="Common-prune remova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urationSummary" displayName="ConfigurationSummary" ref="A5:Q37" headerRowCount="1" totalsRowCount="0" totalsRowShown="0">
  <x:tableColumns count="17">
    <x:tableColumn id="1" name="n"/>
    <x:tableColumn id="2" name="Radius"/>
    <x:tableColumn id="3" name="Family"/>
    <x:tableColumn id="4" name="Strategy"/>
    <x:tableColumn id="5" name="Runs"/>
    <x:tableColumn id="6" name="Connected runs"/>
    <x:tableColumn id="7" name="Mean degree"/>
    <x:tableColumn id="8" name="Mean density"/>
    <x:tableColumn id="9" name="Raw valid %"/>
    <x:tableColumn id="10" name="Repair needed %"/>
    <x:tableColumn id="11" name="Final valid %"/>
    <x:tableColumn id="12" name="Common-prune removals"/>
    <x:tableColumn id="13" name="Median final size"/>
    <x:tableColumn id="14" name="Median size / n (all)"/>
    <x:tableColumn id="15" name="Median seconds (all)"/>
    <x:tableColumn id="16" name="Median size / n (connected)"/>
    <x:tableColumn id="17" name="Median seconds (connected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airRepairAudit" displayName="PairRepairAudit" ref="A5:AI69" headerRowCount="1" totalsRowCount="0" totalsRowShown="0">
  <x:tableColumns count="35">
    <x:tableColumn id="1" name="Graph ID"/>
    <x:tableColumn id="2" name="n"/>
    <x:tableColumn id="3" name="Radius"/>
    <x:tableColumn id="4" name="Repeat"/>
    <x:tableColumn id="5" name="Connected"/>
    <x:tableColumn id="6" name="Components"/>
    <x:tableColumn id="7" name="Avg degree"/>
    <x:tableColumn id="8" name="Density"/>
    <x:tableColumn id="9" name="Family"/>
    <x:tableColumn id="10" name="Strategy order"/>
    <x:tableColumn id="11" name="E raw valid"/>
    <x:tableColumn id="12" name="E raw size"/>
    <x:tableColumn id="13" name="E collisions"/>
    <x:tableColumn id="14" name="E repair probes"/>
    <x:tableColumn id="15" name="E repair pruned"/>
    <x:tableColumn id="16" name="E common pruned"/>
    <x:tableColumn id="17" name="E final size"/>
    <x:tableColumn id="18" name="E total sec"/>
    <x:tableColumn id="19" name="C raw valid"/>
    <x:tableColumn id="20" name="C raw size"/>
    <x:tableColumn id="21" name="C collisions"/>
    <x:tableColumn id="22" name="C repair probes"/>
    <x:tableColumn id="23" name="C repair pruned"/>
    <x:tableColumn id="24" name="C common pruned"/>
    <x:tableColumn id="25" name="C final size"/>
    <x:tableColumn id="26" name="C total sec"/>
    <x:tableColumn id="27" name="C−E size"/>
    <x:tableColumn id="28" name="C/E time"/>
    <x:tableColumn id="29" name="Size winner"/>
    <x:tableColumn id="30" name="Faster"/>
    <x:tableColumn id="31" name="Pareto"/>
    <x:tableColumn id="32" name="Repair comparison"/>
    <x:tableColumn id="33" name="Raw validity comparison"/>
    <x:tableColumn id="34" name="Large size flag"/>
    <x:tableColumn id="35" name="Large time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9df18b975d44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bd8ea0704e4318" /><Relationship Type="http://schemas.openxmlformats.org/officeDocument/2006/relationships/table" Target="/xl/tables/table3.xml" Id="R20864c78f20d47d5" /><Relationship Type="http://schemas.openxmlformats.org/officeDocument/2006/relationships/table" Target="/xl/tables/table4.xml" Id="Ra238887418c5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85ab2f6e0fb40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2589dbff28c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22" hidden="0" customWidth="1"/>
    <x:col min="29" max="29" width="12" hidden="0" customWidth="1"/>
    <x:col min="30" max="30" width="12" hidden="0" customWidth="1"/>
    <x:col min="31" max="31" width="2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8" hidden="0" customWidth="1"/>
    <x:col min="37" max="37" width="12" hidden="0" customWidth="1"/>
    <x:col min="38" max="38" width="12" hidden="0" customWidth="1"/>
    <x:col min="39" max="39" width="2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8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8" hidden="0" customWidth="1"/>
    <x:col min="65" max="65" width="12" hidden="0" customWidth="1"/>
    <x:col min="66" max="66" width="12" hidden="0" customWidth="1"/>
    <x:col min="67" max="67" width="2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8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</x:cols>
  <x:sheetData>
    <x:row r="1" ht="34" customHeight="1">
      <x:c r="A1" s="100" t="str">
        <x:v>experiment_version</x:v>
      </x:c>
      <x:c r="B1" s="100" t="str">
        <x:v>benchmark_seed</x:v>
      </x:c>
      <x:c r="C1" s="100" t="str">
        <x:v>configuration_sequence</x:v>
      </x:c>
      <x:c r="D1" s="100" t="str">
        <x:v>graph_sequence</x:v>
      </x:c>
      <x:c r="E1" s="100" t="str">
        <x:v>graph_id</x:v>
      </x:c>
      <x:c r="F1" s="100" t="str">
        <x:v>n</x:v>
      </x:c>
      <x:c r="G1" s="100" t="str">
        <x:v>radius</x:v>
      </x:c>
      <x:c r="H1" s="100" t="str">
        <x:v>repeat</x:v>
      </x:c>
      <x:c r="I1" s="100" t="str">
        <x:v>graph_seed</x:v>
      </x:c>
      <x:c r="J1" s="100" t="str">
        <x:v>graph_fingerprint_sha256</x:v>
      </x:c>
      <x:c r="K1" s="100" t="str">
        <x:v>edge_count</x:v>
      </x:c>
      <x:c r="L1" s="100" t="str">
        <x:v>component_count</x:v>
      </x:c>
      <x:c r="M1" s="100" t="str">
        <x:v>largest_component_size</x:v>
      </x:c>
      <x:c r="N1" s="100" t="str">
        <x:v>connected</x:v>
      </x:c>
      <x:c r="O1" s="100" t="str">
        <x:v>isolated_node_count</x:v>
      </x:c>
      <x:c r="P1" s="100" t="str">
        <x:v>average_degree</x:v>
      </x:c>
      <x:c r="Q1" s="100" t="str">
        <x:v>degree_population_stddev</x:v>
      </x:c>
      <x:c r="R1" s="100" t="str">
        <x:v>minimum_degree</x:v>
      </x:c>
      <x:c r="S1" s="100" t="str">
        <x:v>maximum_degree</x:v>
      </x:c>
      <x:c r="T1" s="100" t="str">
        <x:v>edge_density</x:v>
      </x:c>
      <x:c r="U1" s="100" t="str">
        <x:v>graph_generation_time_seconds</x:v>
      </x:c>
      <x:c r="V1" s="100" t="str">
        <x:v>shared_preprocessing_time_seconds</x:v>
      </x:c>
      <x:c r="W1" s="100" t="str">
        <x:v>shared_preprocessing_excluded_from_paired_times</x:v>
      </x:c>
      <x:c r="X1" s="100" t="str">
        <x:v>method_reproducibility_check_performed</x:v>
      </x:c>
      <x:c r="Y1" s="100" t="str">
        <x:v>k_nearest</x:v>
      </x:c>
      <x:c r="Z1" s="100" t="str">
        <x:v>family</x:v>
      </x:c>
      <x:c r="AA1" s="100" t="str">
        <x:v>family_execution_position</x:v>
      </x:c>
      <x:c r="AB1" s="100" t="str">
        <x:v>family_execution_order</x:v>
      </x:c>
      <x:c r="AC1" s="100" t="str">
        <x:v>pair_seed</x:v>
      </x:c>
      <x:c r="AD1" s="100" t="str">
        <x:v>repair_seed</x:v>
      </x:c>
      <x:c r="AE1" s="100" t="str">
        <x:v>strategy_execution_order</x:v>
      </x:c>
      <x:c r="AF1" s="100" t="str">
        <x:v>entropy_original_pre_prune_size</x:v>
      </x:c>
      <x:c r="AG1" s="100" t="str">
        <x:v>entropy_original_size</x:v>
      </x:c>
      <x:c r="AH1" s="100" t="str">
        <x:v>entropy_original_time_seconds</x:v>
      </x:c>
      <x:c r="AI1" s="100" t="str">
        <x:v>entropy_original_valid</x:v>
      </x:c>
      <x:c r="AJ1" s="100" t="str">
        <x:v>entropy_original_set_fingerprint</x:v>
      </x:c>
      <x:c r="AK1" s="100" t="str">
        <x:v>entropy_collisions_before_repair</x:v>
      </x:c>
      <x:c r="AL1" s="100" t="str">
        <x:v>entropy_repair_probe_count</x:v>
      </x:c>
      <x:c r="AM1" s="100" t="str">
        <x:v>entropy_repair_probe_list</x:v>
      </x:c>
      <x:c r="AN1" s="100" t="str">
        <x:v>entropy_repair_time_seconds</x:v>
      </x:c>
      <x:c r="AO1" s="100" t="str">
        <x:v>entropy_repaired_pre_prune_size</x:v>
      </x:c>
      <x:c r="AP1" s="100" t="str">
        <x:v>entropy_pruned_after_repair</x:v>
      </x:c>
      <x:c r="AQ1" s="100" t="str">
        <x:v>entropy_collision_pairs_after_repair</x:v>
      </x:c>
      <x:c r="AR1" s="100" t="str">
        <x:v>entropy_repaired_size</x:v>
      </x:c>
      <x:c r="AS1" s="100" t="str">
        <x:v>entropy_repaired_total_time_seconds</x:v>
      </x:c>
      <x:c r="AT1" s="100" t="str">
        <x:v>entropy_repaired_valid</x:v>
      </x:c>
      <x:c r="AU1" s="100" t="str">
        <x:v>entropy_repaired_set_fingerprint</x:v>
      </x:c>
      <x:c r="AV1" s="100" t="str">
        <x:v>entropy_repaired_size_change_from_original</x:v>
      </x:c>
      <x:c r="AW1" s="100" t="str">
        <x:v>entropy_common_prune_input_size</x:v>
      </x:c>
      <x:c r="AX1" s="100" t="str">
        <x:v>entropy_common_pruned_count</x:v>
      </x:c>
      <x:c r="AY1" s="100" t="str">
        <x:v>entropy_common_prune_time_seconds</x:v>
      </x:c>
      <x:c r="AZ1" s="100" t="str">
        <x:v>entropy_common_prune_reverted_for_exact_validity</x:v>
      </x:c>
      <x:c r="BA1" s="100" t="str">
        <x:v>entropy_final_size</x:v>
      </x:c>
      <x:c r="BB1" s="100" t="str">
        <x:v>entropy_final_total_time_seconds</x:v>
      </x:c>
      <x:c r="BC1" s="100" t="str">
        <x:v>entropy_final_valid</x:v>
      </x:c>
      <x:c r="BD1" s="100" t="str">
        <x:v>entropy_final_set_fingerprint</x:v>
      </x:c>
      <x:c r="BE1" s="100" t="str">
        <x:v>entropy_final_size_change_from_original</x:v>
      </x:c>
      <x:c r="BF1" s="100" t="str">
        <x:v>entropy_captured_stdout_characters</x:v>
      </x:c>
      <x:c r="BG1" s="100" t="str">
        <x:v>entropy_strategy_execution_position</x:v>
      </x:c>
      <x:c r="BH1" s="100" t="str">
        <x:v>collision_original_pre_prune_size</x:v>
      </x:c>
      <x:c r="BI1" s="100" t="str">
        <x:v>collision_original_size</x:v>
      </x:c>
      <x:c r="BJ1" s="100" t="str">
        <x:v>collision_original_time_seconds</x:v>
      </x:c>
      <x:c r="BK1" s="100" t="str">
        <x:v>collision_original_valid</x:v>
      </x:c>
      <x:c r="BL1" s="100" t="str">
        <x:v>collision_original_set_fingerprint</x:v>
      </x:c>
      <x:c r="BM1" s="100" t="str">
        <x:v>collision_collisions_before_repair</x:v>
      </x:c>
      <x:c r="BN1" s="100" t="str">
        <x:v>collision_repair_probe_count</x:v>
      </x:c>
      <x:c r="BO1" s="100" t="str">
        <x:v>collision_repair_probe_list</x:v>
      </x:c>
      <x:c r="BP1" s="100" t="str">
        <x:v>collision_repair_time_seconds</x:v>
      </x:c>
      <x:c r="BQ1" s="100" t="str">
        <x:v>collision_repaired_pre_prune_size</x:v>
      </x:c>
      <x:c r="BR1" s="100" t="str">
        <x:v>collision_pruned_after_repair</x:v>
      </x:c>
      <x:c r="BS1" s="100" t="str">
        <x:v>collision_collision_pairs_after_repair</x:v>
      </x:c>
      <x:c r="BT1" s="100" t="str">
        <x:v>collision_repaired_size</x:v>
      </x:c>
      <x:c r="BU1" s="100" t="str">
        <x:v>collision_repaired_total_time_seconds</x:v>
      </x:c>
      <x:c r="BV1" s="100" t="str">
        <x:v>collision_repaired_valid</x:v>
      </x:c>
      <x:c r="BW1" s="100" t="str">
        <x:v>collision_repaired_set_fingerprint</x:v>
      </x:c>
      <x:c r="BX1" s="100" t="str">
        <x:v>collision_repaired_size_change_from_original</x:v>
      </x:c>
      <x:c r="BY1" s="100" t="str">
        <x:v>collision_common_prune_input_size</x:v>
      </x:c>
      <x:c r="BZ1" s="100" t="str">
        <x:v>collision_common_pruned_count</x:v>
      </x:c>
      <x:c r="CA1" s="100" t="str">
        <x:v>collision_common_prune_time_seconds</x:v>
      </x:c>
      <x:c r="CB1" s="100" t="str">
        <x:v>collision_common_prune_reverted_for_exact_validity</x:v>
      </x:c>
      <x:c r="CC1" s="100" t="str">
        <x:v>collision_final_size</x:v>
      </x:c>
      <x:c r="CD1" s="100" t="str">
        <x:v>collision_final_total_time_seconds</x:v>
      </x:c>
      <x:c r="CE1" s="100" t="str">
        <x:v>collision_final_valid</x:v>
      </x:c>
      <x:c r="CF1" s="100" t="str">
        <x:v>collision_final_set_fingerprint</x:v>
      </x:c>
      <x:c r="CG1" s="100" t="str">
        <x:v>collision_final_size_change_from_original</x:v>
      </x:c>
      <x:c r="CH1" s="100" t="str">
        <x:v>collision_captured_stdout_characters</x:v>
      </x:c>
      <x:c r="CI1" s="100" t="str">
        <x:v>collision_strategy_execution_position</x:v>
      </x:c>
      <x:c r="CJ1" s="100" t="str">
        <x:v>both_original_valid</x:v>
      </x:c>
      <x:c r="CK1" s="100" t="str">
        <x:v>both_repaired_valid</x:v>
      </x:c>
      <x:c r="CL1" s="100" t="str">
        <x:v>both_final_valid</x:v>
      </x:c>
      <x:c r="CM1" s="100" t="str">
        <x:v>original_size_winner</x:v>
      </x:c>
      <x:c r="CN1" s="100" t="str">
        <x:v>final_size_difference_collision_minus_entropy</x:v>
      </x:c>
      <x:c r="CO1" s="100" t="str">
        <x:v>final_time_difference_collision_minus_entropy_seconds</x:v>
      </x:c>
      <x:c r="CP1" s="100" t="str">
        <x:v>collision_to_entropy_final_size_ratio</x:v>
      </x:c>
      <x:c r="CQ1" s="100" t="str">
        <x:v>collision_to_entropy_final_time_ratio</x:v>
      </x:c>
      <x:c r="CR1" s="100" t="str">
        <x:v>collision_final_speedup_factor_vs_entropy</x:v>
      </x:c>
      <x:c r="CS1" s="100" t="str">
        <x:v>final_size_winner</x:v>
      </x:c>
      <x:c r="CT1" s="100" t="str">
        <x:v>final_faster_method</x:v>
      </x:c>
      <x:c r="CU1" s="100" t="str">
        <x:v>final_pareto_result</x:v>
      </x:c>
      <x:c r="CV1" s="100" t="str">
        <x:v>repair_need_comparison</x:v>
      </x:c>
      <x:c r="CW1" s="100" t="str">
        <x:v>raw_validity_comparison</x:v>
      </x:c>
      <x:c r="CX1" s="100" t="str">
        <x:v>large_final_size_gap_flag</x:v>
      </x:c>
      <x:c r="CY1" s="100" t="str">
        <x:v>large_final_time_gap_flag</x:v>
      </x:c>
    </x:row>
    <x:row r="2">
      <x:c r="A2" s="228" t="str">
        <x:v>final-paired-v2</x:v>
      </x:c>
      <x:c r="B2" s="228" t="str">
        <x:v>20260819</x:v>
      </x:c>
      <x:c r="C2" s="228" t="str">
        <x:v>1</x:v>
      </x:c>
      <x:c r="D2" s="228" t="str">
        <x:v>1</x:v>
      </x:c>
      <x:c r="E2" s="228" t="str">
        <x:v>n1000_r0.1_repeat1</x:v>
      </x:c>
      <x:c r="F2" s="228" t="str">
        <x:v>1000</x:v>
      </x:c>
      <x:c r="G2" s="228" t="str">
        <x:v>0.1</x:v>
      </x:c>
      <x:c r="H2" s="228" t="str">
        <x:v>1</x:v>
      </x:c>
      <x:c r="I2" s="228" t="str">
        <x:v>2101606466</x:v>
      </x:c>
      <x:c r="J2" s="228" t="str">
        <x:v>065d712d10d89a22440ea45f06f1b927e92103d2d821564ce4e68e2b6da5b9a5</x:v>
      </x:c>
      <x:c r="K2" s="228" t="str">
        <x:v>14002</x:v>
      </x:c>
      <x:c r="L2" s="228" t="str">
        <x:v>1</x:v>
      </x:c>
      <x:c r="M2" s="228" t="str">
        <x:v>1000</x:v>
      </x:c>
      <x:c r="N2" s="228" t="str">
        <x:v>True</x:v>
      </x:c>
      <x:c r="O2" s="228" t="str">
        <x:v>0</x:v>
      </x:c>
      <x:c r="P2" s="228" t="str">
        <x:v>28.004</x:v>
      </x:c>
      <x:c r="Q2" s="228" t="str">
        <x:v>6.999713136979258</x:v>
      </x:c>
      <x:c r="R2" s="228" t="str">
        <x:v>9</x:v>
      </x:c>
      <x:c r="S2" s="228" t="str">
        <x:v>47</x:v>
      </x:c>
      <x:c r="T2" s="228" t="str">
        <x:v>0.02803203203203203</x:v>
      </x:c>
      <x:c r="U2" s="230" t="str">
        <x:v>0.3091965999919921</x:v>
      </x:c>
      <x:c r="V2" s="230" t="str">
        <x:v>0.05856040003709495</x:v>
      </x:c>
      <x:c r="W2" s="228" t="str">
        <x:v>True</x:v>
      </x:c>
      <x:c r="X2" s="228" t="str">
        <x:v>False</x:v>
      </x:c>
      <x:c r="Y2" s="228" t="str">
        <x:v>5</x:v>
      </x:c>
      <x:c r="Z2" s="228" t="str">
        <x:v>grid</x:v>
      </x:c>
      <x:c r="AA2" s="228" t="str">
        <x:v>1</x:v>
      </x:c>
      <x:c r="AB2" s="228" t="str">
        <x:v>grid,circle,zoomed,ich</x:v>
      </x:c>
      <x:c r="AC2" s="228" t="str">
        <x:v>3816063483</x:v>
      </x:c>
      <x:c r="AD2" s="228" t="str">
        <x:v>3816063483</x:v>
      </x:c>
      <x:c r="AE2" s="228" t="str">
        <x:v>entropy,collision</x:v>
      </x:c>
      <x:c r="AF2" s="228" t="str">
        <x:v>763</x:v>
      </x:c>
      <x:c r="AG2" s="228" t="str">
        <x:v>106</x:v>
      </x:c>
      <x:c r="AH2" s="230" t="str">
        <x:v>6.120914000086486</x:v>
      </x:c>
      <x:c r="AI2" s="228" t="str">
        <x:v>True</x:v>
      </x:c>
      <x:c r="AJ2" s="228" t="str">
        <x:v>d81bcf28f1df7fab150e4b35076b53012ab85a2a7780573a29014c93c5b82790</x:v>
      </x:c>
      <x:c r="AK2" s="228" t="str">
        <x:v>0</x:v>
      </x:c>
      <x:c r="AL2" s="228" t="str">
        <x:v>0</x:v>
      </x:c>
      <x:c r="AM2" s="228" t="str"/>
      <x:c r="AN2" s="230" t="str">
        <x:v>0.09328799997456372</x:v>
      </x:c>
      <x:c r="AO2" s="228" t="str">
        <x:v>106</x:v>
      </x:c>
      <x:c r="AP2" s="228" t="str">
        <x:v>0</x:v>
      </x:c>
      <x:c r="AQ2" s="228" t="str">
        <x:v>0</x:v>
      </x:c>
      <x:c r="AR2" s="228" t="str">
        <x:v>106</x:v>
      </x:c>
      <x:c r="AS2" s="228" t="str">
        <x:v>6.21420200006105</x:v>
      </x:c>
      <x:c r="AT2" s="228" t="str">
        <x:v>True</x:v>
      </x:c>
      <x:c r="AU2" s="228" t="str">
        <x:v>d81bcf28f1df7fab150e4b35076b53012ab85a2a7780573a29014c93c5b82790</x:v>
      </x:c>
      <x:c r="AV2" s="228" t="str">
        <x:v>0</x:v>
      </x:c>
      <x:c r="AW2" s="228" t="str">
        <x:v>106</x:v>
      </x:c>
      <x:c r="AX2" s="228" t="str">
        <x:v>0</x:v>
      </x:c>
      <x:c r="AY2" s="230" t="str">
        <x:v>0.08814360003452748</x:v>
      </x:c>
      <x:c r="AZ2" s="228" t="str">
        <x:v>False</x:v>
      </x:c>
      <x:c r="BA2" s="228" t="str">
        <x:v>106</x:v>
      </x:c>
      <x:c r="BB2" s="230" t="str">
        <x:v>6.3023456000955775</x:v>
      </x:c>
      <x:c r="BC2" s="228" t="str">
        <x:v>True</x:v>
      </x:c>
      <x:c r="BD2" s="228" t="str">
        <x:v>d81bcf28f1df7fab150e4b35076b53012ab85a2a7780573a29014c93c5b82790</x:v>
      </x:c>
      <x:c r="BE2" s="228" t="str">
        <x:v>0</x:v>
      </x:c>
      <x:c r="BF2" s="228" t="str">
        <x:v>0</x:v>
      </x:c>
      <x:c r="BG2" s="228" t="str">
        <x:v>1</x:v>
      </x:c>
      <x:c r="BH2" s="228" t="str">
        <x:v>331</x:v>
      </x:c>
      <x:c r="BI2" s="228" t="str">
        <x:v>100</x:v>
      </x:c>
      <x:c r="BJ2" s="230" t="str">
        <x:v>3.186721400008537</x:v>
      </x:c>
      <x:c r="BK2" s="228" t="str">
        <x:v>True</x:v>
      </x:c>
      <x:c r="BL2" s="228" t="str">
        <x:v>48c02fde2774a419fce512dacae3bad78bb05884fc61b62b5fa3b6e9cf77f185</x:v>
      </x:c>
      <x:c r="BM2" s="228" t="str">
        <x:v>0</x:v>
      </x:c>
      <x:c r="BN2" s="228" t="str">
        <x:v>0</x:v>
      </x:c>
      <x:c r="BO2" s="228" t="str"/>
      <x:c r="BP2" s="230" t="str">
        <x:v>0.06722999992780387</x:v>
      </x:c>
      <x:c r="BQ2" s="228" t="str">
        <x:v>100</x:v>
      </x:c>
      <x:c r="BR2" s="228" t="str">
        <x:v>0</x:v>
      </x:c>
      <x:c r="BS2" s="228" t="str">
        <x:v>0</x:v>
      </x:c>
      <x:c r="BT2" s="228" t="str">
        <x:v>100</x:v>
      </x:c>
      <x:c r="BU2" s="228" t="str">
        <x:v>3.2539513999363407</x:v>
      </x:c>
      <x:c r="BV2" s="228" t="str">
        <x:v>True</x:v>
      </x:c>
      <x:c r="BW2" s="228" t="str">
        <x:v>48c02fde2774a419fce512dacae3bad78bb05884fc61b62b5fa3b6e9cf77f185</x:v>
      </x:c>
      <x:c r="BX2" s="228" t="str">
        <x:v>0</x:v>
      </x:c>
      <x:c r="BY2" s="228" t="str">
        <x:v>100</x:v>
      </x:c>
      <x:c r="BZ2" s="228" t="str">
        <x:v>0</x:v>
      </x:c>
      <x:c r="CA2" s="230" t="str">
        <x:v>0.07464480004273355</x:v>
      </x:c>
      <x:c r="CB2" s="228" t="str">
        <x:v>False</x:v>
      </x:c>
      <x:c r="CC2" s="228" t="str">
        <x:v>100</x:v>
      </x:c>
      <x:c r="CD2" s="230" t="str">
        <x:v>3.3285961999790743</x:v>
      </x:c>
      <x:c r="CE2" s="228" t="str">
        <x:v>True</x:v>
      </x:c>
      <x:c r="CF2" s="228" t="str">
        <x:v>48c02fde2774a419fce512dacae3bad78bb05884fc61b62b5fa3b6e9cf77f185</x:v>
      </x:c>
      <x:c r="CG2" s="228" t="str">
        <x:v>0</x:v>
      </x:c>
      <x:c r="CH2" s="228" t="str">
        <x:v>0</x:v>
      </x:c>
      <x:c r="CI2" s="228" t="str">
        <x:v>2</x:v>
      </x:c>
      <x:c r="CJ2" s="228" t="str">
        <x:v>True</x:v>
      </x:c>
      <x:c r="CK2" s="228" t="str">
        <x:v>True</x:v>
      </x:c>
      <x:c r="CL2" s="228" t="str">
        <x:v>True</x:v>
      </x:c>
      <x:c r="CM2" s="228" t="str">
        <x:v>collision</x:v>
      </x:c>
      <x:c r="CN2" s="228" t="str">
        <x:v>-6</x:v>
      </x:c>
      <x:c r="CO2" s="230" t="str">
        <x:v>-2.9737494001165032</x:v>
      </x:c>
      <x:c r="CP2" s="228" t="str">
        <x:v>0.9433962264150944</x:v>
      </x:c>
      <x:c r="CQ2" s="228" t="str">
        <x:v>0.528151962965756</x:v>
      </x:c>
      <x:c r="CR2" s="228" t="str">
        <x:v>1.8933944586415132</x:v>
      </x:c>
      <x:c r="CS2" s="228" t="str">
        <x:v>collision</x:v>
      </x:c>
      <x:c r="CT2" s="228" t="str">
        <x:v>collision</x:v>
      </x:c>
      <x:c r="CU2" s="228" t="str">
        <x:v>collision_dominates</x:v>
      </x:c>
      <x:c r="CV2" s="228" t="str">
        <x:v>neither</x:v>
      </x:c>
      <x:c r="CW2" s="228" t="str">
        <x:v>both_valid</x:v>
      </x:c>
      <x:c r="CX2" s="228" t="str">
        <x:v>none</x:v>
      </x:c>
      <x:c r="CY2" s="228" t="str">
        <x:v>none</x:v>
      </x:c>
    </x:row>
    <x:row r="3">
      <x:c r="A3" s="228" t="str">
        <x:v>final-paired-v2</x:v>
      </x:c>
      <x:c r="B3" s="228" t="str">
        <x:v>20260819</x:v>
      </x:c>
      <x:c r="C3" s="228" t="str">
        <x:v>1</x:v>
      </x:c>
      <x:c r="D3" s="228" t="str">
        <x:v>1</x:v>
      </x:c>
      <x:c r="E3" s="228" t="str">
        <x:v>n1000_r0.1_repeat1</x:v>
      </x:c>
      <x:c r="F3" s="228" t="str">
        <x:v>1000</x:v>
      </x:c>
      <x:c r="G3" s="228" t="str">
        <x:v>0.1</x:v>
      </x:c>
      <x:c r="H3" s="228" t="str">
        <x:v>1</x:v>
      </x:c>
      <x:c r="I3" s="228" t="str">
        <x:v>2101606466</x:v>
      </x:c>
      <x:c r="J3" s="228" t="str">
        <x:v>065d712d10d89a22440ea45f06f1b927e92103d2d821564ce4e68e2b6da5b9a5</x:v>
      </x:c>
      <x:c r="K3" s="228" t="str">
        <x:v>14002</x:v>
      </x:c>
      <x:c r="L3" s="228" t="str">
        <x:v>1</x:v>
      </x:c>
      <x:c r="M3" s="228" t="str">
        <x:v>1000</x:v>
      </x:c>
      <x:c r="N3" s="228" t="str">
        <x:v>True</x:v>
      </x:c>
      <x:c r="O3" s="228" t="str">
        <x:v>0</x:v>
      </x:c>
      <x:c r="P3" s="228" t="str">
        <x:v>28.004</x:v>
      </x:c>
      <x:c r="Q3" s="228" t="str">
        <x:v>6.999713136979258</x:v>
      </x:c>
      <x:c r="R3" s="228" t="str">
        <x:v>9</x:v>
      </x:c>
      <x:c r="S3" s="228" t="str">
        <x:v>47</x:v>
      </x:c>
      <x:c r="T3" s="228" t="str">
        <x:v>0.02803203203203203</x:v>
      </x:c>
      <x:c r="U3" s="230" t="str">
        <x:v>0.3091965999919921</x:v>
      </x:c>
      <x:c r="V3" s="230" t="str">
        <x:v>0.05856040003709495</x:v>
      </x:c>
      <x:c r="W3" s="228" t="str">
        <x:v>True</x:v>
      </x:c>
      <x:c r="X3" s="228" t="str">
        <x:v>False</x:v>
      </x:c>
      <x:c r="Y3" s="228" t="str">
        <x:v>5</x:v>
      </x:c>
      <x:c r="Z3" s="228" t="str">
        <x:v>circle</x:v>
      </x:c>
      <x:c r="AA3" s="228" t="str">
        <x:v>2</x:v>
      </x:c>
      <x:c r="AB3" s="228" t="str">
        <x:v>grid,circle,zoomed,ich</x:v>
      </x:c>
      <x:c r="AC3" s="228" t="str">
        <x:v>4171772457</x:v>
      </x:c>
      <x:c r="AD3" s="228" t="str">
        <x:v>4171772457</x:v>
      </x:c>
      <x:c r="AE3" s="228" t="str">
        <x:v>entropy,collision</x:v>
      </x:c>
      <x:c r="AF3" s="228" t="str">
        <x:v>820</x:v>
      </x:c>
      <x:c r="AG3" s="228" t="str">
        <x:v>102</x:v>
      </x:c>
      <x:c r="AH3" s="230" t="str">
        <x:v>6.649967500008643</x:v>
      </x:c>
      <x:c r="AI3" s="228" t="str">
        <x:v>True</x:v>
      </x:c>
      <x:c r="AJ3" s="228" t="str">
        <x:v>6017d333cd90ea84825e36d13f3845b165657eb09d4d1696f9c61e5357dfaba0</x:v>
      </x:c>
      <x:c r="AK3" s="228" t="str">
        <x:v>0</x:v>
      </x:c>
      <x:c r="AL3" s="228" t="str">
        <x:v>0</x:v>
      </x:c>
      <x:c r="AM3" s="228" t="str"/>
      <x:c r="AN3" s="230" t="str">
        <x:v>0.06698900007177144</x:v>
      </x:c>
      <x:c r="AO3" s="228" t="str">
        <x:v>102</x:v>
      </x:c>
      <x:c r="AP3" s="228" t="str">
        <x:v>0</x:v>
      </x:c>
      <x:c r="AQ3" s="228" t="str">
        <x:v>0</x:v>
      </x:c>
      <x:c r="AR3" s="228" t="str">
        <x:v>102</x:v>
      </x:c>
      <x:c r="AS3" s="228" t="str">
        <x:v>6.716956500080414</x:v>
      </x:c>
      <x:c r="AT3" s="228" t="str">
        <x:v>True</x:v>
      </x:c>
      <x:c r="AU3" s="228" t="str">
        <x:v>6017d333cd90ea84825e36d13f3845b165657eb09d4d1696f9c61e5357dfaba0</x:v>
      </x:c>
      <x:c r="AV3" s="228" t="str">
        <x:v>0</x:v>
      </x:c>
      <x:c r="AW3" s="228" t="str">
        <x:v>102</x:v>
      </x:c>
      <x:c r="AX3" s="228" t="str">
        <x:v>0</x:v>
      </x:c>
      <x:c r="AY3" s="230" t="str">
        <x:v>0.07563310000114143</x:v>
      </x:c>
      <x:c r="AZ3" s="228" t="str">
        <x:v>False</x:v>
      </x:c>
      <x:c r="BA3" s="228" t="str">
        <x:v>102</x:v>
      </x:c>
      <x:c r="BB3" s="230" t="str">
        <x:v>6.7925896000815555</x:v>
      </x:c>
      <x:c r="BC3" s="228" t="str">
        <x:v>True</x:v>
      </x:c>
      <x:c r="BD3" s="228" t="str">
        <x:v>6017d333cd90ea84825e36d13f3845b165657eb09d4d1696f9c61e5357dfaba0</x:v>
      </x:c>
      <x:c r="BE3" s="228" t="str">
        <x:v>0</x:v>
      </x:c>
      <x:c r="BF3" s="228" t="str">
        <x:v>0</x:v>
      </x:c>
      <x:c r="BG3" s="228" t="str">
        <x:v>1</x:v>
      </x:c>
      <x:c r="BH3" s="228" t="str">
        <x:v>685</x:v>
      </x:c>
      <x:c r="BI3" s="228" t="str">
        <x:v>101</x:v>
      </x:c>
      <x:c r="BJ3" s="230" t="str">
        <x:v>5.8393921999959275</x:v>
      </x:c>
      <x:c r="BK3" s="228" t="str">
        <x:v>True</x:v>
      </x:c>
      <x:c r="BL3" s="228" t="str">
        <x:v>bbd10c4ab4e7ba01ef58ff7278d9730237e7e78ff2467da18a7e981f269cd593</x:v>
      </x:c>
      <x:c r="BM3" s="228" t="str">
        <x:v>0</x:v>
      </x:c>
      <x:c r="BN3" s="228" t="str">
        <x:v>0</x:v>
      </x:c>
      <x:c r="BO3" s="228" t="str"/>
      <x:c r="BP3" s="230" t="str">
        <x:v>0.07702189998235554</x:v>
      </x:c>
      <x:c r="BQ3" s="228" t="str">
        <x:v>101</x:v>
      </x:c>
      <x:c r="BR3" s="228" t="str">
        <x:v>0</x:v>
      </x:c>
      <x:c r="BS3" s="228" t="str">
        <x:v>0</x:v>
      </x:c>
      <x:c r="BT3" s="228" t="str">
        <x:v>101</x:v>
      </x:c>
      <x:c r="BU3" s="228" t="str">
        <x:v>5.916414099978283</x:v>
      </x:c>
      <x:c r="BV3" s="228" t="str">
        <x:v>True</x:v>
      </x:c>
      <x:c r="BW3" s="228" t="str">
        <x:v>bbd10c4ab4e7ba01ef58ff7278d9730237e7e78ff2467da18a7e981f269cd593</x:v>
      </x:c>
      <x:c r="BX3" s="228" t="str">
        <x:v>0</x:v>
      </x:c>
      <x:c r="BY3" s="228" t="str">
        <x:v>101</x:v>
      </x:c>
      <x:c r="BZ3" s="228" t="str">
        <x:v>0</x:v>
      </x:c>
      <x:c r="CA3" s="230" t="str">
        <x:v>0.07275229995138943</x:v>
      </x:c>
      <x:c r="CB3" s="228" t="str">
        <x:v>False</x:v>
      </x:c>
      <x:c r="CC3" s="228" t="str">
        <x:v>101</x:v>
      </x:c>
      <x:c r="CD3" s="230" t="str">
        <x:v>5.9891663999296725</x:v>
      </x:c>
      <x:c r="CE3" s="228" t="str">
        <x:v>True</x:v>
      </x:c>
      <x:c r="CF3" s="228" t="str">
        <x:v>bbd10c4ab4e7ba01ef58ff7278d9730237e7e78ff2467da18a7e981f269cd593</x:v>
      </x:c>
      <x:c r="CG3" s="228" t="str">
        <x:v>0</x:v>
      </x:c>
      <x:c r="CH3" s="228" t="str">
        <x:v>0</x:v>
      </x:c>
      <x:c r="CI3" s="228" t="str">
        <x:v>2</x:v>
      </x:c>
      <x:c r="CJ3" s="228" t="str">
        <x:v>True</x:v>
      </x:c>
      <x:c r="CK3" s="228" t="str">
        <x:v>True</x:v>
      </x:c>
      <x:c r="CL3" s="228" t="str">
        <x:v>True</x:v>
      </x:c>
      <x:c r="CM3" s="228" t="str">
        <x:v>collision</x:v>
      </x:c>
      <x:c r="CN3" s="228" t="str">
        <x:v>-1</x:v>
      </x:c>
      <x:c r="CO3" s="230" t="str">
        <x:v>-0.8034232001518831</x:v>
      </x:c>
      <x:c r="CP3" s="228" t="str">
        <x:v>0.9901960784313726</x:v>
      </x:c>
      <x:c r="CQ3" s="228" t="str">
        <x:v>0.8817206327109418</x:v>
      </x:c>
      <x:c r="CR3" s="228" t="str">
        <x:v>1.1341460808571486</x:v>
      </x:c>
      <x:c r="CS3" s="228" t="str">
        <x:v>collision</x:v>
      </x:c>
      <x:c r="CT3" s="228" t="str">
        <x:v>collision</x:v>
      </x:c>
      <x:c r="CU3" s="228" t="str">
        <x:v>collision_dominates</x:v>
      </x:c>
      <x:c r="CV3" s="228" t="str">
        <x:v>neither</x:v>
      </x:c>
      <x:c r="CW3" s="228" t="str">
        <x:v>both_valid</x:v>
      </x:c>
      <x:c r="CX3" s="228" t="str">
        <x:v>none</x:v>
      </x:c>
      <x:c r="CY3" s="228" t="str">
        <x:v>none</x:v>
      </x:c>
    </x:row>
    <x:row r="4">
      <x:c r="A4" s="228" t="str">
        <x:v>final-paired-v2</x:v>
      </x:c>
      <x:c r="B4" s="228" t="str">
        <x:v>20260819</x:v>
      </x:c>
      <x:c r="C4" s="228" t="str">
        <x:v>1</x:v>
      </x:c>
      <x:c r="D4" s="228" t="str">
        <x:v>1</x:v>
      </x:c>
      <x:c r="E4" s="228" t="str">
        <x:v>n1000_r0.1_repeat1</x:v>
      </x:c>
      <x:c r="F4" s="228" t="str">
        <x:v>1000</x:v>
      </x:c>
      <x:c r="G4" s="228" t="str">
        <x:v>0.1</x:v>
      </x:c>
      <x:c r="H4" s="228" t="str">
        <x:v>1</x:v>
      </x:c>
      <x:c r="I4" s="228" t="str">
        <x:v>2101606466</x:v>
      </x:c>
      <x:c r="J4" s="228" t="str">
        <x:v>065d712d10d89a22440ea45f06f1b927e92103d2d821564ce4e68e2b6da5b9a5</x:v>
      </x:c>
      <x:c r="K4" s="228" t="str">
        <x:v>14002</x:v>
      </x:c>
      <x:c r="L4" s="228" t="str">
        <x:v>1</x:v>
      </x:c>
      <x:c r="M4" s="228" t="str">
        <x:v>1000</x:v>
      </x:c>
      <x:c r="N4" s="228" t="str">
        <x:v>True</x:v>
      </x:c>
      <x:c r="O4" s="228" t="str">
        <x:v>0</x:v>
      </x:c>
      <x:c r="P4" s="228" t="str">
        <x:v>28.004</x:v>
      </x:c>
      <x:c r="Q4" s="228" t="str">
        <x:v>6.999713136979258</x:v>
      </x:c>
      <x:c r="R4" s="228" t="str">
        <x:v>9</x:v>
      </x:c>
      <x:c r="S4" s="228" t="str">
        <x:v>47</x:v>
      </x:c>
      <x:c r="T4" s="228" t="str">
        <x:v>0.02803203203203203</x:v>
      </x:c>
      <x:c r="U4" s="230" t="str">
        <x:v>0.3091965999919921</x:v>
      </x:c>
      <x:c r="V4" s="230" t="str">
        <x:v>0.05856040003709495</x:v>
      </x:c>
      <x:c r="W4" s="228" t="str">
        <x:v>True</x:v>
      </x:c>
      <x:c r="X4" s="228" t="str">
        <x:v>False</x:v>
      </x:c>
      <x:c r="Y4" s="228" t="str">
        <x:v>5</x:v>
      </x:c>
      <x:c r="Z4" s="228" t="str">
        <x:v>zoomed</x:v>
      </x:c>
      <x:c r="AA4" s="228" t="str">
        <x:v>3</x:v>
      </x:c>
      <x:c r="AB4" s="228" t="str">
        <x:v>grid,circle,zoomed,ich</x:v>
      </x:c>
      <x:c r="AC4" s="228" t="str">
        <x:v>3220264567</x:v>
      </x:c>
      <x:c r="AD4" s="228" t="str">
        <x:v>3220264567</x:v>
      </x:c>
      <x:c r="AE4" s="228" t="str">
        <x:v>entropy,collision</x:v>
      </x:c>
      <x:c r="AF4" s="228" t="str">
        <x:v>750</x:v>
      </x:c>
      <x:c r="AG4" s="228" t="str">
        <x:v>104</x:v>
      </x:c>
      <x:c r="AH4" s="230" t="str">
        <x:v>7.371104900026694</x:v>
      </x:c>
      <x:c r="AI4" s="228" t="str">
        <x:v>True</x:v>
      </x:c>
      <x:c r="AJ4" s="228" t="str">
        <x:v>e967cc6551945c48fa77a42a0f958f84acd80f32968b9f7446aa3555a58fe625</x:v>
      </x:c>
      <x:c r="AK4" s="228" t="str">
        <x:v>0</x:v>
      </x:c>
      <x:c r="AL4" s="228" t="str">
        <x:v>0</x:v>
      </x:c>
      <x:c r="AM4" s="228" t="str"/>
      <x:c r="AN4" s="230" t="str">
        <x:v>0.06610169995110482</x:v>
      </x:c>
      <x:c r="AO4" s="228" t="str">
        <x:v>104</x:v>
      </x:c>
      <x:c r="AP4" s="228" t="str">
        <x:v>0</x:v>
      </x:c>
      <x:c r="AQ4" s="228" t="str">
        <x:v>0</x:v>
      </x:c>
      <x:c r="AR4" s="228" t="str">
        <x:v>104</x:v>
      </x:c>
      <x:c r="AS4" s="228" t="str">
        <x:v>7.437206599977799</x:v>
      </x:c>
      <x:c r="AT4" s="228" t="str">
        <x:v>True</x:v>
      </x:c>
      <x:c r="AU4" s="228" t="str">
        <x:v>e967cc6551945c48fa77a42a0f958f84acd80f32968b9f7446aa3555a58fe625</x:v>
      </x:c>
      <x:c r="AV4" s="228" t="str">
        <x:v>0</x:v>
      </x:c>
      <x:c r="AW4" s="228" t="str">
        <x:v>104</x:v>
      </x:c>
      <x:c r="AX4" s="228" t="str">
        <x:v>0</x:v>
      </x:c>
      <x:c r="AY4" s="230" t="str">
        <x:v>0.07203549996484071</x:v>
      </x:c>
      <x:c r="AZ4" s="228" t="str">
        <x:v>False</x:v>
      </x:c>
      <x:c r="BA4" s="228" t="str">
        <x:v>104</x:v>
      </x:c>
      <x:c r="BB4" s="230" t="str">
        <x:v>7.5092420999426395</x:v>
      </x:c>
      <x:c r="BC4" s="228" t="str">
        <x:v>True</x:v>
      </x:c>
      <x:c r="BD4" s="228" t="str">
        <x:v>e967cc6551945c48fa77a42a0f958f84acd80f32968b9f7446aa3555a58fe625</x:v>
      </x:c>
      <x:c r="BE4" s="228" t="str">
        <x:v>0</x:v>
      </x:c>
      <x:c r="BF4" s="228" t="str">
        <x:v>0</x:v>
      </x:c>
      <x:c r="BG4" s="228" t="str">
        <x:v>1</x:v>
      </x:c>
      <x:c r="BH4" s="228" t="str">
        <x:v>525</x:v>
      </x:c>
      <x:c r="BI4" s="228" t="str">
        <x:v>108</x:v>
      </x:c>
      <x:c r="BJ4" s="230" t="str">
        <x:v>5.050410800031386</x:v>
      </x:c>
      <x:c r="BK4" s="228" t="str">
        <x:v>True</x:v>
      </x:c>
      <x:c r="BL4" s="228" t="str">
        <x:v>fb736641f2901087f0edb9199d4818ab47ef2b892a0ea951de79ffaef3a2b197</x:v>
      </x:c>
      <x:c r="BM4" s="228" t="str">
        <x:v>0</x:v>
      </x:c>
      <x:c r="BN4" s="228" t="str">
        <x:v>0</x:v>
      </x:c>
      <x:c r="BO4" s="228" t="str"/>
      <x:c r="BP4" s="230" t="str">
        <x:v>0.0722117000259459</x:v>
      </x:c>
      <x:c r="BQ4" s="228" t="str">
        <x:v>108</x:v>
      </x:c>
      <x:c r="BR4" s="228" t="str">
        <x:v>0</x:v>
      </x:c>
      <x:c r="BS4" s="228" t="str">
        <x:v>0</x:v>
      </x:c>
      <x:c r="BT4" s="228" t="str">
        <x:v>108</x:v>
      </x:c>
      <x:c r="BU4" s="228" t="str">
        <x:v>5.122622500057332</x:v>
      </x:c>
      <x:c r="BV4" s="228" t="str">
        <x:v>True</x:v>
      </x:c>
      <x:c r="BW4" s="228" t="str">
        <x:v>fb736641f2901087f0edb9199d4818ab47ef2b892a0ea951de79ffaef3a2b197</x:v>
      </x:c>
      <x:c r="BX4" s="228" t="str">
        <x:v>0</x:v>
      </x:c>
      <x:c r="BY4" s="228" t="str">
        <x:v>108</x:v>
      </x:c>
      <x:c r="BZ4" s="228" t="str">
        <x:v>0</x:v>
      </x:c>
      <x:c r="CA4" s="230" t="str">
        <x:v>0.0781052999664098</x:v>
      </x:c>
      <x:c r="CB4" s="228" t="str">
        <x:v>False</x:v>
      </x:c>
      <x:c r="CC4" s="228" t="str">
        <x:v>108</x:v>
      </x:c>
      <x:c r="CD4" s="230" t="str">
        <x:v>5.200727800023742</x:v>
      </x:c>
      <x:c r="CE4" s="228" t="str">
        <x:v>True</x:v>
      </x:c>
      <x:c r="CF4" s="228" t="str">
        <x:v>fb736641f2901087f0edb9199d4818ab47ef2b892a0ea951de79ffaef3a2b197</x:v>
      </x:c>
      <x:c r="CG4" s="228" t="str">
        <x:v>0</x:v>
      </x:c>
      <x:c r="CH4" s="228" t="str">
        <x:v>0</x:v>
      </x:c>
      <x:c r="CI4" s="228" t="str">
        <x:v>2</x:v>
      </x:c>
      <x:c r="CJ4" s="228" t="str">
        <x:v>True</x:v>
      </x:c>
      <x:c r="CK4" s="228" t="str">
        <x:v>True</x:v>
      </x:c>
      <x:c r="CL4" s="228" t="str">
        <x:v>True</x:v>
      </x:c>
      <x:c r="CM4" s="228" t="str">
        <x:v>entropy</x:v>
      </x:c>
      <x:c r="CN4" s="228" t="str">
        <x:v>4</x:v>
      </x:c>
      <x:c r="CO4" s="230" t="str">
        <x:v>-2.3085142999188974</x:v>
      </x:c>
      <x:c r="CP4" s="228" t="str">
        <x:v>1.0384615384615385</x:v>
      </x:c>
      <x:c r="CQ4" s="228" t="str">
        <x:v>0.6925769246490893</x:v>
      </x:c>
      <x:c r="CR4" s="228" t="str">
        <x:v>1.4438829311367456</x:v>
      </x:c>
      <x:c r="CS4" s="228" t="str">
        <x:v>entropy</x:v>
      </x:c>
      <x:c r="CT4" s="228" t="str">
        <x:v>collision</x:v>
      </x:c>
      <x:c r="CU4" s="228" t="str">
        <x:v>tradeoff</x:v>
      </x:c>
      <x:c r="CV4" s="228" t="str">
        <x:v>neither</x:v>
      </x:c>
      <x:c r="CW4" s="228" t="str">
        <x:v>both_valid</x:v>
      </x:c>
      <x:c r="CX4" s="228" t="str">
        <x:v>none</x:v>
      </x:c>
      <x:c r="CY4" s="228" t="str">
        <x:v>none</x:v>
      </x:c>
    </x:row>
    <x:row r="5">
      <x:c r="A5" s="228" t="str">
        <x:v>final-paired-v2</x:v>
      </x:c>
      <x:c r="B5" s="228" t="str">
        <x:v>20260819</x:v>
      </x:c>
      <x:c r="C5" s="228" t="str">
        <x:v>1</x:v>
      </x:c>
      <x:c r="D5" s="228" t="str">
        <x:v>1</x:v>
      </x:c>
      <x:c r="E5" s="228" t="str">
        <x:v>n1000_r0.1_repeat1</x:v>
      </x:c>
      <x:c r="F5" s="228" t="str">
        <x:v>1000</x:v>
      </x:c>
      <x:c r="G5" s="228" t="str">
        <x:v>0.1</x:v>
      </x:c>
      <x:c r="H5" s="228" t="str">
        <x:v>1</x:v>
      </x:c>
      <x:c r="I5" s="228" t="str">
        <x:v>2101606466</x:v>
      </x:c>
      <x:c r="J5" s="228" t="str">
        <x:v>065d712d10d89a22440ea45f06f1b927e92103d2d821564ce4e68e2b6da5b9a5</x:v>
      </x:c>
      <x:c r="K5" s="228" t="str">
        <x:v>14002</x:v>
      </x:c>
      <x:c r="L5" s="228" t="str">
        <x:v>1</x:v>
      </x:c>
      <x:c r="M5" s="228" t="str">
        <x:v>1000</x:v>
      </x:c>
      <x:c r="N5" s="228" t="str">
        <x:v>True</x:v>
      </x:c>
      <x:c r="O5" s="228" t="str">
        <x:v>0</x:v>
      </x:c>
      <x:c r="P5" s="228" t="str">
        <x:v>28.004</x:v>
      </x:c>
      <x:c r="Q5" s="228" t="str">
        <x:v>6.999713136979258</x:v>
      </x:c>
      <x:c r="R5" s="228" t="str">
        <x:v>9</x:v>
      </x:c>
      <x:c r="S5" s="228" t="str">
        <x:v>47</x:v>
      </x:c>
      <x:c r="T5" s="228" t="str">
        <x:v>0.02803203203203203</x:v>
      </x:c>
      <x:c r="U5" s="230" t="str">
        <x:v>0.3091965999919921</x:v>
      </x:c>
      <x:c r="V5" s="230" t="str">
        <x:v>0.05856040003709495</x:v>
      </x:c>
      <x:c r="W5" s="228" t="str">
        <x:v>True</x:v>
      </x:c>
      <x:c r="X5" s="228" t="str">
        <x:v>False</x:v>
      </x:c>
      <x:c r="Y5" s="228" t="str">
        <x:v>5</x:v>
      </x:c>
      <x:c r="Z5" s="228" t="str">
        <x:v>ich</x:v>
      </x:c>
      <x:c r="AA5" s="228" t="str">
        <x:v>4</x:v>
      </x:c>
      <x:c r="AB5" s="228" t="str">
        <x:v>grid,circle,zoomed,ich</x:v>
      </x:c>
      <x:c r="AC5" s="228" t="str">
        <x:v>1519850349</x:v>
      </x:c>
      <x:c r="AD5" s="228" t="str">
        <x:v>1519850349</x:v>
      </x:c>
      <x:c r="AE5" s="228" t="str">
        <x:v>entropy,collision</x:v>
      </x:c>
      <x:c r="AF5" s="228" t="str">
        <x:v>104</x:v>
      </x:c>
      <x:c r="AG5" s="228" t="str">
        <x:v>104</x:v>
      </x:c>
      <x:c r="AH5" s="230" t="str">
        <x:v>128.9441573000513</x:v>
      </x:c>
      <x:c r="AI5" s="228" t="str">
        <x:v>True</x:v>
      </x:c>
      <x:c r="AJ5" s="228" t="str">
        <x:v>ed94c0a1f350f008034dc0375eba648abc93eeba88800c117c1af1eefd67b45d</x:v>
      </x:c>
      <x:c r="AK5" s="228" t="str">
        <x:v>0</x:v>
      </x:c>
      <x:c r="AL5" s="228" t="str">
        <x:v>0</x:v>
      </x:c>
      <x:c r="AM5" s="228" t="str"/>
      <x:c r="AN5" s="230" t="str">
        <x:v>0.08839370007626712</x:v>
      </x:c>
      <x:c r="AO5" s="228" t="str">
        <x:v>104</x:v>
      </x:c>
      <x:c r="AP5" s="228" t="str">
        <x:v>0</x:v>
      </x:c>
      <x:c r="AQ5" s="228" t="str">
        <x:v>0</x:v>
      </x:c>
      <x:c r="AR5" s="228" t="str">
        <x:v>104</x:v>
      </x:c>
      <x:c r="AS5" s="228" t="str">
        <x:v>129.03255100012757</x:v>
      </x:c>
      <x:c r="AT5" s="228" t="str">
        <x:v>True</x:v>
      </x:c>
      <x:c r="AU5" s="228" t="str">
        <x:v>ed94c0a1f350f008034dc0375eba648abc93eeba88800c117c1af1eefd67b45d</x:v>
      </x:c>
      <x:c r="AV5" s="228" t="str">
        <x:v>0</x:v>
      </x:c>
      <x:c r="AW5" s="228" t="str">
        <x:v>104</x:v>
      </x:c>
      <x:c r="AX5" s="228" t="str">
        <x:v>6</x:v>
      </x:c>
      <x:c r="AY5" s="230" t="str">
        <x:v>0.20146310003474355</x:v>
      </x:c>
      <x:c r="AZ5" s="228" t="str">
        <x:v>False</x:v>
      </x:c>
      <x:c r="BA5" s="228" t="str">
        <x:v>98</x:v>
      </x:c>
      <x:c r="BB5" s="230" t="str">
        <x:v>129.2340141001623</x:v>
      </x:c>
      <x:c r="BC5" s="228" t="str">
        <x:v>True</x:v>
      </x:c>
      <x:c r="BD5" s="228" t="str">
        <x:v>92b0e246bb9d4a6e0be36685023f09fc67c7ea8c5a1aae78b2c75f68a285bd4f</x:v>
      </x:c>
      <x:c r="BE5" s="228" t="str">
        <x:v>-6</x:v>
      </x:c>
      <x:c r="BF5" s="228" t="str">
        <x:v>0</x:v>
      </x:c>
      <x:c r="BG5" s="228" t="str">
        <x:v>1</x:v>
      </x:c>
      <x:c r="BH5" s="228" t="str">
        <x:v>102</x:v>
      </x:c>
      <x:c r="BI5" s="228" t="str">
        <x:v>102</x:v>
      </x:c>
      <x:c r="BJ5" s="230" t="str">
        <x:v>141.82455350004602</x:v>
      </x:c>
      <x:c r="BK5" s="228" t="str">
        <x:v>True</x:v>
      </x:c>
      <x:c r="BL5" s="228" t="str">
        <x:v>7ef45b100c19226a469e7c7b9160954032ddca53c653bab607dc8a51d3833f27</x:v>
      </x:c>
      <x:c r="BM5" s="228" t="str">
        <x:v>0</x:v>
      </x:c>
      <x:c r="BN5" s="228" t="str">
        <x:v>0</x:v>
      </x:c>
      <x:c r="BO5" s="228" t="str"/>
      <x:c r="BP5" s="230" t="str">
        <x:v>0.06070190004538745</x:v>
      </x:c>
      <x:c r="BQ5" s="228" t="str">
        <x:v>102</x:v>
      </x:c>
      <x:c r="BR5" s="228" t="str">
        <x:v>0</x:v>
      </x:c>
      <x:c r="BS5" s="228" t="str">
        <x:v>0</x:v>
      </x:c>
      <x:c r="BT5" s="228" t="str">
        <x:v>102</x:v>
      </x:c>
      <x:c r="BU5" s="228" t="str">
        <x:v>141.8852554000914</x:v>
      </x:c>
      <x:c r="BV5" s="228" t="str">
        <x:v>True</x:v>
      </x:c>
      <x:c r="BW5" s="228" t="str">
        <x:v>7ef45b100c19226a469e7c7b9160954032ddca53c653bab607dc8a51d3833f27</x:v>
      </x:c>
      <x:c r="BX5" s="228" t="str">
        <x:v>0</x:v>
      </x:c>
      <x:c r="BY5" s="228" t="str">
        <x:v>102</x:v>
      </x:c>
      <x:c r="BZ5" s="228" t="str">
        <x:v>7</x:v>
      </x:c>
      <x:c r="CA5" s="230" t="str">
        <x:v>0.141052299994044</x:v>
      </x:c>
      <x:c r="CB5" s="228" t="str">
        <x:v>False</x:v>
      </x:c>
      <x:c r="CC5" s="228" t="str">
        <x:v>95</x:v>
      </x:c>
      <x:c r="CD5" s="230" t="str">
        <x:v>142.02630770008545</x:v>
      </x:c>
      <x:c r="CE5" s="228" t="str">
        <x:v>True</x:v>
      </x:c>
      <x:c r="CF5" s="228" t="str">
        <x:v>5ace018b7742679b657948bdcfd11338dec08a9a8bb768c86d9f97112bd71ea2</x:v>
      </x:c>
      <x:c r="CG5" s="228" t="str">
        <x:v>-7</x:v>
      </x:c>
      <x:c r="CH5" s="228" t="str">
        <x:v>0</x:v>
      </x:c>
      <x:c r="CI5" s="228" t="str">
        <x:v>2</x:v>
      </x:c>
      <x:c r="CJ5" s="228" t="str">
        <x:v>True</x:v>
      </x:c>
      <x:c r="CK5" s="228" t="str">
        <x:v>True</x:v>
      </x:c>
      <x:c r="CL5" s="228" t="str">
        <x:v>True</x:v>
      </x:c>
      <x:c r="CM5" s="228" t="str">
        <x:v>collision</x:v>
      </x:c>
      <x:c r="CN5" s="228" t="str">
        <x:v>-3</x:v>
      </x:c>
      <x:c r="CO5" s="230" t="str">
        <x:v>12.792293599923141</x:v>
      </x:c>
      <x:c r="CP5" s="228" t="str">
        <x:v>0.9693877551020408</x:v>
      </x:c>
      <x:c r="CQ5" s="228" t="str">
        <x:v>1.0989855007522131</x:v>
      </x:c>
      <x:c r="CR5" s="228" t="str">
        <x:v>0.909930112194873</x:v>
      </x:c>
      <x:c r="CS5" s="228" t="str">
        <x:v>collision</x:v>
      </x:c>
      <x:c r="CT5" s="228" t="str">
        <x:v>entropy</x:v>
      </x:c>
      <x:c r="CU5" s="228" t="str">
        <x:v>tradeoff</x:v>
      </x:c>
      <x:c r="CV5" s="228" t="str">
        <x:v>neither</x:v>
      </x:c>
      <x:c r="CW5" s="228" t="str">
        <x:v>both_valid</x:v>
      </x:c>
      <x:c r="CX5" s="228" t="str">
        <x:v>none</x:v>
      </x:c>
      <x:c r="CY5" s="228" t="str">
        <x:v>none</x:v>
      </x:c>
    </x:row>
    <x:row r="6">
      <x:c r="A6" s="228" t="str">
        <x:v>final-paired-v2</x:v>
      </x:c>
      <x:c r="B6" s="228" t="str">
        <x:v>20260819</x:v>
      </x:c>
      <x:c r="C6" s="228" t="str">
        <x:v>1</x:v>
      </x:c>
      <x:c r="D6" s="228" t="str">
        <x:v>2</x:v>
      </x:c>
      <x:c r="E6" s="228" t="str">
        <x:v>n1000_r0.1_repeat2</x:v>
      </x:c>
      <x:c r="F6" s="228" t="str">
        <x:v>1000</x:v>
      </x:c>
      <x:c r="G6" s="228" t="str">
        <x:v>0.1</x:v>
      </x:c>
      <x:c r="H6" s="228" t="str">
        <x:v>2</x:v>
      </x:c>
      <x:c r="I6" s="228" t="str">
        <x:v>2660676369</x:v>
      </x:c>
      <x:c r="J6" s="228" t="str">
        <x:v>27ab066282aefd7b8952f5b9052619ac0559cca8a2bf425ac03356923b6d3a13</x:v>
      </x:c>
      <x:c r="K6" s="228" t="str">
        <x:v>14140</x:v>
      </x:c>
      <x:c r="L6" s="228" t="str">
        <x:v>1</x:v>
      </x:c>
      <x:c r="M6" s="228" t="str">
        <x:v>1000</x:v>
      </x:c>
      <x:c r="N6" s="228" t="str">
        <x:v>True</x:v>
      </x:c>
      <x:c r="O6" s="228" t="str">
        <x:v>0</x:v>
      </x:c>
      <x:c r="P6" s="228" t="str">
        <x:v>28.28</x:v>
      </x:c>
      <x:c r="Q6" s="228" t="str">
        <x:v>6.984239400249679</x:v>
      </x:c>
      <x:c r="R6" s="228" t="str">
        <x:v>7</x:v>
      </x:c>
      <x:c r="S6" s="228" t="str">
        <x:v>45</x:v>
      </x:c>
      <x:c r="T6" s="228" t="str">
        <x:v>0.028308308308308307</x:v>
      </x:c>
      <x:c r="U6" s="230" t="str">
        <x:v>0.01962090004235506</x:v>
      </x:c>
      <x:c r="V6" s="230" t="str">
        <x:v>0.06017720000818372</x:v>
      </x:c>
      <x:c r="W6" s="228" t="str">
        <x:v>True</x:v>
      </x:c>
      <x:c r="X6" s="228" t="str">
        <x:v>False</x:v>
      </x:c>
      <x:c r="Y6" s="228" t="str">
        <x:v>5</x:v>
      </x:c>
      <x:c r="Z6" s="228" t="str">
        <x:v>circle</x:v>
      </x:c>
      <x:c r="AA6" s="228" t="str">
        <x:v>1</x:v>
      </x:c>
      <x:c r="AB6" s="228" t="str">
        <x:v>circle,zoomed,ich,grid</x:v>
      </x:c>
      <x:c r="AC6" s="228" t="str">
        <x:v>461207930</x:v>
      </x:c>
      <x:c r="AD6" s="228" t="str">
        <x:v>461207930</x:v>
      </x:c>
      <x:c r="AE6" s="228" t="str">
        <x:v>collision,entropy</x:v>
      </x:c>
      <x:c r="AF6" s="228" t="str">
        <x:v>798</x:v>
      </x:c>
      <x:c r="AG6" s="228" t="str">
        <x:v>92</x:v>
      </x:c>
      <x:c r="AH6" s="230" t="str">
        <x:v>6.046084599918686</x:v>
      </x:c>
      <x:c r="AI6" s="228" t="str">
        <x:v>True</x:v>
      </x:c>
      <x:c r="AJ6" s="228" t="str">
        <x:v>3887501172faa47820feca57859ae18a3ea40734088304014853433468e53a6e</x:v>
      </x:c>
      <x:c r="AK6" s="228" t="str">
        <x:v>0</x:v>
      </x:c>
      <x:c r="AL6" s="228" t="str">
        <x:v>0</x:v>
      </x:c>
      <x:c r="AM6" s="228" t="str"/>
      <x:c r="AN6" s="230" t="str">
        <x:v>0.06684189999941736</x:v>
      </x:c>
      <x:c r="AO6" s="228" t="str">
        <x:v>92</x:v>
      </x:c>
      <x:c r="AP6" s="228" t="str">
        <x:v>0</x:v>
      </x:c>
      <x:c r="AQ6" s="228" t="str">
        <x:v>0</x:v>
      </x:c>
      <x:c r="AR6" s="228" t="str">
        <x:v>92</x:v>
      </x:c>
      <x:c r="AS6" s="228" t="str">
        <x:v>6.112926499918103</x:v>
      </x:c>
      <x:c r="AT6" s="228" t="str">
        <x:v>True</x:v>
      </x:c>
      <x:c r="AU6" s="228" t="str">
        <x:v>3887501172faa47820feca57859ae18a3ea40734088304014853433468e53a6e</x:v>
      </x:c>
      <x:c r="AV6" s="228" t="str">
        <x:v>0</x:v>
      </x:c>
      <x:c r="AW6" s="228" t="str">
        <x:v>92</x:v>
      </x:c>
      <x:c r="AX6" s="228" t="str">
        <x:v>0</x:v>
      </x:c>
      <x:c r="AY6" s="230" t="str">
        <x:v>0.06505259999539703</x:v>
      </x:c>
      <x:c r="AZ6" s="228" t="str">
        <x:v>False</x:v>
      </x:c>
      <x:c r="BA6" s="228" t="str">
        <x:v>92</x:v>
      </x:c>
      <x:c r="BB6" s="230" t="str">
        <x:v>6.1779790999135</x:v>
      </x:c>
      <x:c r="BC6" s="228" t="str">
        <x:v>True</x:v>
      </x:c>
      <x:c r="BD6" s="228" t="str">
        <x:v>3887501172faa47820feca57859ae18a3ea40734088304014853433468e53a6e</x:v>
      </x:c>
      <x:c r="BE6" s="228" t="str">
        <x:v>0</x:v>
      </x:c>
      <x:c r="BF6" s="228" t="str">
        <x:v>0</x:v>
      </x:c>
      <x:c r="BG6" s="228" t="str">
        <x:v>2</x:v>
      </x:c>
      <x:c r="BH6" s="228" t="str">
        <x:v>654</x:v>
      </x:c>
      <x:c r="BI6" s="228" t="str">
        <x:v>93</x:v>
      </x:c>
      <x:c r="BJ6" s="230" t="str">
        <x:v>5.370549499988556</x:v>
      </x:c>
      <x:c r="BK6" s="228" t="str">
        <x:v>True</x:v>
      </x:c>
      <x:c r="BL6" s="228" t="str">
        <x:v>b5471f98b4b7e13e1fd3c4be925a1447a604f41272e507b2d5bf79ff66f047b9</x:v>
      </x:c>
      <x:c r="BM6" s="228" t="str">
        <x:v>0</x:v>
      </x:c>
      <x:c r="BN6" s="228" t="str">
        <x:v>0</x:v>
      </x:c>
      <x:c r="BO6" s="228" t="str"/>
      <x:c r="BP6" s="230" t="str">
        <x:v>0.06037209997884929</x:v>
      </x:c>
      <x:c r="BQ6" s="228" t="str">
        <x:v>93</x:v>
      </x:c>
      <x:c r="BR6" s="228" t="str">
        <x:v>0</x:v>
      </x:c>
      <x:c r="BS6" s="228" t="str">
        <x:v>0</x:v>
      </x:c>
      <x:c r="BT6" s="228" t="str">
        <x:v>93</x:v>
      </x:c>
      <x:c r="BU6" s="228" t="str">
        <x:v>5.430921599967405</x:v>
      </x:c>
      <x:c r="BV6" s="228" t="str">
        <x:v>True</x:v>
      </x:c>
      <x:c r="BW6" s="228" t="str">
        <x:v>b5471f98b4b7e13e1fd3c4be925a1447a604f41272e507b2d5bf79ff66f047b9</x:v>
      </x:c>
      <x:c r="BX6" s="228" t="str">
        <x:v>0</x:v>
      </x:c>
      <x:c r="BY6" s="228" t="str">
        <x:v>93</x:v>
      </x:c>
      <x:c r="BZ6" s="228" t="str">
        <x:v>0</x:v>
      </x:c>
      <x:c r="CA6" s="230" t="str">
        <x:v>0.06395630002953112</x:v>
      </x:c>
      <x:c r="CB6" s="228" t="str">
        <x:v>False</x:v>
      </x:c>
      <x:c r="CC6" s="228" t="str">
        <x:v>93</x:v>
      </x:c>
      <x:c r="CD6" s="230" t="str">
        <x:v>5.494877899996936</x:v>
      </x:c>
      <x:c r="CE6" s="228" t="str">
        <x:v>True</x:v>
      </x:c>
      <x:c r="CF6" s="228" t="str">
        <x:v>b5471f98b4b7e13e1fd3c4be925a1447a604f41272e507b2d5bf79ff66f047b9</x:v>
      </x:c>
      <x:c r="CG6" s="228" t="str">
        <x:v>0</x:v>
      </x:c>
      <x:c r="CH6" s="228" t="str">
        <x:v>0</x:v>
      </x:c>
      <x:c r="CI6" s="228" t="str">
        <x:v>1</x:v>
      </x:c>
      <x:c r="CJ6" s="228" t="str">
        <x:v>True</x:v>
      </x:c>
      <x:c r="CK6" s="228" t="str">
        <x:v>True</x:v>
      </x:c>
      <x:c r="CL6" s="228" t="str">
        <x:v>True</x:v>
      </x:c>
      <x:c r="CM6" s="228" t="str">
        <x:v>entropy</x:v>
      </x:c>
      <x:c r="CN6" s="228" t="str">
        <x:v>1</x:v>
      </x:c>
      <x:c r="CO6" s="230" t="str">
        <x:v>-0.6831011999165639</x:v>
      </x:c>
      <x:c r="CP6" s="228" t="str">
        <x:v>1.0108695652173914</x:v>
      </x:c>
      <x:c r="CQ6" s="228" t="str">
        <x:v>0.8894296680404554</x:v>
      </x:c>
      <x:c r="CR6" s="228" t="str">
        <x:v>1.124315992520406</x:v>
      </x:c>
      <x:c r="CS6" s="228" t="str">
        <x:v>entropy</x:v>
      </x:c>
      <x:c r="CT6" s="228" t="str">
        <x:v>collision</x:v>
      </x:c>
      <x:c r="CU6" s="228" t="str">
        <x:v>tradeoff</x:v>
      </x:c>
      <x:c r="CV6" s="228" t="str">
        <x:v>neither</x:v>
      </x:c>
      <x:c r="CW6" s="228" t="str">
        <x:v>both_valid</x:v>
      </x:c>
      <x:c r="CX6" s="228" t="str">
        <x:v>none</x:v>
      </x:c>
      <x:c r="CY6" s="228" t="str">
        <x:v>none</x:v>
      </x:c>
    </x:row>
    <x:row r="7">
      <x:c r="A7" s="228" t="str">
        <x:v>final-paired-v2</x:v>
      </x:c>
      <x:c r="B7" s="228" t="str">
        <x:v>20260819</x:v>
      </x:c>
      <x:c r="C7" s="228" t="str">
        <x:v>1</x:v>
      </x:c>
      <x:c r="D7" s="228" t="str">
        <x:v>2</x:v>
      </x:c>
      <x:c r="E7" s="228" t="str">
        <x:v>n1000_r0.1_repeat2</x:v>
      </x:c>
      <x:c r="F7" s="228" t="str">
        <x:v>1000</x:v>
      </x:c>
      <x:c r="G7" s="228" t="str">
        <x:v>0.1</x:v>
      </x:c>
      <x:c r="H7" s="228" t="str">
        <x:v>2</x:v>
      </x:c>
      <x:c r="I7" s="228" t="str">
        <x:v>2660676369</x:v>
      </x:c>
      <x:c r="J7" s="228" t="str">
        <x:v>27ab066282aefd7b8952f5b9052619ac0559cca8a2bf425ac03356923b6d3a13</x:v>
      </x:c>
      <x:c r="K7" s="228" t="str">
        <x:v>14140</x:v>
      </x:c>
      <x:c r="L7" s="228" t="str">
        <x:v>1</x:v>
      </x:c>
      <x:c r="M7" s="228" t="str">
        <x:v>1000</x:v>
      </x:c>
      <x:c r="N7" s="228" t="str">
        <x:v>True</x:v>
      </x:c>
      <x:c r="O7" s="228" t="str">
        <x:v>0</x:v>
      </x:c>
      <x:c r="P7" s="228" t="str">
        <x:v>28.28</x:v>
      </x:c>
      <x:c r="Q7" s="228" t="str">
        <x:v>6.984239400249679</x:v>
      </x:c>
      <x:c r="R7" s="228" t="str">
        <x:v>7</x:v>
      </x:c>
      <x:c r="S7" s="228" t="str">
        <x:v>45</x:v>
      </x:c>
      <x:c r="T7" s="228" t="str">
        <x:v>0.028308308308308307</x:v>
      </x:c>
      <x:c r="U7" s="230" t="str">
        <x:v>0.01962090004235506</x:v>
      </x:c>
      <x:c r="V7" s="230" t="str">
        <x:v>0.06017720000818372</x:v>
      </x:c>
      <x:c r="W7" s="228" t="str">
        <x:v>True</x:v>
      </x:c>
      <x:c r="X7" s="228" t="str">
        <x:v>False</x:v>
      </x:c>
      <x:c r="Y7" s="228" t="str">
        <x:v>5</x:v>
      </x:c>
      <x:c r="Z7" s="228" t="str">
        <x:v>zoomed</x:v>
      </x:c>
      <x:c r="AA7" s="228" t="str">
        <x:v>2</x:v>
      </x:c>
      <x:c r="AB7" s="228" t="str">
        <x:v>circle,zoomed,ich,grid</x:v>
      </x:c>
      <x:c r="AC7" s="228" t="str">
        <x:v>1545870628</x:v>
      </x:c>
      <x:c r="AD7" s="228" t="str">
        <x:v>1545870628</x:v>
      </x:c>
      <x:c r="AE7" s="228" t="str">
        <x:v>collision,entropy</x:v>
      </x:c>
      <x:c r="AF7" s="228" t="str">
        <x:v>789</x:v>
      </x:c>
      <x:c r="AG7" s="228" t="str">
        <x:v>90</x:v>
      </x:c>
      <x:c r="AH7" s="230" t="str">
        <x:v>5.430931500042789</x:v>
      </x:c>
      <x:c r="AI7" s="228" t="str">
        <x:v>True</x:v>
      </x:c>
      <x:c r="AJ7" s="228" t="str">
        <x:v>f7c865a658ca885edb9de84df8d38edab0f7df5e935f91202188dfcd402a42ac</x:v>
      </x:c>
      <x:c r="AK7" s="228" t="str">
        <x:v>0</x:v>
      </x:c>
      <x:c r="AL7" s="228" t="str">
        <x:v>0</x:v>
      </x:c>
      <x:c r="AM7" s="228" t="str"/>
      <x:c r="AN7" s="230" t="str">
        <x:v>0.059899099986068904</x:v>
      </x:c>
      <x:c r="AO7" s="228" t="str">
        <x:v>90</x:v>
      </x:c>
      <x:c r="AP7" s="228" t="str">
        <x:v>0</x:v>
      </x:c>
      <x:c r="AQ7" s="228" t="str">
        <x:v>0</x:v>
      </x:c>
      <x:c r="AR7" s="228" t="str">
        <x:v>90</x:v>
      </x:c>
      <x:c r="AS7" s="228" t="str">
        <x:v>5.490830600028858</x:v>
      </x:c>
      <x:c r="AT7" s="228" t="str">
        <x:v>True</x:v>
      </x:c>
      <x:c r="AU7" s="228" t="str">
        <x:v>f7c865a658ca885edb9de84df8d38edab0f7df5e935f91202188dfcd402a42ac</x:v>
      </x:c>
      <x:c r="AV7" s="228" t="str">
        <x:v>0</x:v>
      </x:c>
      <x:c r="AW7" s="228" t="str">
        <x:v>90</x:v>
      </x:c>
      <x:c r="AX7" s="228" t="str">
        <x:v>0</x:v>
      </x:c>
      <x:c r="AY7" s="230" t="str">
        <x:v>0.06280569999944419</x:v>
      </x:c>
      <x:c r="AZ7" s="228" t="str">
        <x:v>False</x:v>
      </x:c>
      <x:c r="BA7" s="228" t="str">
        <x:v>90</x:v>
      </x:c>
      <x:c r="BB7" s="230" t="str">
        <x:v>5.553636300028302</x:v>
      </x:c>
      <x:c r="BC7" s="228" t="str">
        <x:v>True</x:v>
      </x:c>
      <x:c r="BD7" s="228" t="str">
        <x:v>f7c865a658ca885edb9de84df8d38edab0f7df5e935f91202188dfcd402a42ac</x:v>
      </x:c>
      <x:c r="BE7" s="228" t="str">
        <x:v>0</x:v>
      </x:c>
      <x:c r="BF7" s="228" t="str">
        <x:v>0</x:v>
      </x:c>
      <x:c r="BG7" s="228" t="str">
        <x:v>2</x:v>
      </x:c>
      <x:c r="BH7" s="228" t="str">
        <x:v>526</x:v>
      </x:c>
      <x:c r="BI7" s="228" t="str">
        <x:v>97</x:v>
      </x:c>
      <x:c r="BJ7" s="230" t="str">
        <x:v>4.168559000012465</x:v>
      </x:c>
      <x:c r="BK7" s="228" t="str">
        <x:v>True</x:v>
      </x:c>
      <x:c r="BL7" s="228" t="str">
        <x:v>33985f55929f7a793d54717a80d733065c7497d6d6c89c8f49ea721dd14916d1</x:v>
      </x:c>
      <x:c r="BM7" s="228" t="str">
        <x:v>0</x:v>
      </x:c>
      <x:c r="BN7" s="228" t="str">
        <x:v>0</x:v>
      </x:c>
      <x:c r="BO7" s="228" t="str"/>
      <x:c r="BP7" s="230" t="str">
        <x:v>0.062418999965302646</x:v>
      </x:c>
      <x:c r="BQ7" s="228" t="str">
        <x:v>97</x:v>
      </x:c>
      <x:c r="BR7" s="228" t="str">
        <x:v>0</x:v>
      </x:c>
      <x:c r="BS7" s="228" t="str">
        <x:v>0</x:v>
      </x:c>
      <x:c r="BT7" s="228" t="str">
        <x:v>97</x:v>
      </x:c>
      <x:c r="BU7" s="228" t="str">
        <x:v>4.2309779999777675</x:v>
      </x:c>
      <x:c r="BV7" s="228" t="str">
        <x:v>True</x:v>
      </x:c>
      <x:c r="BW7" s="228" t="str">
        <x:v>33985f55929f7a793d54717a80d733065c7497d6d6c89c8f49ea721dd14916d1</x:v>
      </x:c>
      <x:c r="BX7" s="228" t="str">
        <x:v>0</x:v>
      </x:c>
      <x:c r="BY7" s="228" t="str">
        <x:v>97</x:v>
      </x:c>
      <x:c r="BZ7" s="228" t="str">
        <x:v>0</x:v>
      </x:c>
      <x:c r="CA7" s="230" t="str">
        <x:v>0.0686310000019148</x:v>
      </x:c>
      <x:c r="CB7" s="228" t="str">
        <x:v>False</x:v>
      </x:c>
      <x:c r="CC7" s="228" t="str">
        <x:v>97</x:v>
      </x:c>
      <x:c r="CD7" s="230" t="str">
        <x:v>4.299608999979682</x:v>
      </x:c>
      <x:c r="CE7" s="228" t="str">
        <x:v>True</x:v>
      </x:c>
      <x:c r="CF7" s="228" t="str">
        <x:v>33985f55929f7a793d54717a80d733065c7497d6d6c89c8f49ea721dd14916d1</x:v>
      </x:c>
      <x:c r="CG7" s="228" t="str">
        <x:v>0</x:v>
      </x:c>
      <x:c r="CH7" s="228" t="str">
        <x:v>0</x:v>
      </x:c>
      <x:c r="CI7" s="228" t="str">
        <x:v>1</x:v>
      </x:c>
      <x:c r="CJ7" s="228" t="str">
        <x:v>True</x:v>
      </x:c>
      <x:c r="CK7" s="228" t="str">
        <x:v>True</x:v>
      </x:c>
      <x:c r="CL7" s="228" t="str">
        <x:v>True</x:v>
      </x:c>
      <x:c r="CM7" s="228" t="str">
        <x:v>entropy</x:v>
      </x:c>
      <x:c r="CN7" s="228" t="str">
        <x:v>7</x:v>
      </x:c>
      <x:c r="CO7" s="230" t="str">
        <x:v>-1.2540273000486195</x:v>
      </x:c>
      <x:c r="CP7" s="228" t="str">
        <x:v>1.0777777777777777</x:v>
      </x:c>
      <x:c r="CQ7" s="228" t="str">
        <x:v>0.7741970787604099</x:v>
      </x:c>
      <x:c r="CR7" s="228" t="str">
        <x:v>1.2916607766088837</x:v>
      </x:c>
      <x:c r="CS7" s="228" t="str">
        <x:v>entropy</x:v>
      </x:c>
      <x:c r="CT7" s="228" t="str">
        <x:v>collision</x:v>
      </x:c>
      <x:c r="CU7" s="228" t="str">
        <x:v>tradeoff</x:v>
      </x:c>
      <x:c r="CV7" s="228" t="str">
        <x:v>neither</x:v>
      </x:c>
      <x:c r="CW7" s="228" t="str">
        <x:v>both_valid</x:v>
      </x:c>
      <x:c r="CX7" s="228" t="str">
        <x:v>none</x:v>
      </x:c>
      <x:c r="CY7" s="228" t="str">
        <x:v>none</x:v>
      </x:c>
    </x:row>
    <x:row r="8">
      <x:c r="A8" s="228" t="str">
        <x:v>final-paired-v2</x:v>
      </x:c>
      <x:c r="B8" s="228" t="str">
        <x:v>20260819</x:v>
      </x:c>
      <x:c r="C8" s="228" t="str">
        <x:v>1</x:v>
      </x:c>
      <x:c r="D8" s="228" t="str">
        <x:v>2</x:v>
      </x:c>
      <x:c r="E8" s="228" t="str">
        <x:v>n1000_r0.1_repeat2</x:v>
      </x:c>
      <x:c r="F8" s="228" t="str">
        <x:v>1000</x:v>
      </x:c>
      <x:c r="G8" s="228" t="str">
        <x:v>0.1</x:v>
      </x:c>
      <x:c r="H8" s="228" t="str">
        <x:v>2</x:v>
      </x:c>
      <x:c r="I8" s="228" t="str">
        <x:v>2660676369</x:v>
      </x:c>
      <x:c r="J8" s="228" t="str">
        <x:v>27ab066282aefd7b8952f5b9052619ac0559cca8a2bf425ac03356923b6d3a13</x:v>
      </x:c>
      <x:c r="K8" s="228" t="str">
        <x:v>14140</x:v>
      </x:c>
      <x:c r="L8" s="228" t="str">
        <x:v>1</x:v>
      </x:c>
      <x:c r="M8" s="228" t="str">
        <x:v>1000</x:v>
      </x:c>
      <x:c r="N8" s="228" t="str">
        <x:v>True</x:v>
      </x:c>
      <x:c r="O8" s="228" t="str">
        <x:v>0</x:v>
      </x:c>
      <x:c r="P8" s="228" t="str">
        <x:v>28.28</x:v>
      </x:c>
      <x:c r="Q8" s="228" t="str">
        <x:v>6.984239400249679</x:v>
      </x:c>
      <x:c r="R8" s="228" t="str">
        <x:v>7</x:v>
      </x:c>
      <x:c r="S8" s="228" t="str">
        <x:v>45</x:v>
      </x:c>
      <x:c r="T8" s="228" t="str">
        <x:v>0.028308308308308307</x:v>
      </x:c>
      <x:c r="U8" s="230" t="str">
        <x:v>0.01962090004235506</x:v>
      </x:c>
      <x:c r="V8" s="230" t="str">
        <x:v>0.06017720000818372</x:v>
      </x:c>
      <x:c r="W8" s="228" t="str">
        <x:v>True</x:v>
      </x:c>
      <x:c r="X8" s="228" t="str">
        <x:v>False</x:v>
      </x:c>
      <x:c r="Y8" s="228" t="str">
        <x:v>5</x:v>
      </x:c>
      <x:c r="Z8" s="228" t="str">
        <x:v>ich</x:v>
      </x:c>
      <x:c r="AA8" s="228" t="str">
        <x:v>3</x:v>
      </x:c>
      <x:c r="AB8" s="228" t="str">
        <x:v>circle,zoomed,ich,grid</x:v>
      </x:c>
      <x:c r="AC8" s="228" t="str">
        <x:v>3108132926</x:v>
      </x:c>
      <x:c r="AD8" s="228" t="str">
        <x:v>3108132926</x:v>
      </x:c>
      <x:c r="AE8" s="228" t="str">
        <x:v>collision,entropy</x:v>
      </x:c>
      <x:c r="AF8" s="228" t="str">
        <x:v>94</x:v>
      </x:c>
      <x:c r="AG8" s="228" t="str">
        <x:v>94</x:v>
      </x:c>
      <x:c r="AH8" s="230" t="str">
        <x:v>143.87796330009587</x:v>
      </x:c>
      <x:c r="AI8" s="228" t="str">
        <x:v>True</x:v>
      </x:c>
      <x:c r="AJ8" s="228" t="str">
        <x:v>6a54791496de3325973c82bab06323c2c6766ee16f99869b8213acb567cbfcdb</x:v>
      </x:c>
      <x:c r="AK8" s="228" t="str">
        <x:v>0</x:v>
      </x:c>
      <x:c r="AL8" s="228" t="str">
        <x:v>0</x:v>
      </x:c>
      <x:c r="AM8" s="228" t="str"/>
      <x:c r="AN8" s="230" t="str">
        <x:v>0.09038650000002235</x:v>
      </x:c>
      <x:c r="AO8" s="228" t="str">
        <x:v>94</x:v>
      </x:c>
      <x:c r="AP8" s="228" t="str">
        <x:v>0</x:v>
      </x:c>
      <x:c r="AQ8" s="228" t="str">
        <x:v>0</x:v>
      </x:c>
      <x:c r="AR8" s="228" t="str">
        <x:v>94</x:v>
      </x:c>
      <x:c r="AS8" s="228" t="str">
        <x:v>143.9683498000959</x:v>
      </x:c>
      <x:c r="AT8" s="228" t="str">
        <x:v>True</x:v>
      </x:c>
      <x:c r="AU8" s="228" t="str">
        <x:v>6a54791496de3325973c82bab06323c2c6766ee16f99869b8213acb567cbfcdb</x:v>
      </x:c>
      <x:c r="AV8" s="228" t="str">
        <x:v>0</x:v>
      </x:c>
      <x:c r="AW8" s="228" t="str">
        <x:v>94</x:v>
      </x:c>
      <x:c r="AX8" s="228" t="str">
        <x:v>10</x:v>
      </x:c>
      <x:c r="AY8" s="230" t="str">
        <x:v>0.30525289999786764</x:v>
      </x:c>
      <x:c r="AZ8" s="228" t="str">
        <x:v>False</x:v>
      </x:c>
      <x:c r="BA8" s="228" t="str">
        <x:v>84</x:v>
      </x:c>
      <x:c r="BB8" s="230" t="str">
        <x:v>144.27360270009376</x:v>
      </x:c>
      <x:c r="BC8" s="228" t="str">
        <x:v>True</x:v>
      </x:c>
      <x:c r="BD8" s="228" t="str">
        <x:v>a554143d9fa00d086f43e5f7ddaae3f1f8f60560d52ec188db79289b1c4eae5f</x:v>
      </x:c>
      <x:c r="BE8" s="228" t="str">
        <x:v>-10</x:v>
      </x:c>
      <x:c r="BF8" s="228" t="str">
        <x:v>0</x:v>
      </x:c>
      <x:c r="BG8" s="228" t="str">
        <x:v>2</x:v>
      </x:c>
      <x:c r="BH8" s="228" t="str">
        <x:v>92</x:v>
      </x:c>
      <x:c r="BI8" s="228" t="str">
        <x:v>92</x:v>
      </x:c>
      <x:c r="BJ8" s="230" t="str">
        <x:v>121.90537180006504</x:v>
      </x:c>
      <x:c r="BK8" s="228" t="str">
        <x:v>True</x:v>
      </x:c>
      <x:c r="BL8" s="228" t="str">
        <x:v>50fef7363ff6a5f44f52f9596586f9470e033ba75581f602274186920e142c11</x:v>
      </x:c>
      <x:c r="BM8" s="228" t="str">
        <x:v>0</x:v>
      </x:c>
      <x:c r="BN8" s="228" t="str">
        <x:v>0</x:v>
      </x:c>
      <x:c r="BO8" s="228" t="str"/>
      <x:c r="BP8" s="230" t="str">
        <x:v>0.05810529994778335</x:v>
      </x:c>
      <x:c r="BQ8" s="228" t="str">
        <x:v>92</x:v>
      </x:c>
      <x:c r="BR8" s="228" t="str">
        <x:v>0</x:v>
      </x:c>
      <x:c r="BS8" s="228" t="str">
        <x:v>0</x:v>
      </x:c>
      <x:c r="BT8" s="228" t="str">
        <x:v>92</x:v>
      </x:c>
      <x:c r="BU8" s="228" t="str">
        <x:v>121.96347710001282</x:v>
      </x:c>
      <x:c r="BV8" s="228" t="str">
        <x:v>True</x:v>
      </x:c>
      <x:c r="BW8" s="228" t="str">
        <x:v>50fef7363ff6a5f44f52f9596586f9470e033ba75581f602274186920e142c11</x:v>
      </x:c>
      <x:c r="BX8" s="228" t="str">
        <x:v>0</x:v>
      </x:c>
      <x:c r="BY8" s="228" t="str">
        <x:v>92</x:v>
      </x:c>
      <x:c r="BZ8" s="228" t="str">
        <x:v>6</x:v>
      </x:c>
      <x:c r="CA8" s="230" t="str">
        <x:v>0.12593900004867464</x:v>
      </x:c>
      <x:c r="CB8" s="228" t="str">
        <x:v>False</x:v>
      </x:c>
      <x:c r="CC8" s="228" t="str">
        <x:v>86</x:v>
      </x:c>
      <x:c r="CD8" s="230" t="str">
        <x:v>122.0894161000615</x:v>
      </x:c>
      <x:c r="CE8" s="228" t="str">
        <x:v>True</x:v>
      </x:c>
      <x:c r="CF8" s="228" t="str">
        <x:v>d983410e05321d5adc7ca346616639214b0b779b0c5a4531c43c06b38f3879d7</x:v>
      </x:c>
      <x:c r="CG8" s="228" t="str">
        <x:v>-6</x:v>
      </x:c>
      <x:c r="CH8" s="228" t="str">
        <x:v>0</x:v>
      </x:c>
      <x:c r="CI8" s="228" t="str">
        <x:v>1</x:v>
      </x:c>
      <x:c r="CJ8" s="228" t="str">
        <x:v>True</x:v>
      </x:c>
      <x:c r="CK8" s="228" t="str">
        <x:v>True</x:v>
      </x:c>
      <x:c r="CL8" s="228" t="str">
        <x:v>True</x:v>
      </x:c>
      <x:c r="CM8" s="228" t="str">
        <x:v>collision</x:v>
      </x:c>
      <x:c r="CN8" s="228" t="str">
        <x:v>2</x:v>
      </x:c>
      <x:c r="CO8" s="230" t="str">
        <x:v>-22.184186600032263</x:v>
      </x:c>
      <x:c r="CP8" s="228" t="str">
        <x:v>1.0238095238095237</x:v>
      </x:c>
      <x:c r="CQ8" s="228" t="str">
        <x:v>0.8462353044156854</x:v>
      </x:c>
      <x:c r="CR8" s="228" t="str">
        <x:v>1.1817044204867901</x:v>
      </x:c>
      <x:c r="CS8" s="228" t="str">
        <x:v>entropy</x:v>
      </x:c>
      <x:c r="CT8" s="228" t="str">
        <x:v>collision</x:v>
      </x:c>
      <x:c r="CU8" s="228" t="str">
        <x:v>tradeoff</x:v>
      </x:c>
      <x:c r="CV8" s="228" t="str">
        <x:v>neither</x:v>
      </x:c>
      <x:c r="CW8" s="228" t="str">
        <x:v>both_valid</x:v>
      </x:c>
      <x:c r="CX8" s="228" t="str">
        <x:v>none</x:v>
      </x:c>
      <x:c r="CY8" s="228" t="str">
        <x:v>none</x:v>
      </x:c>
    </x:row>
    <x:row r="9">
      <x:c r="A9" s="228" t="str">
        <x:v>final-paired-v2</x:v>
      </x:c>
      <x:c r="B9" s="228" t="str">
        <x:v>20260819</x:v>
      </x:c>
      <x:c r="C9" s="228" t="str">
        <x:v>1</x:v>
      </x:c>
      <x:c r="D9" s="228" t="str">
        <x:v>2</x:v>
      </x:c>
      <x:c r="E9" s="228" t="str">
        <x:v>n1000_r0.1_repeat2</x:v>
      </x:c>
      <x:c r="F9" s="228" t="str">
        <x:v>1000</x:v>
      </x:c>
      <x:c r="G9" s="228" t="str">
        <x:v>0.1</x:v>
      </x:c>
      <x:c r="H9" s="228" t="str">
        <x:v>2</x:v>
      </x:c>
      <x:c r="I9" s="228" t="str">
        <x:v>2660676369</x:v>
      </x:c>
      <x:c r="J9" s="228" t="str">
        <x:v>27ab066282aefd7b8952f5b9052619ac0559cca8a2bf425ac03356923b6d3a13</x:v>
      </x:c>
      <x:c r="K9" s="228" t="str">
        <x:v>14140</x:v>
      </x:c>
      <x:c r="L9" s="228" t="str">
        <x:v>1</x:v>
      </x:c>
      <x:c r="M9" s="228" t="str">
        <x:v>1000</x:v>
      </x:c>
      <x:c r="N9" s="228" t="str">
        <x:v>True</x:v>
      </x:c>
      <x:c r="O9" s="228" t="str">
        <x:v>0</x:v>
      </x:c>
      <x:c r="P9" s="228" t="str">
        <x:v>28.28</x:v>
      </x:c>
      <x:c r="Q9" s="228" t="str">
        <x:v>6.984239400249679</x:v>
      </x:c>
      <x:c r="R9" s="228" t="str">
        <x:v>7</x:v>
      </x:c>
      <x:c r="S9" s="228" t="str">
        <x:v>45</x:v>
      </x:c>
      <x:c r="T9" s="228" t="str">
        <x:v>0.028308308308308307</x:v>
      </x:c>
      <x:c r="U9" s="230" t="str">
        <x:v>0.01962090004235506</x:v>
      </x:c>
      <x:c r="V9" s="230" t="str">
        <x:v>0.06017720000818372</x:v>
      </x:c>
      <x:c r="W9" s="228" t="str">
        <x:v>True</x:v>
      </x:c>
      <x:c r="X9" s="228" t="str">
        <x:v>False</x:v>
      </x:c>
      <x:c r="Y9" s="228" t="str">
        <x:v>5</x:v>
      </x:c>
      <x:c r="Z9" s="228" t="str">
        <x:v>grid</x:v>
      </x:c>
      <x:c r="AA9" s="228" t="str">
        <x:v>4</x:v>
      </x:c>
      <x:c r="AB9" s="228" t="str">
        <x:v>circle,zoomed,ich,grid</x:v>
      </x:c>
      <x:c r="AC9" s="228" t="str">
        <x:v>10603176</x:v>
      </x:c>
      <x:c r="AD9" s="228" t="str">
        <x:v>10603176</x:v>
      </x:c>
      <x:c r="AE9" s="228" t="str">
        <x:v>collision,entropy</x:v>
      </x:c>
      <x:c r="AF9" s="228" t="str">
        <x:v>723</x:v>
      </x:c>
      <x:c r="AG9" s="228" t="str">
        <x:v>92</x:v>
      </x:c>
      <x:c r="AH9" s="230" t="str">
        <x:v>6.114178500021808</x:v>
      </x:c>
      <x:c r="AI9" s="228" t="str">
        <x:v>True</x:v>
      </x:c>
      <x:c r="AJ9" s="228" t="str">
        <x:v>251cb27658fd0cd1a7c7a62c45272705de6891a3cd48b813d7766672ddefc6b2</x:v>
      </x:c>
      <x:c r="AK9" s="228" t="str">
        <x:v>0</x:v>
      </x:c>
      <x:c r="AL9" s="228" t="str">
        <x:v>0</x:v>
      </x:c>
      <x:c r="AM9" s="228" t="str"/>
      <x:c r="AN9" s="230" t="str">
        <x:v>0.07323410001117736</x:v>
      </x:c>
      <x:c r="AO9" s="228" t="str">
        <x:v>92</x:v>
      </x:c>
      <x:c r="AP9" s="228" t="str">
        <x:v>0</x:v>
      </x:c>
      <x:c r="AQ9" s="228" t="str">
        <x:v>0</x:v>
      </x:c>
      <x:c r="AR9" s="228" t="str">
        <x:v>92</x:v>
      </x:c>
      <x:c r="AS9" s="228" t="str">
        <x:v>6.187412600032985</x:v>
      </x:c>
      <x:c r="AT9" s="228" t="str">
        <x:v>True</x:v>
      </x:c>
      <x:c r="AU9" s="228" t="str">
        <x:v>251cb27658fd0cd1a7c7a62c45272705de6891a3cd48b813d7766672ddefc6b2</x:v>
      </x:c>
      <x:c r="AV9" s="228" t="str">
        <x:v>0</x:v>
      </x:c>
      <x:c r="AW9" s="228" t="str">
        <x:v>92</x:v>
      </x:c>
      <x:c r="AX9" s="228" t="str">
        <x:v>0</x:v>
      </x:c>
      <x:c r="AY9" s="230" t="str">
        <x:v>0.08490480005275458</x:v>
      </x:c>
      <x:c r="AZ9" s="228" t="str">
        <x:v>False</x:v>
      </x:c>
      <x:c r="BA9" s="228" t="str">
        <x:v>92</x:v>
      </x:c>
      <x:c r="BB9" s="230" t="str">
        <x:v>6.27231740008574</x:v>
      </x:c>
      <x:c r="BC9" s="228" t="str">
        <x:v>True</x:v>
      </x:c>
      <x:c r="BD9" s="228" t="str">
        <x:v>251cb27658fd0cd1a7c7a62c45272705de6891a3cd48b813d7766672ddefc6b2</x:v>
      </x:c>
      <x:c r="BE9" s="228" t="str">
        <x:v>0</x:v>
      </x:c>
      <x:c r="BF9" s="228" t="str">
        <x:v>0</x:v>
      </x:c>
      <x:c r="BG9" s="228" t="str">
        <x:v>2</x:v>
      </x:c>
      <x:c r="BH9" s="228" t="str">
        <x:v>316</x:v>
      </x:c>
      <x:c r="BI9" s="228" t="str">
        <x:v>92</x:v>
      </x:c>
      <x:c r="BJ9" s="230" t="str">
        <x:v>3.254130100016482</x:v>
      </x:c>
      <x:c r="BK9" s="228" t="str">
        <x:v>True</x:v>
      </x:c>
      <x:c r="BL9" s="228" t="str">
        <x:v>58656bf6295f201d2126811b10f6093745935e2b132fa853c398e90ac3890571</x:v>
      </x:c>
      <x:c r="BM9" s="228" t="str">
        <x:v>0</x:v>
      </x:c>
      <x:c r="BN9" s="228" t="str">
        <x:v>0</x:v>
      </x:c>
      <x:c r="BO9" s="228" t="str"/>
      <x:c r="BP9" s="230" t="str">
        <x:v>0.06545639992691576</x:v>
      </x:c>
      <x:c r="BQ9" s="228" t="str">
        <x:v>92</x:v>
      </x:c>
      <x:c r="BR9" s="228" t="str">
        <x:v>0</x:v>
      </x:c>
      <x:c r="BS9" s="228" t="str">
        <x:v>0</x:v>
      </x:c>
      <x:c r="BT9" s="228" t="str">
        <x:v>92</x:v>
      </x:c>
      <x:c r="BU9" s="228" t="str">
        <x:v>3.319586499943398</x:v>
      </x:c>
      <x:c r="BV9" s="228" t="str">
        <x:v>True</x:v>
      </x:c>
      <x:c r="BW9" s="228" t="str">
        <x:v>58656bf6295f201d2126811b10f6093745935e2b132fa853c398e90ac3890571</x:v>
      </x:c>
      <x:c r="BX9" s="228" t="str">
        <x:v>0</x:v>
      </x:c>
      <x:c r="BY9" s="228" t="str">
        <x:v>92</x:v>
      </x:c>
      <x:c r="BZ9" s="228" t="str">
        <x:v>0</x:v>
      </x:c>
      <x:c r="CA9" s="230" t="str">
        <x:v>0.07912619994021952</x:v>
      </x:c>
      <x:c r="CB9" s="228" t="str">
        <x:v>False</x:v>
      </x:c>
      <x:c r="CC9" s="228" t="str">
        <x:v>92</x:v>
      </x:c>
      <x:c r="CD9" s="230" t="str">
        <x:v>3.3987126998836175</x:v>
      </x:c>
      <x:c r="CE9" s="228" t="str">
        <x:v>True</x:v>
      </x:c>
      <x:c r="CF9" s="228" t="str">
        <x:v>58656bf6295f201d2126811b10f6093745935e2b132fa853c398e90ac3890571</x:v>
      </x:c>
      <x:c r="CG9" s="228" t="str">
        <x:v>0</x:v>
      </x:c>
      <x:c r="CH9" s="228" t="str">
        <x:v>0</x:v>
      </x:c>
      <x:c r="CI9" s="228" t="str">
        <x:v>1</x:v>
      </x:c>
      <x:c r="CJ9" s="228" t="str">
        <x:v>True</x:v>
      </x:c>
      <x:c r="CK9" s="228" t="str">
        <x:v>True</x:v>
      </x:c>
      <x:c r="CL9" s="228" t="str">
        <x:v>True</x:v>
      </x:c>
      <x:c r="CM9" s="228" t="str">
        <x:v>tie</x:v>
      </x:c>
      <x:c r="CN9" s="228" t="str">
        <x:v>0</x:v>
      </x:c>
      <x:c r="CO9" s="230" t="str">
        <x:v>-2.8736047002021223</x:v>
      </x:c>
      <x:c r="CP9" s="228" t="str">
        <x:v>1.0</x:v>
      </x:c>
      <x:c r="CQ9" s="228" t="str">
        <x:v>0.5418591699197427</x:v>
      </x:c>
      <x:c r="CR9" s="228" t="str">
        <x:v>1.845497973482879</x:v>
      </x:c>
      <x:c r="CS9" s="228" t="str">
        <x:v>tie</x:v>
      </x:c>
      <x:c r="CT9" s="228" t="str">
        <x:v>collision</x:v>
      </x:c>
      <x:c r="CU9" s="228" t="str">
        <x:v>collision_dominates</x:v>
      </x:c>
      <x:c r="CV9" s="228" t="str">
        <x:v>neither</x:v>
      </x:c>
      <x:c r="CW9" s="228" t="str">
        <x:v>both_valid</x:v>
      </x:c>
      <x:c r="CX9" s="228" t="str">
        <x:v>none</x:v>
      </x:c>
      <x:c r="CY9" s="228" t="str">
        <x:v>none</x:v>
      </x:c>
    </x:row>
    <x:row r="10">
      <x:c r="A10" s="228" t="str">
        <x:v>final-paired-v2</x:v>
      </x:c>
      <x:c r="B10" s="228" t="str">
        <x:v>20260819</x:v>
      </x:c>
      <x:c r="C10" s="228" t="str">
        <x:v>1</x:v>
      </x:c>
      <x:c r="D10" s="228" t="str">
        <x:v>3</x:v>
      </x:c>
      <x:c r="E10" s="228" t="str">
        <x:v>n1000_r0.1_repeat3</x:v>
      </x:c>
      <x:c r="F10" s="228" t="str">
        <x:v>1000</x:v>
      </x:c>
      <x:c r="G10" s="228" t="str">
        <x:v>0.1</x:v>
      </x:c>
      <x:c r="H10" s="228" t="str">
        <x:v>3</x:v>
      </x:c>
      <x:c r="I10" s="228" t="str">
        <x:v>3000463575</x:v>
      </x:c>
      <x:c r="J10" s="228" t="str">
        <x:v>fa2409ad1eae50fe57a8910d26fe86f0e99acb6bd09de284119f10ba730baec6</x:v>
      </x:c>
      <x:c r="K10" s="228" t="str">
        <x:v>14547</x:v>
      </x:c>
      <x:c r="L10" s="228" t="str">
        <x:v>1</x:v>
      </x:c>
      <x:c r="M10" s="228" t="str">
        <x:v>1000</x:v>
      </x:c>
      <x:c r="N10" s="228" t="str">
        <x:v>True</x:v>
      </x:c>
      <x:c r="O10" s="228" t="str">
        <x:v>0</x:v>
      </x:c>
      <x:c r="P10" s="228" t="str">
        <x:v>29.094</x:v>
      </x:c>
      <x:c r="Q10" s="228" t="str">
        <x:v>7.534531438649652</x:v>
      </x:c>
      <x:c r="R10" s="228" t="str">
        <x:v>6</x:v>
      </x:c>
      <x:c r="S10" s="228" t="str">
        <x:v>50</x:v>
      </x:c>
      <x:c r="T10" s="228" t="str">
        <x:v>0.029123123123123124</x:v>
      </x:c>
      <x:c r="U10" s="230" t="str">
        <x:v>0.021038300008513033</x:v>
      </x:c>
      <x:c r="V10" s="230" t="str">
        <x:v>0.07317069999407977</x:v>
      </x:c>
      <x:c r="W10" s="228" t="str">
        <x:v>True</x:v>
      </x:c>
      <x:c r="X10" s="228" t="str">
        <x:v>False</x:v>
      </x:c>
      <x:c r="Y10" s="228" t="str">
        <x:v>5</x:v>
      </x:c>
      <x:c r="Z10" s="228" t="str">
        <x:v>zoomed</x:v>
      </x:c>
      <x:c r="AA10" s="228" t="str">
        <x:v>1</x:v>
      </x:c>
      <x:c r="AB10" s="228" t="str">
        <x:v>zoomed,ich,grid,circle</x:v>
      </x:c>
      <x:c r="AC10" s="228" t="str">
        <x:v>1885724386</x:v>
      </x:c>
      <x:c r="AD10" s="228" t="str">
        <x:v>1885724386</x:v>
      </x:c>
      <x:c r="AE10" s="228" t="str">
        <x:v>entropy,collision</x:v>
      </x:c>
      <x:c r="AF10" s="228" t="str">
        <x:v>771</x:v>
      </x:c>
      <x:c r="AG10" s="228" t="str">
        <x:v>98</x:v>
      </x:c>
      <x:c r="AH10" s="230" t="str">
        <x:v>8.285861799959093</x:v>
      </x:c>
      <x:c r="AI10" s="228" t="str">
        <x:v>True</x:v>
      </x:c>
      <x:c r="AJ10" s="228" t="str">
        <x:v>9566f89352c5a330dcb26ed0e799b04f7f73edbaaaa3884a5e2f4ae4e9c525d9</x:v>
      </x:c>
      <x:c r="AK10" s="228" t="str">
        <x:v>0</x:v>
      </x:c>
      <x:c r="AL10" s="228" t="str">
        <x:v>0</x:v>
      </x:c>
      <x:c r="AM10" s="228" t="str"/>
      <x:c r="AN10" s="230" t="str">
        <x:v>0.0918455000501126</x:v>
      </x:c>
      <x:c r="AO10" s="228" t="str">
        <x:v>98</x:v>
      </x:c>
      <x:c r="AP10" s="228" t="str">
        <x:v>0</x:v>
      </x:c>
      <x:c r="AQ10" s="228" t="str">
        <x:v>0</x:v>
      </x:c>
      <x:c r="AR10" s="228" t="str">
        <x:v>98</x:v>
      </x:c>
      <x:c r="AS10" s="228" t="str">
        <x:v>8.377707300009206</x:v>
      </x:c>
      <x:c r="AT10" s="228" t="str">
        <x:v>True</x:v>
      </x:c>
      <x:c r="AU10" s="228" t="str">
        <x:v>9566f89352c5a330dcb26ed0e799b04f7f73edbaaaa3884a5e2f4ae4e9c525d9</x:v>
      </x:c>
      <x:c r="AV10" s="228" t="str">
        <x:v>0</x:v>
      </x:c>
      <x:c r="AW10" s="228" t="str">
        <x:v>98</x:v>
      </x:c>
      <x:c r="AX10" s="228" t="str">
        <x:v>0</x:v>
      </x:c>
      <x:c r="AY10" s="230" t="str">
        <x:v>0.09970450005494058</x:v>
      </x:c>
      <x:c r="AZ10" s="228" t="str">
        <x:v>False</x:v>
      </x:c>
      <x:c r="BA10" s="228" t="str">
        <x:v>98</x:v>
      </x:c>
      <x:c r="BB10" s="230" t="str">
        <x:v>8.477411800064147</x:v>
      </x:c>
      <x:c r="BC10" s="228" t="str">
        <x:v>True</x:v>
      </x:c>
      <x:c r="BD10" s="228" t="str">
        <x:v>9566f89352c5a330dcb26ed0e799b04f7f73edbaaaa3884a5e2f4ae4e9c525d9</x:v>
      </x:c>
      <x:c r="BE10" s="228" t="str">
        <x:v>0</x:v>
      </x:c>
      <x:c r="BF10" s="228" t="str">
        <x:v>0</x:v>
      </x:c>
      <x:c r="BG10" s="228" t="str">
        <x:v>1</x:v>
      </x:c>
      <x:c r="BH10" s="228" t="str">
        <x:v>498</x:v>
      </x:c>
      <x:c r="BI10" s="228" t="str">
        <x:v>96</x:v>
      </x:c>
      <x:c r="BJ10" s="230" t="str">
        <x:v>5.875275600003079</x:v>
      </x:c>
      <x:c r="BK10" s="228" t="str">
        <x:v>True</x:v>
      </x:c>
      <x:c r="BL10" s="228" t="str">
        <x:v>bf039625a883ad7d38e3e7afd027df02f775c55642ee1a1d4a792cc91aef52a9</x:v>
      </x:c>
      <x:c r="BM10" s="228" t="str">
        <x:v>0</x:v>
      </x:c>
      <x:c r="BN10" s="228" t="str">
        <x:v>0</x:v>
      </x:c>
      <x:c r="BO10" s="228" t="str"/>
      <x:c r="BP10" s="230" t="str">
        <x:v>0.07314300001598895</x:v>
      </x:c>
      <x:c r="BQ10" s="228" t="str">
        <x:v>96</x:v>
      </x:c>
      <x:c r="BR10" s="228" t="str">
        <x:v>0</x:v>
      </x:c>
      <x:c r="BS10" s="228" t="str">
        <x:v>0</x:v>
      </x:c>
      <x:c r="BT10" s="228" t="str">
        <x:v>96</x:v>
      </x:c>
      <x:c r="BU10" s="228" t="str">
        <x:v>5.9484186000190675</x:v>
      </x:c>
      <x:c r="BV10" s="228" t="str">
        <x:v>True</x:v>
      </x:c>
      <x:c r="BW10" s="228" t="str">
        <x:v>bf039625a883ad7d38e3e7afd027df02f775c55642ee1a1d4a792cc91aef52a9</x:v>
      </x:c>
      <x:c r="BX10" s="228" t="str">
        <x:v>0</x:v>
      </x:c>
      <x:c r="BY10" s="228" t="str">
        <x:v>96</x:v>
      </x:c>
      <x:c r="BZ10" s="228" t="str">
        <x:v>0</x:v>
      </x:c>
      <x:c r="CA10" s="230" t="str">
        <x:v>0.07693019998259842</x:v>
      </x:c>
      <x:c r="CB10" s="228" t="str">
        <x:v>False</x:v>
      </x:c>
      <x:c r="CC10" s="228" t="str">
        <x:v>96</x:v>
      </x:c>
      <x:c r="CD10" s="230" t="str">
        <x:v>6.025348800001666</x:v>
      </x:c>
      <x:c r="CE10" s="228" t="str">
        <x:v>True</x:v>
      </x:c>
      <x:c r="CF10" s="228" t="str">
        <x:v>bf039625a883ad7d38e3e7afd027df02f775c55642ee1a1d4a792cc91aef52a9</x:v>
      </x:c>
      <x:c r="CG10" s="228" t="str">
        <x:v>0</x:v>
      </x:c>
      <x:c r="CH10" s="228" t="str">
        <x:v>0</x:v>
      </x:c>
      <x:c r="CI10" s="228" t="str">
        <x:v>2</x:v>
      </x:c>
      <x:c r="CJ10" s="228" t="str">
        <x:v>True</x:v>
      </x:c>
      <x:c r="CK10" s="228" t="str">
        <x:v>True</x:v>
      </x:c>
      <x:c r="CL10" s="228" t="str">
        <x:v>True</x:v>
      </x:c>
      <x:c r="CM10" s="228" t="str">
        <x:v>collision</x:v>
      </x:c>
      <x:c r="CN10" s="228" t="str">
        <x:v>-2</x:v>
      </x:c>
      <x:c r="CO10" s="230" t="str">
        <x:v>-2.4520630000624806</x:v>
      </x:c>
      <x:c r="CP10" s="228" t="str">
        <x:v>0.9795918367346939</x:v>
      </x:c>
      <x:c r="CQ10" s="228" t="str">
        <x:v>0.7107533457270618</x:v>
      </x:c>
      <x:c r="CR10" s="228" t="str">
        <x:v>1.4069578511474394</x:v>
      </x:c>
      <x:c r="CS10" s="228" t="str">
        <x:v>collision</x:v>
      </x:c>
      <x:c r="CT10" s="228" t="str">
        <x:v>collision</x:v>
      </x:c>
      <x:c r="CU10" s="228" t="str">
        <x:v>collision_dominates</x:v>
      </x:c>
      <x:c r="CV10" s="228" t="str">
        <x:v>neither</x:v>
      </x:c>
      <x:c r="CW10" s="228" t="str">
        <x:v>both_valid</x:v>
      </x:c>
      <x:c r="CX10" s="228" t="str">
        <x:v>none</x:v>
      </x:c>
      <x:c r="CY10" s="228" t="str">
        <x:v>none</x:v>
      </x:c>
    </x:row>
    <x:row r="11">
      <x:c r="A11" s="228" t="str">
        <x:v>final-paired-v2</x:v>
      </x:c>
      <x:c r="B11" s="228" t="str">
        <x:v>20260819</x:v>
      </x:c>
      <x:c r="C11" s="228" t="str">
        <x:v>1</x:v>
      </x:c>
      <x:c r="D11" s="228" t="str">
        <x:v>3</x:v>
      </x:c>
      <x:c r="E11" s="228" t="str">
        <x:v>n1000_r0.1_repeat3</x:v>
      </x:c>
      <x:c r="F11" s="228" t="str">
        <x:v>1000</x:v>
      </x:c>
      <x:c r="G11" s="228" t="str">
        <x:v>0.1</x:v>
      </x:c>
      <x:c r="H11" s="228" t="str">
        <x:v>3</x:v>
      </x:c>
      <x:c r="I11" s="228" t="str">
        <x:v>3000463575</x:v>
      </x:c>
      <x:c r="J11" s="228" t="str">
        <x:v>fa2409ad1eae50fe57a8910d26fe86f0e99acb6bd09de284119f10ba730baec6</x:v>
      </x:c>
      <x:c r="K11" s="228" t="str">
        <x:v>14547</x:v>
      </x:c>
      <x:c r="L11" s="228" t="str">
        <x:v>1</x:v>
      </x:c>
      <x:c r="M11" s="228" t="str">
        <x:v>1000</x:v>
      </x:c>
      <x:c r="N11" s="228" t="str">
        <x:v>True</x:v>
      </x:c>
      <x:c r="O11" s="228" t="str">
        <x:v>0</x:v>
      </x:c>
      <x:c r="P11" s="228" t="str">
        <x:v>29.094</x:v>
      </x:c>
      <x:c r="Q11" s="228" t="str">
        <x:v>7.534531438649652</x:v>
      </x:c>
      <x:c r="R11" s="228" t="str">
        <x:v>6</x:v>
      </x:c>
      <x:c r="S11" s="228" t="str">
        <x:v>50</x:v>
      </x:c>
      <x:c r="T11" s="228" t="str">
        <x:v>0.029123123123123124</x:v>
      </x:c>
      <x:c r="U11" s="230" t="str">
        <x:v>0.021038300008513033</x:v>
      </x:c>
      <x:c r="V11" s="230" t="str">
        <x:v>0.07317069999407977</x:v>
      </x:c>
      <x:c r="W11" s="228" t="str">
        <x:v>True</x:v>
      </x:c>
      <x:c r="X11" s="228" t="str">
        <x:v>False</x:v>
      </x:c>
      <x:c r="Y11" s="228" t="str">
        <x:v>5</x:v>
      </x:c>
      <x:c r="Z11" s="228" t="str">
        <x:v>ich</x:v>
      </x:c>
      <x:c r="AA11" s="228" t="str">
        <x:v>2</x:v>
      </x:c>
      <x:c r="AB11" s="228" t="str">
        <x:v>zoomed,ich,grid,circle</x:v>
      </x:c>
      <x:c r="AC11" s="228" t="str">
        <x:v>2500041720</x:v>
      </x:c>
      <x:c r="AD11" s="228" t="str">
        <x:v>2500041720</x:v>
      </x:c>
      <x:c r="AE11" s="228" t="str">
        <x:v>entropy,collision</x:v>
      </x:c>
      <x:c r="AF11" s="228" t="str">
        <x:v>97</x:v>
      </x:c>
      <x:c r="AG11" s="228" t="str">
        <x:v>97</x:v>
      </x:c>
      <x:c r="AH11" s="230" t="str">
        <x:v>147.0675422999775</x:v>
      </x:c>
      <x:c r="AI11" s="228" t="str">
        <x:v>True</x:v>
      </x:c>
      <x:c r="AJ11" s="228" t="str">
        <x:v>bb35cd8273ca531c162f94ccb19a5ebca935df70eecacba0f934329c9a69bbdb</x:v>
      </x:c>
      <x:c r="AK11" s="228" t="str">
        <x:v>0</x:v>
      </x:c>
      <x:c r="AL11" s="228" t="str">
        <x:v>0</x:v>
      </x:c>
      <x:c r="AM11" s="228" t="str"/>
      <x:c r="AN11" s="230" t="str">
        <x:v>0.07015220005996525</x:v>
      </x:c>
      <x:c r="AO11" s="228" t="str">
        <x:v>97</x:v>
      </x:c>
      <x:c r="AP11" s="228" t="str">
        <x:v>0</x:v>
      </x:c>
      <x:c r="AQ11" s="228" t="str">
        <x:v>0</x:v>
      </x:c>
      <x:c r="AR11" s="228" t="str">
        <x:v>97</x:v>
      </x:c>
      <x:c r="AS11" s="228" t="str">
        <x:v>147.13769450003747</x:v>
      </x:c>
      <x:c r="AT11" s="228" t="str">
        <x:v>True</x:v>
      </x:c>
      <x:c r="AU11" s="228" t="str">
        <x:v>bb35cd8273ca531c162f94ccb19a5ebca935df70eecacba0f934329c9a69bbdb</x:v>
      </x:c>
      <x:c r="AV11" s="228" t="str">
        <x:v>0</x:v>
      </x:c>
      <x:c r="AW11" s="228" t="str">
        <x:v>97</x:v>
      </x:c>
      <x:c r="AX11" s="228" t="str">
        <x:v>4</x:v>
      </x:c>
      <x:c r="AY11" s="230" t="str">
        <x:v>0.15779520000796765</x:v>
      </x:c>
      <x:c r="AZ11" s="228" t="str">
        <x:v>False</x:v>
      </x:c>
      <x:c r="BA11" s="228" t="str">
        <x:v>93</x:v>
      </x:c>
      <x:c r="BB11" s="230" t="str">
        <x:v>147.29548970004544</x:v>
      </x:c>
      <x:c r="BC11" s="228" t="str">
        <x:v>True</x:v>
      </x:c>
      <x:c r="BD11" s="228" t="str">
        <x:v>359c3a6ffdec516c9635deec8939e255191f6c01f054bfe50dd49ac57f1ae3a0</x:v>
      </x:c>
      <x:c r="BE11" s="228" t="str">
        <x:v>-4</x:v>
      </x:c>
      <x:c r="BF11" s="228" t="str">
        <x:v>0</x:v>
      </x:c>
      <x:c r="BG11" s="228" t="str">
        <x:v>1</x:v>
      </x:c>
      <x:c r="BH11" s="228" t="str">
        <x:v>102</x:v>
      </x:c>
      <x:c r="BI11" s="228" t="str">
        <x:v>102</x:v>
      </x:c>
      <x:c r="BJ11" s="230" t="str">
        <x:v>140.46253240003716</x:v>
      </x:c>
      <x:c r="BK11" s="228" t="str">
        <x:v>True</x:v>
      </x:c>
      <x:c r="BL11" s="228" t="str">
        <x:v>4bbeae338eb7792ade90d7e3d146be18f77208c53aa89b2b3c8ee0884dfb106b</x:v>
      </x:c>
      <x:c r="BM11" s="228" t="str">
        <x:v>0</x:v>
      </x:c>
      <x:c r="BN11" s="228" t="str">
        <x:v>0</x:v>
      </x:c>
      <x:c r="BO11" s="228" t="str"/>
      <x:c r="BP11" s="230" t="str">
        <x:v>0.0811271999264136</x:v>
      </x:c>
      <x:c r="BQ11" s="228" t="str">
        <x:v>102</x:v>
      </x:c>
      <x:c r="BR11" s="228" t="str">
        <x:v>0</x:v>
      </x:c>
      <x:c r="BS11" s="228" t="str">
        <x:v>0</x:v>
      </x:c>
      <x:c r="BT11" s="228" t="str">
        <x:v>102</x:v>
      </x:c>
      <x:c r="BU11" s="228" t="str">
        <x:v>140.54365959996358</x:v>
      </x:c>
      <x:c r="BV11" s="228" t="str">
        <x:v>True</x:v>
      </x:c>
      <x:c r="BW11" s="228" t="str">
        <x:v>4bbeae338eb7792ade90d7e3d146be18f77208c53aa89b2b3c8ee0884dfb106b</x:v>
      </x:c>
      <x:c r="BX11" s="228" t="str">
        <x:v>0</x:v>
      </x:c>
      <x:c r="BY11" s="228" t="str">
        <x:v>102</x:v>
      </x:c>
      <x:c r="BZ11" s="228" t="str">
        <x:v>7</x:v>
      </x:c>
      <x:c r="CA11" s="230" t="str">
        <x:v>0.2263220000313595</x:v>
      </x:c>
      <x:c r="CB11" s="228" t="str">
        <x:v>False</x:v>
      </x:c>
      <x:c r="CC11" s="228" t="str">
        <x:v>95</x:v>
      </x:c>
      <x:c r="CD11" s="230" t="str">
        <x:v>140.76998159999494</x:v>
      </x:c>
      <x:c r="CE11" s="228" t="str">
        <x:v>True</x:v>
      </x:c>
      <x:c r="CF11" s="228" t="str">
        <x:v>fc6e01f1ef515c77408f73a2b9beb9d393f9070584346fbb08aad4dc5098d66a</x:v>
      </x:c>
      <x:c r="CG11" s="228" t="str">
        <x:v>-7</x:v>
      </x:c>
      <x:c r="CH11" s="228" t="str">
        <x:v>0</x:v>
      </x:c>
      <x:c r="CI11" s="228" t="str">
        <x:v>2</x:v>
      </x:c>
      <x:c r="CJ11" s="228" t="str">
        <x:v>True</x:v>
      </x:c>
      <x:c r="CK11" s="228" t="str">
        <x:v>True</x:v>
      </x:c>
      <x:c r="CL11" s="228" t="str">
        <x:v>True</x:v>
      </x:c>
      <x:c r="CM11" s="228" t="str">
        <x:v>entropy</x:v>
      </x:c>
      <x:c r="CN11" s="228" t="str">
        <x:v>2</x:v>
      </x:c>
      <x:c r="CO11" s="230" t="str">
        <x:v>-6.5255081000505015</x:v>
      </x:c>
      <x:c r="CP11" s="228" t="str">
        <x:v>1.021505376344086</x:v>
      </x:c>
      <x:c r="CQ11" s="228" t="str">
        <x:v>0.9556978417102986</x:v>
      </x:c>
      <x:c r="CR11" s="228" t="str">
        <x:v>1.0463558212189945</x:v>
      </x:c>
      <x:c r="CS11" s="228" t="str">
        <x:v>entropy</x:v>
      </x:c>
      <x:c r="CT11" s="228" t="str">
        <x:v>collision</x:v>
      </x:c>
      <x:c r="CU11" s="228" t="str">
        <x:v>tradeoff</x:v>
      </x:c>
      <x:c r="CV11" s="228" t="str">
        <x:v>neither</x:v>
      </x:c>
      <x:c r="CW11" s="228" t="str">
        <x:v>both_valid</x:v>
      </x:c>
      <x:c r="CX11" s="228" t="str">
        <x:v>none</x:v>
      </x:c>
      <x:c r="CY11" s="228" t="str">
        <x:v>none</x:v>
      </x:c>
    </x:row>
    <x:row r="12">
      <x:c r="A12" s="228" t="str">
        <x:v>final-paired-v2</x:v>
      </x:c>
      <x:c r="B12" s="228" t="str">
        <x:v>20260819</x:v>
      </x:c>
      <x:c r="C12" s="228" t="str">
        <x:v>1</x:v>
      </x:c>
      <x:c r="D12" s="228" t="str">
        <x:v>3</x:v>
      </x:c>
      <x:c r="E12" s="228" t="str">
        <x:v>n1000_r0.1_repeat3</x:v>
      </x:c>
      <x:c r="F12" s="228" t="str">
        <x:v>1000</x:v>
      </x:c>
      <x:c r="G12" s="228" t="str">
        <x:v>0.1</x:v>
      </x:c>
      <x:c r="H12" s="228" t="str">
        <x:v>3</x:v>
      </x:c>
      <x:c r="I12" s="228" t="str">
        <x:v>3000463575</x:v>
      </x:c>
      <x:c r="J12" s="228" t="str">
        <x:v>fa2409ad1eae50fe57a8910d26fe86f0e99acb6bd09de284119f10ba730baec6</x:v>
      </x:c>
      <x:c r="K12" s="228" t="str">
        <x:v>14547</x:v>
      </x:c>
      <x:c r="L12" s="228" t="str">
        <x:v>1</x:v>
      </x:c>
      <x:c r="M12" s="228" t="str">
        <x:v>1000</x:v>
      </x:c>
      <x:c r="N12" s="228" t="str">
        <x:v>True</x:v>
      </x:c>
      <x:c r="O12" s="228" t="str">
        <x:v>0</x:v>
      </x:c>
      <x:c r="P12" s="228" t="str">
        <x:v>29.094</x:v>
      </x:c>
      <x:c r="Q12" s="228" t="str">
        <x:v>7.534531438649652</x:v>
      </x:c>
      <x:c r="R12" s="228" t="str">
        <x:v>6</x:v>
      </x:c>
      <x:c r="S12" s="228" t="str">
        <x:v>50</x:v>
      </x:c>
      <x:c r="T12" s="228" t="str">
        <x:v>0.029123123123123124</x:v>
      </x:c>
      <x:c r="U12" s="230" t="str">
        <x:v>0.021038300008513033</x:v>
      </x:c>
      <x:c r="V12" s="230" t="str">
        <x:v>0.07317069999407977</x:v>
      </x:c>
      <x:c r="W12" s="228" t="str">
        <x:v>True</x:v>
      </x:c>
      <x:c r="X12" s="228" t="str">
        <x:v>False</x:v>
      </x:c>
      <x:c r="Y12" s="228" t="str">
        <x:v>5</x:v>
      </x:c>
      <x:c r="Z12" s="228" t="str">
        <x:v>grid</x:v>
      </x:c>
      <x:c r="AA12" s="228" t="str">
        <x:v>3</x:v>
      </x:c>
      <x:c r="AB12" s="228" t="str">
        <x:v>zoomed,ich,grid,circle</x:v>
      </x:c>
      <x:c r="AC12" s="228" t="str">
        <x:v>752879982</x:v>
      </x:c>
      <x:c r="AD12" s="228" t="str">
        <x:v>752879982</x:v>
      </x:c>
      <x:c r="AE12" s="228" t="str">
        <x:v>entropy,collision</x:v>
      </x:c>
      <x:c r="AF12" s="228" t="str">
        <x:v>757</x:v>
      </x:c>
      <x:c r="AG12" s="228" t="str">
        <x:v>96</x:v>
      </x:c>
      <x:c r="AH12" s="230" t="str">
        <x:v>6.546981699997559</x:v>
      </x:c>
      <x:c r="AI12" s="228" t="str">
        <x:v>True</x:v>
      </x:c>
      <x:c r="AJ12" s="228" t="str">
        <x:v>39b9acd87247023e38dc9553c6296fce405791220ecfdf04a8ad846afe03609a</x:v>
      </x:c>
      <x:c r="AK12" s="228" t="str">
        <x:v>0</x:v>
      </x:c>
      <x:c r="AL12" s="228" t="str">
        <x:v>0</x:v>
      </x:c>
      <x:c r="AM12" s="228" t="str"/>
      <x:c r="AN12" s="230" t="str">
        <x:v>0.0718081999802962</x:v>
      </x:c>
      <x:c r="AO12" s="228" t="str">
        <x:v>96</x:v>
      </x:c>
      <x:c r="AP12" s="228" t="str">
        <x:v>0</x:v>
      </x:c>
      <x:c r="AQ12" s="228" t="str">
        <x:v>0</x:v>
      </x:c>
      <x:c r="AR12" s="228" t="str">
        <x:v>96</x:v>
      </x:c>
      <x:c r="AS12" s="228" t="str">
        <x:v>6.618789899977855</x:v>
      </x:c>
      <x:c r="AT12" s="228" t="str">
        <x:v>True</x:v>
      </x:c>
      <x:c r="AU12" s="228" t="str">
        <x:v>39b9acd87247023e38dc9553c6296fce405791220ecfdf04a8ad846afe03609a</x:v>
      </x:c>
      <x:c r="AV12" s="228" t="str">
        <x:v>0</x:v>
      </x:c>
      <x:c r="AW12" s="228" t="str">
        <x:v>96</x:v>
      </x:c>
      <x:c r="AX12" s="228" t="str">
        <x:v>0</x:v>
      </x:c>
      <x:c r="AY12" s="230" t="str">
        <x:v>0.08030969998799264</x:v>
      </x:c>
      <x:c r="AZ12" s="228" t="str">
        <x:v>False</x:v>
      </x:c>
      <x:c r="BA12" s="228" t="str">
        <x:v>96</x:v>
      </x:c>
      <x:c r="BB12" s="230" t="str">
        <x:v>6.699099599965848</x:v>
      </x:c>
      <x:c r="BC12" s="228" t="str">
        <x:v>True</x:v>
      </x:c>
      <x:c r="BD12" s="228" t="str">
        <x:v>39b9acd87247023e38dc9553c6296fce405791220ecfdf04a8ad846afe03609a</x:v>
      </x:c>
      <x:c r="BE12" s="228" t="str">
        <x:v>0</x:v>
      </x:c>
      <x:c r="BF12" s="228" t="str">
        <x:v>0</x:v>
      </x:c>
      <x:c r="BG12" s="228" t="str">
        <x:v>1</x:v>
      </x:c>
      <x:c r="BH12" s="228" t="str">
        <x:v>341</x:v>
      </x:c>
      <x:c r="BI12" s="228" t="str">
        <x:v>103</x:v>
      </x:c>
      <x:c r="BJ12" s="230" t="str">
        <x:v>3.552034599939361</x:v>
      </x:c>
      <x:c r="BK12" s="228" t="str">
        <x:v>True</x:v>
      </x:c>
      <x:c r="BL12" s="228" t="str">
        <x:v>6c531833c0f19a31c62004f4a6425407a4a4dbe6ff812ba0dc9fddbbde419fcc</x:v>
      </x:c>
      <x:c r="BM12" s="228" t="str">
        <x:v>0</x:v>
      </x:c>
      <x:c r="BN12" s="228" t="str">
        <x:v>0</x:v>
      </x:c>
      <x:c r="BO12" s="228" t="str"/>
      <x:c r="BP12" s="230" t="str">
        <x:v>0.07280610001180321</x:v>
      </x:c>
      <x:c r="BQ12" s="228" t="str">
        <x:v>103</x:v>
      </x:c>
      <x:c r="BR12" s="228" t="str">
        <x:v>0</x:v>
      </x:c>
      <x:c r="BS12" s="228" t="str">
        <x:v>0</x:v>
      </x:c>
      <x:c r="BT12" s="228" t="str">
        <x:v>103</x:v>
      </x:c>
      <x:c r="BU12" s="228" t="str">
        <x:v>3.6248406999511644</x:v>
      </x:c>
      <x:c r="BV12" s="228" t="str">
        <x:v>True</x:v>
      </x:c>
      <x:c r="BW12" s="228" t="str">
        <x:v>6c531833c0f19a31c62004f4a6425407a4a4dbe6ff812ba0dc9fddbbde419fcc</x:v>
      </x:c>
      <x:c r="BX12" s="228" t="str">
        <x:v>0</x:v>
      </x:c>
      <x:c r="BY12" s="228" t="str">
        <x:v>103</x:v>
      </x:c>
      <x:c r="BZ12" s="228" t="str">
        <x:v>0</x:v>
      </x:c>
      <x:c r="CA12" s="230" t="str">
        <x:v>0.08540480001829565</x:v>
      </x:c>
      <x:c r="CB12" s="228" t="str">
        <x:v>False</x:v>
      </x:c>
      <x:c r="CC12" s="228" t="str">
        <x:v>103</x:v>
      </x:c>
      <x:c r="CD12" s="230" t="str">
        <x:v>3.71024549996946</x:v>
      </x:c>
      <x:c r="CE12" s="228" t="str">
        <x:v>True</x:v>
      </x:c>
      <x:c r="CF12" s="228" t="str">
        <x:v>6c531833c0f19a31c62004f4a6425407a4a4dbe6ff812ba0dc9fddbbde419fcc</x:v>
      </x:c>
      <x:c r="CG12" s="228" t="str">
        <x:v>0</x:v>
      </x:c>
      <x:c r="CH12" s="228" t="str">
        <x:v>0</x:v>
      </x:c>
      <x:c r="CI12" s="228" t="str">
        <x:v>2</x:v>
      </x:c>
      <x:c r="CJ12" s="228" t="str">
        <x:v>True</x:v>
      </x:c>
      <x:c r="CK12" s="228" t="str">
        <x:v>True</x:v>
      </x:c>
      <x:c r="CL12" s="228" t="str">
        <x:v>True</x:v>
      </x:c>
      <x:c r="CM12" s="228" t="str">
        <x:v>entropy</x:v>
      </x:c>
      <x:c r="CN12" s="228" t="str">
        <x:v>7</x:v>
      </x:c>
      <x:c r="CO12" s="230" t="str">
        <x:v>-2.988854099996388</x:v>
      </x:c>
      <x:c r="CP12" s="228" t="str">
        <x:v>1.0729166666666667</x:v>
      </x:c>
      <x:c r="CQ12" s="228" t="str">
        <x:v>0.553842414880408</x:v>
      </x:c>
      <x:c r="CR12" s="228" t="str">
        <x:v>1.8055677447815757</x:v>
      </x:c>
      <x:c r="CS12" s="228" t="str">
        <x:v>entropy</x:v>
      </x:c>
      <x:c r="CT12" s="228" t="str">
        <x:v>collision</x:v>
      </x:c>
      <x:c r="CU12" s="228" t="str">
        <x:v>tradeoff</x:v>
      </x:c>
      <x:c r="CV12" s="228" t="str">
        <x:v>neither</x:v>
      </x:c>
      <x:c r="CW12" s="228" t="str">
        <x:v>both_valid</x:v>
      </x:c>
      <x:c r="CX12" s="228" t="str">
        <x:v>none</x:v>
      </x:c>
      <x:c r="CY12" s="228" t="str">
        <x:v>none</x:v>
      </x:c>
    </x:row>
    <x:row r="13">
      <x:c r="A13" s="228" t="str">
        <x:v>final-paired-v2</x:v>
      </x:c>
      <x:c r="B13" s="228" t="str">
        <x:v>20260819</x:v>
      </x:c>
      <x:c r="C13" s="228" t="str">
        <x:v>1</x:v>
      </x:c>
      <x:c r="D13" s="228" t="str">
        <x:v>3</x:v>
      </x:c>
      <x:c r="E13" s="228" t="str">
        <x:v>n1000_r0.1_repeat3</x:v>
      </x:c>
      <x:c r="F13" s="228" t="str">
        <x:v>1000</x:v>
      </x:c>
      <x:c r="G13" s="228" t="str">
        <x:v>0.1</x:v>
      </x:c>
      <x:c r="H13" s="228" t="str">
        <x:v>3</x:v>
      </x:c>
      <x:c r="I13" s="228" t="str">
        <x:v>3000463575</x:v>
      </x:c>
      <x:c r="J13" s="228" t="str">
        <x:v>fa2409ad1eae50fe57a8910d26fe86f0e99acb6bd09de284119f10ba730baec6</x:v>
      </x:c>
      <x:c r="K13" s="228" t="str">
        <x:v>14547</x:v>
      </x:c>
      <x:c r="L13" s="228" t="str">
        <x:v>1</x:v>
      </x:c>
      <x:c r="M13" s="228" t="str">
        <x:v>1000</x:v>
      </x:c>
      <x:c r="N13" s="228" t="str">
        <x:v>True</x:v>
      </x:c>
      <x:c r="O13" s="228" t="str">
        <x:v>0</x:v>
      </x:c>
      <x:c r="P13" s="228" t="str">
        <x:v>29.094</x:v>
      </x:c>
      <x:c r="Q13" s="228" t="str">
        <x:v>7.534531438649652</x:v>
      </x:c>
      <x:c r="R13" s="228" t="str">
        <x:v>6</x:v>
      </x:c>
      <x:c r="S13" s="228" t="str">
        <x:v>50</x:v>
      </x:c>
      <x:c r="T13" s="228" t="str">
        <x:v>0.029123123123123124</x:v>
      </x:c>
      <x:c r="U13" s="230" t="str">
        <x:v>0.021038300008513033</x:v>
      </x:c>
      <x:c r="V13" s="230" t="str">
        <x:v>0.07317069999407977</x:v>
      </x:c>
      <x:c r="W13" s="228" t="str">
        <x:v>True</x:v>
      </x:c>
      <x:c r="X13" s="228" t="str">
        <x:v>False</x:v>
      </x:c>
      <x:c r="Y13" s="228" t="str">
        <x:v>5</x:v>
      </x:c>
      <x:c r="Z13" s="228" t="str">
        <x:v>circle</x:v>
      </x:c>
      <x:c r="AA13" s="228" t="str">
        <x:v>4</x:v>
      </x:c>
      <x:c r="AB13" s="228" t="str">
        <x:v>zoomed,ich,grid,circle</x:v>
      </x:c>
      <x:c r="AC13" s="228" t="str">
        <x:v>926726844</x:v>
      </x:c>
      <x:c r="AD13" s="228" t="str">
        <x:v>926726844</x:v>
      </x:c>
      <x:c r="AE13" s="228" t="str">
        <x:v>entropy,collision</x:v>
      </x:c>
      <x:c r="AF13" s="228" t="str">
        <x:v>770</x:v>
      </x:c>
      <x:c r="AG13" s="228" t="str">
        <x:v>100</x:v>
      </x:c>
      <x:c r="AH13" s="230" t="str">
        <x:v>6.534033400006592</x:v>
      </x:c>
      <x:c r="AI13" s="228" t="str">
        <x:v>True</x:v>
      </x:c>
      <x:c r="AJ13" s="228" t="str">
        <x:v>5a56ab6bc8256a2f756bd6e206d06c2788420eb51562ee46396249ebe7e986e7</x:v>
      </x:c>
      <x:c r="AK13" s="228" t="str">
        <x:v>0</x:v>
      </x:c>
      <x:c r="AL13" s="228" t="str">
        <x:v>0</x:v>
      </x:c>
      <x:c r="AM13" s="228" t="str"/>
      <x:c r="AN13" s="230" t="str">
        <x:v>0.06518369994591922</x:v>
      </x:c>
      <x:c r="AO13" s="228" t="str">
        <x:v>100</x:v>
      </x:c>
      <x:c r="AP13" s="228" t="str">
        <x:v>0</x:v>
      </x:c>
      <x:c r="AQ13" s="228" t="str">
        <x:v>0</x:v>
      </x:c>
      <x:c r="AR13" s="228" t="str">
        <x:v>100</x:v>
      </x:c>
      <x:c r="AS13" s="228" t="str">
        <x:v>6.5992170999525115</x:v>
      </x:c>
      <x:c r="AT13" s="228" t="str">
        <x:v>True</x:v>
      </x:c>
      <x:c r="AU13" s="228" t="str">
        <x:v>5a56ab6bc8256a2f756bd6e206d06c2788420eb51562ee46396249ebe7e986e7</x:v>
      </x:c>
      <x:c r="AV13" s="228" t="str">
        <x:v>0</x:v>
      </x:c>
      <x:c r="AW13" s="228" t="str">
        <x:v>100</x:v>
      </x:c>
      <x:c r="AX13" s="228" t="str">
        <x:v>0</x:v>
      </x:c>
      <x:c r="AY13" s="230" t="str">
        <x:v>0.07291879993863404</x:v>
      </x:c>
      <x:c r="AZ13" s="228" t="str">
        <x:v>False</x:v>
      </x:c>
      <x:c r="BA13" s="228" t="str">
        <x:v>100</x:v>
      </x:c>
      <x:c r="BB13" s="230" t="str">
        <x:v>6.6721358998911455</x:v>
      </x:c>
      <x:c r="BC13" s="228" t="str">
        <x:v>True</x:v>
      </x:c>
      <x:c r="BD13" s="228" t="str">
        <x:v>5a56ab6bc8256a2f756bd6e206d06c2788420eb51562ee46396249ebe7e986e7</x:v>
      </x:c>
      <x:c r="BE13" s="228" t="str">
        <x:v>0</x:v>
      </x:c>
      <x:c r="BF13" s="228" t="str">
        <x:v>0</x:v>
      </x:c>
      <x:c r="BG13" s="228" t="str">
        <x:v>1</x:v>
      </x:c>
      <x:c r="BH13" s="228" t="str">
        <x:v>626</x:v>
      </x:c>
      <x:c r="BI13" s="228" t="str">
        <x:v>96</x:v>
      </x:c>
      <x:c r="BJ13" s="230" t="str">
        <x:v>5.873178599984385</x:v>
      </x:c>
      <x:c r="BK13" s="228" t="str">
        <x:v>True</x:v>
      </x:c>
      <x:c r="BL13" s="228" t="str">
        <x:v>8b34cd11a5ddaf57f094dd82038a66f7197fdeef8bf51a8e69e2183776985e4d</x:v>
      </x:c>
      <x:c r="BM13" s="228" t="str">
        <x:v>0</x:v>
      </x:c>
      <x:c r="BN13" s="228" t="str">
        <x:v>0</x:v>
      </x:c>
      <x:c r="BO13" s="228" t="str"/>
      <x:c r="BP13" s="230" t="str">
        <x:v>0.07863070000894368</x:v>
      </x:c>
      <x:c r="BQ13" s="228" t="str">
        <x:v>96</x:v>
      </x:c>
      <x:c r="BR13" s="228" t="str">
        <x:v>0</x:v>
      </x:c>
      <x:c r="BS13" s="228" t="str">
        <x:v>0</x:v>
      </x:c>
      <x:c r="BT13" s="228" t="str">
        <x:v>96</x:v>
      </x:c>
      <x:c r="BU13" s="228" t="str">
        <x:v>5.951809299993329</x:v>
      </x:c>
      <x:c r="BV13" s="228" t="str">
        <x:v>True</x:v>
      </x:c>
      <x:c r="BW13" s="228" t="str">
        <x:v>8b34cd11a5ddaf57f094dd82038a66f7197fdeef8bf51a8e69e2183776985e4d</x:v>
      </x:c>
      <x:c r="BX13" s="228" t="str">
        <x:v>0</x:v>
      </x:c>
      <x:c r="BY13" s="228" t="str">
        <x:v>96</x:v>
      </x:c>
      <x:c r="BZ13" s="228" t="str">
        <x:v>0</x:v>
      </x:c>
      <x:c r="CA13" s="230" t="str">
        <x:v>0.07602380006574094</x:v>
      </x:c>
      <x:c r="CB13" s="228" t="str">
        <x:v>False</x:v>
      </x:c>
      <x:c r="CC13" s="228" t="str">
        <x:v>96</x:v>
      </x:c>
      <x:c r="CD13" s="230" t="str">
        <x:v>6.02783310005907</x:v>
      </x:c>
      <x:c r="CE13" s="228" t="str">
        <x:v>True</x:v>
      </x:c>
      <x:c r="CF13" s="228" t="str">
        <x:v>8b34cd11a5ddaf57f094dd82038a66f7197fdeef8bf51a8e69e2183776985e4d</x:v>
      </x:c>
      <x:c r="CG13" s="228" t="str">
        <x:v>0</x:v>
      </x:c>
      <x:c r="CH13" s="228" t="str">
        <x:v>0</x:v>
      </x:c>
      <x:c r="CI13" s="228" t="str">
        <x:v>2</x:v>
      </x:c>
      <x:c r="CJ13" s="228" t="str">
        <x:v>True</x:v>
      </x:c>
      <x:c r="CK13" s="228" t="str">
        <x:v>True</x:v>
      </x:c>
      <x:c r="CL13" s="228" t="str">
        <x:v>True</x:v>
      </x:c>
      <x:c r="CM13" s="228" t="str">
        <x:v>collision</x:v>
      </x:c>
      <x:c r="CN13" s="228" t="str">
        <x:v>-4</x:v>
      </x:c>
      <x:c r="CO13" s="230" t="str">
        <x:v>-0.6443027998320758</x:v>
      </x:c>
      <x:c r="CP13" s="228" t="str">
        <x:v>0.96</x:v>
      </x:c>
      <x:c r="CQ13" s="228" t="str">
        <x:v>0.9034338014843811</x:v>
      </x:c>
      <x:c r="CR13" s="228" t="str">
        <x:v>1.1068879627449808</x:v>
      </x:c>
      <x:c r="CS13" s="228" t="str">
        <x:v>collision</x:v>
      </x:c>
      <x:c r="CT13" s="228" t="str">
        <x:v>collision</x:v>
      </x:c>
      <x:c r="CU13" s="228" t="str">
        <x:v>collision_dominates</x:v>
      </x:c>
      <x:c r="CV13" s="228" t="str">
        <x:v>neither</x:v>
      </x:c>
      <x:c r="CW13" s="228" t="str">
        <x:v>both_valid</x:v>
      </x:c>
      <x:c r="CX13" s="228" t="str">
        <x:v>none</x:v>
      </x:c>
      <x:c r="CY13" s="228" t="str">
        <x:v>none</x:v>
      </x:c>
    </x:row>
    <x:row r="14">
      <x:c r="A14" s="228" t="str">
        <x:v>final-paired-v2</x:v>
      </x:c>
      <x:c r="B14" s="228" t="str">
        <x:v>20260819</x:v>
      </x:c>
      <x:c r="C14" s="228" t="str">
        <x:v>1</x:v>
      </x:c>
      <x:c r="D14" s="228" t="str">
        <x:v>4</x:v>
      </x:c>
      <x:c r="E14" s="228" t="str">
        <x:v>n1000_r0.1_repeat4</x:v>
      </x:c>
      <x:c r="F14" s="228" t="str">
        <x:v>1000</x:v>
      </x:c>
      <x:c r="G14" s="228" t="str">
        <x:v>0.1</x:v>
      </x:c>
      <x:c r="H14" s="228" t="str">
        <x:v>4</x:v>
      </x:c>
      <x:c r="I14" s="228" t="str">
        <x:v>1611510062</x:v>
      </x:c>
      <x:c r="J14" s="228" t="str">
        <x:v>b5aaa0d4fef9e0c92125376547be2df2b348f8767232774567adad04f8ce10ef</x:v>
      </x:c>
      <x:c r="K14" s="228" t="str">
        <x:v>14411</x:v>
      </x:c>
      <x:c r="L14" s="228" t="str">
        <x:v>1</x:v>
      </x:c>
      <x:c r="M14" s="228" t="str">
        <x:v>1000</x:v>
      </x:c>
      <x:c r="N14" s="228" t="str">
        <x:v>True</x:v>
      </x:c>
      <x:c r="O14" s="228" t="str">
        <x:v>0</x:v>
      </x:c>
      <x:c r="P14" s="228" t="str">
        <x:v>28.822</x:v>
      </x:c>
      <x:c r="Q14" s="228" t="str">
        <x:v>7.510680128989651</x:v>
      </x:c>
      <x:c r="R14" s="228" t="str">
        <x:v>8</x:v>
      </x:c>
      <x:c r="S14" s="228" t="str">
        <x:v>47</x:v>
      </x:c>
      <x:c r="T14" s="228" t="str">
        <x:v>0.028850850850850852</x:v>
      </x:c>
      <x:c r="U14" s="230" t="str">
        <x:v>0.024927600054070354</x:v>
      </x:c>
      <x:c r="V14" s="230" t="str">
        <x:v>0.06049800000619143</x:v>
      </x:c>
      <x:c r="W14" s="228" t="str">
        <x:v>True</x:v>
      </x:c>
      <x:c r="X14" s="228" t="str">
        <x:v>False</x:v>
      </x:c>
      <x:c r="Y14" s="228" t="str">
        <x:v>5</x:v>
      </x:c>
      <x:c r="Z14" s="228" t="str">
        <x:v>ich</x:v>
      </x:c>
      <x:c r="AA14" s="228" t="str">
        <x:v>1</x:v>
      </x:c>
      <x:c r="AB14" s="228" t="str">
        <x:v>ich,grid,circle,zoomed</x:v>
      </x:c>
      <x:c r="AC14" s="228" t="str">
        <x:v>1205426689</x:v>
      </x:c>
      <x:c r="AD14" s="228" t="str">
        <x:v>1205426689</x:v>
      </x:c>
      <x:c r="AE14" s="228" t="str">
        <x:v>collision,entropy</x:v>
      </x:c>
      <x:c r="AF14" s="228" t="str">
        <x:v>93</x:v>
      </x:c>
      <x:c r="AG14" s="228" t="str">
        <x:v>93</x:v>
      </x:c>
      <x:c r="AH14" s="230" t="str">
        <x:v>143.5852661000099</x:v>
      </x:c>
      <x:c r="AI14" s="228" t="str">
        <x:v>True</x:v>
      </x:c>
      <x:c r="AJ14" s="228" t="str">
        <x:v>0f2babc2064b54973ef2d22e0b1d7e6216c34afcfb3929ec1e24e5b7f473a217</x:v>
      </x:c>
      <x:c r="AK14" s="228" t="str">
        <x:v>0</x:v>
      </x:c>
      <x:c r="AL14" s="228" t="str">
        <x:v>0</x:v>
      </x:c>
      <x:c r="AM14" s="228" t="str"/>
      <x:c r="AN14" s="230" t="str">
        <x:v>0.0977522999746725</x:v>
      </x:c>
      <x:c r="AO14" s="228" t="str">
        <x:v>93</x:v>
      </x:c>
      <x:c r="AP14" s="228" t="str">
        <x:v>0</x:v>
      </x:c>
      <x:c r="AQ14" s="228" t="str">
        <x:v>0</x:v>
      </x:c>
      <x:c r="AR14" s="228" t="str">
        <x:v>93</x:v>
      </x:c>
      <x:c r="AS14" s="228" t="str">
        <x:v>143.68301839998458</x:v>
      </x:c>
      <x:c r="AT14" s="228" t="str">
        <x:v>True</x:v>
      </x:c>
      <x:c r="AU14" s="228" t="str">
        <x:v>0f2babc2064b54973ef2d22e0b1d7e6216c34afcfb3929ec1e24e5b7f473a217</x:v>
      </x:c>
      <x:c r="AV14" s="228" t="str">
        <x:v>0</x:v>
      </x:c>
      <x:c r="AW14" s="228" t="str">
        <x:v>93</x:v>
      </x:c>
      <x:c r="AX14" s="228" t="str">
        <x:v>7</x:v>
      </x:c>
      <x:c r="AY14" s="230" t="str">
        <x:v>0.14723669993691146</x:v>
      </x:c>
      <x:c r="AZ14" s="228" t="str">
        <x:v>False</x:v>
      </x:c>
      <x:c r="BA14" s="228" t="str">
        <x:v>86</x:v>
      </x:c>
      <x:c r="BB14" s="230" t="str">
        <x:v>143.8302550999215</x:v>
      </x:c>
      <x:c r="BC14" s="228" t="str">
        <x:v>True</x:v>
      </x:c>
      <x:c r="BD14" s="228" t="str">
        <x:v>acc6adcaeb885b7154d3fdafe48f2722599f8f38d870be3b44b0ca8de9513dd3</x:v>
      </x:c>
      <x:c r="BE14" s="228" t="str">
        <x:v>-7</x:v>
      </x:c>
      <x:c r="BF14" s="228" t="str">
        <x:v>0</x:v>
      </x:c>
      <x:c r="BG14" s="228" t="str">
        <x:v>2</x:v>
      </x:c>
      <x:c r="BH14" s="228" t="str">
        <x:v>95</x:v>
      </x:c>
      <x:c r="BI14" s="228" t="str">
        <x:v>95</x:v>
      </x:c>
      <x:c r="BJ14" s="230" t="str">
        <x:v>134.92133039992768</x:v>
      </x:c>
      <x:c r="BK14" s="228" t="str">
        <x:v>True</x:v>
      </x:c>
      <x:c r="BL14" s="228" t="str">
        <x:v>b2b6777cecf3cf68bab1c6c6a0d3a2f729ad708e609214235a2f516438539d8b</x:v>
      </x:c>
      <x:c r="BM14" s="228" t="str">
        <x:v>0</x:v>
      </x:c>
      <x:c r="BN14" s="228" t="str">
        <x:v>0</x:v>
      </x:c>
      <x:c r="BO14" s="228" t="str"/>
      <x:c r="BP14" s="230" t="str">
        <x:v>0.07222600001841784</x:v>
      </x:c>
      <x:c r="BQ14" s="228" t="str">
        <x:v>95</x:v>
      </x:c>
      <x:c r="BR14" s="228" t="str">
        <x:v>0</x:v>
      </x:c>
      <x:c r="BS14" s="228" t="str">
        <x:v>0</x:v>
      </x:c>
      <x:c r="BT14" s="228" t="str">
        <x:v>95</x:v>
      </x:c>
      <x:c r="BU14" s="228" t="str">
        <x:v>134.9935563999461</x:v>
      </x:c>
      <x:c r="BV14" s="228" t="str">
        <x:v>True</x:v>
      </x:c>
      <x:c r="BW14" s="228" t="str">
        <x:v>b2b6777cecf3cf68bab1c6c6a0d3a2f729ad708e609214235a2f516438539d8b</x:v>
      </x:c>
      <x:c r="BX14" s="228" t="str">
        <x:v>0</x:v>
      </x:c>
      <x:c r="BY14" s="228" t="str">
        <x:v>95</x:v>
      </x:c>
      <x:c r="BZ14" s="228" t="str">
        <x:v>7</x:v>
      </x:c>
      <x:c r="CA14" s="230" t="str">
        <x:v>0.15674429992213845</x:v>
      </x:c>
      <x:c r="CB14" s="228" t="str">
        <x:v>False</x:v>
      </x:c>
      <x:c r="CC14" s="228" t="str">
        <x:v>88</x:v>
      </x:c>
      <x:c r="CD14" s="230" t="str">
        <x:v>135.15030069986824</x:v>
      </x:c>
      <x:c r="CE14" s="228" t="str">
        <x:v>True</x:v>
      </x:c>
      <x:c r="CF14" s="228" t="str">
        <x:v>8866547470c78907f7af264998b5e0aab2803d54c87a267346b5731600cc858f</x:v>
      </x:c>
      <x:c r="CG14" s="228" t="str">
        <x:v>-7</x:v>
      </x:c>
      <x:c r="CH14" s="228" t="str">
        <x:v>0</x:v>
      </x:c>
      <x:c r="CI14" s="228" t="str">
        <x:v>1</x:v>
      </x:c>
      <x:c r="CJ14" s="228" t="str">
        <x:v>True</x:v>
      </x:c>
      <x:c r="CK14" s="228" t="str">
        <x:v>True</x:v>
      </x:c>
      <x:c r="CL14" s="228" t="str">
        <x:v>True</x:v>
      </x:c>
      <x:c r="CM14" s="228" t="str">
        <x:v>entropy</x:v>
      </x:c>
      <x:c r="CN14" s="228" t="str">
        <x:v>2</x:v>
      </x:c>
      <x:c r="CO14" s="230" t="str">
        <x:v>-8.679954400053248</x:v>
      </x:c>
      <x:c r="CP14" s="228" t="str">
        <x:v>1.0232558139534884</x:v>
      </x:c>
      <x:c r="CQ14" s="228" t="str">
        <x:v>0.9396514009237964</x:v>
      </x:c>
      <x:c r="CR14" s="228" t="str">
        <x:v>1.0642244549594384</x:v>
      </x:c>
      <x:c r="CS14" s="228" t="str">
        <x:v>entropy</x:v>
      </x:c>
      <x:c r="CT14" s="228" t="str">
        <x:v>collision</x:v>
      </x:c>
      <x:c r="CU14" s="228" t="str">
        <x:v>tradeoff</x:v>
      </x:c>
      <x:c r="CV14" s="228" t="str">
        <x:v>neither</x:v>
      </x:c>
      <x:c r="CW14" s="228" t="str">
        <x:v>both_valid</x:v>
      </x:c>
      <x:c r="CX14" s="228" t="str">
        <x:v>none</x:v>
      </x:c>
      <x:c r="CY14" s="228" t="str">
        <x:v>none</x:v>
      </x:c>
    </x:row>
    <x:row r="15">
      <x:c r="A15" s="228" t="str">
        <x:v>final-paired-v2</x:v>
      </x:c>
      <x:c r="B15" s="228" t="str">
        <x:v>20260819</x:v>
      </x:c>
      <x:c r="C15" s="228" t="str">
        <x:v>1</x:v>
      </x:c>
      <x:c r="D15" s="228" t="str">
        <x:v>4</x:v>
      </x:c>
      <x:c r="E15" s="228" t="str">
        <x:v>n1000_r0.1_repeat4</x:v>
      </x:c>
      <x:c r="F15" s="228" t="str">
        <x:v>1000</x:v>
      </x:c>
      <x:c r="G15" s="228" t="str">
        <x:v>0.1</x:v>
      </x:c>
      <x:c r="H15" s="228" t="str">
        <x:v>4</x:v>
      </x:c>
      <x:c r="I15" s="228" t="str">
        <x:v>1611510062</x:v>
      </x:c>
      <x:c r="J15" s="228" t="str">
        <x:v>b5aaa0d4fef9e0c92125376547be2df2b348f8767232774567adad04f8ce10ef</x:v>
      </x:c>
      <x:c r="K15" s="228" t="str">
        <x:v>14411</x:v>
      </x:c>
      <x:c r="L15" s="228" t="str">
        <x:v>1</x:v>
      </x:c>
      <x:c r="M15" s="228" t="str">
        <x:v>1000</x:v>
      </x:c>
      <x:c r="N15" s="228" t="str">
        <x:v>True</x:v>
      </x:c>
      <x:c r="O15" s="228" t="str">
        <x:v>0</x:v>
      </x:c>
      <x:c r="P15" s="228" t="str">
        <x:v>28.822</x:v>
      </x:c>
      <x:c r="Q15" s="228" t="str">
        <x:v>7.510680128989651</x:v>
      </x:c>
      <x:c r="R15" s="228" t="str">
        <x:v>8</x:v>
      </x:c>
      <x:c r="S15" s="228" t="str">
        <x:v>47</x:v>
      </x:c>
      <x:c r="T15" s="228" t="str">
        <x:v>0.028850850850850852</x:v>
      </x:c>
      <x:c r="U15" s="230" t="str">
        <x:v>0.024927600054070354</x:v>
      </x:c>
      <x:c r="V15" s="230" t="str">
        <x:v>0.06049800000619143</x:v>
      </x:c>
      <x:c r="W15" s="228" t="str">
        <x:v>True</x:v>
      </x:c>
      <x:c r="X15" s="228" t="str">
        <x:v>False</x:v>
      </x:c>
      <x:c r="Y15" s="228" t="str">
        <x:v>5</x:v>
      </x:c>
      <x:c r="Z15" s="228" t="str">
        <x:v>grid</x:v>
      </x:c>
      <x:c r="AA15" s="228" t="str">
        <x:v>2</x:v>
      </x:c>
      <x:c r="AB15" s="228" t="str">
        <x:v>ich,grid,circle,zoomed</x:v>
      </x:c>
      <x:c r="AC15" s="228" t="str">
        <x:v>4265265303</x:v>
      </x:c>
      <x:c r="AD15" s="228" t="str">
        <x:v>4265265303</x:v>
      </x:c>
      <x:c r="AE15" s="228" t="str">
        <x:v>collision,entropy</x:v>
      </x:c>
      <x:c r="AF15" s="228" t="str">
        <x:v>748</x:v>
      </x:c>
      <x:c r="AG15" s="228" t="str">
        <x:v>93</x:v>
      </x:c>
      <x:c r="AH15" s="230" t="str">
        <x:v>5.170286700013094</x:v>
      </x:c>
      <x:c r="AI15" s="228" t="str">
        <x:v>True</x:v>
      </x:c>
      <x:c r="AJ15" s="228" t="str">
        <x:v>0e20bdf21413dd83c5cd5d81e2d567a615bbe3411317810cb80c7a5f4e11e229</x:v>
      </x:c>
      <x:c r="AK15" s="228" t="str">
        <x:v>0</x:v>
      </x:c>
      <x:c r="AL15" s="228" t="str">
        <x:v>0</x:v>
      </x:c>
      <x:c r="AM15" s="228" t="str"/>
      <x:c r="AN15" s="230" t="str">
        <x:v>0.08925750001799315</x:v>
      </x:c>
      <x:c r="AO15" s="228" t="str">
        <x:v>93</x:v>
      </x:c>
      <x:c r="AP15" s="228" t="str">
        <x:v>0</x:v>
      </x:c>
      <x:c r="AQ15" s="228" t="str">
        <x:v>0</x:v>
      </x:c>
      <x:c r="AR15" s="228" t="str">
        <x:v>93</x:v>
      </x:c>
      <x:c r="AS15" s="228" t="str">
        <x:v>5.259544200031087</x:v>
      </x:c>
      <x:c r="AT15" s="228" t="str">
        <x:v>True</x:v>
      </x:c>
      <x:c r="AU15" s="228" t="str">
        <x:v>0e20bdf21413dd83c5cd5d81e2d567a615bbe3411317810cb80c7a5f4e11e229</x:v>
      </x:c>
      <x:c r="AV15" s="228" t="str">
        <x:v>0</x:v>
      </x:c>
      <x:c r="AW15" s="228" t="str">
        <x:v>93</x:v>
      </x:c>
      <x:c r="AX15" s="228" t="str">
        <x:v>0</x:v>
      </x:c>
      <x:c r="AY15" s="230" t="str">
        <x:v>0.07907350000459701</x:v>
      </x:c>
      <x:c r="AZ15" s="228" t="str">
        <x:v>False</x:v>
      </x:c>
      <x:c r="BA15" s="228" t="str">
        <x:v>93</x:v>
      </x:c>
      <x:c r="BB15" s="230" t="str">
        <x:v>5.338617700035684</x:v>
      </x:c>
      <x:c r="BC15" s="228" t="str">
        <x:v>True</x:v>
      </x:c>
      <x:c r="BD15" s="228" t="str">
        <x:v>0e20bdf21413dd83c5cd5d81e2d567a615bbe3411317810cb80c7a5f4e11e229</x:v>
      </x:c>
      <x:c r="BE15" s="228" t="str">
        <x:v>0</x:v>
      </x:c>
      <x:c r="BF15" s="228" t="str">
        <x:v>0</x:v>
      </x:c>
      <x:c r="BG15" s="228" t="str">
        <x:v>2</x:v>
      </x:c>
      <x:c r="BH15" s="228" t="str">
        <x:v>336</x:v>
      </x:c>
      <x:c r="BI15" s="228" t="str">
        <x:v>94</x:v>
      </x:c>
      <x:c r="BJ15" s="230" t="str">
        <x:v>2.7180368999252096</x:v>
      </x:c>
      <x:c r="BK15" s="228" t="str">
        <x:v>True</x:v>
      </x:c>
      <x:c r="BL15" s="228" t="str">
        <x:v>25f9b398ae3a79a35605173f3d399064209457e8fd33fd1d9d47ab1da1506d7a</x:v>
      </x:c>
      <x:c r="BM15" s="228" t="str">
        <x:v>0</x:v>
      </x:c>
      <x:c r="BN15" s="228" t="str">
        <x:v>0</x:v>
      </x:c>
      <x:c r="BO15" s="228" t="str"/>
      <x:c r="BP15" s="230" t="str">
        <x:v>0.0725088999606669</x:v>
      </x:c>
      <x:c r="BQ15" s="228" t="str">
        <x:v>94</x:v>
      </x:c>
      <x:c r="BR15" s="228" t="str">
        <x:v>0</x:v>
      </x:c>
      <x:c r="BS15" s="228" t="str">
        <x:v>0</x:v>
      </x:c>
      <x:c r="BT15" s="228" t="str">
        <x:v>94</x:v>
      </x:c>
      <x:c r="BU15" s="228" t="str">
        <x:v>2.7905457998858765</x:v>
      </x:c>
      <x:c r="BV15" s="228" t="str">
        <x:v>True</x:v>
      </x:c>
      <x:c r="BW15" s="228" t="str">
        <x:v>25f9b398ae3a79a35605173f3d399064209457e8fd33fd1d9d47ab1da1506d7a</x:v>
      </x:c>
      <x:c r="BX15" s="228" t="str">
        <x:v>0</x:v>
      </x:c>
      <x:c r="BY15" s="228" t="str">
        <x:v>94</x:v>
      </x:c>
      <x:c r="BZ15" s="228" t="str">
        <x:v>0</x:v>
      </x:c>
      <x:c r="CA15" s="230" t="str">
        <x:v>0.06951459997799248</x:v>
      </x:c>
      <x:c r="CB15" s="228" t="str">
        <x:v>False</x:v>
      </x:c>
      <x:c r="CC15" s="228" t="str">
        <x:v>94</x:v>
      </x:c>
      <x:c r="CD15" s="230" t="str">
        <x:v>2.860060399863869</x:v>
      </x:c>
      <x:c r="CE15" s="228" t="str">
        <x:v>True</x:v>
      </x:c>
      <x:c r="CF15" s="228" t="str">
        <x:v>25f9b398ae3a79a35605173f3d399064209457e8fd33fd1d9d47ab1da1506d7a</x:v>
      </x:c>
      <x:c r="CG15" s="228" t="str">
        <x:v>0</x:v>
      </x:c>
      <x:c r="CH15" s="228" t="str">
        <x:v>0</x:v>
      </x:c>
      <x:c r="CI15" s="228" t="str">
        <x:v>1</x:v>
      </x:c>
      <x:c r="CJ15" s="228" t="str">
        <x:v>True</x:v>
      </x:c>
      <x:c r="CK15" s="228" t="str">
        <x:v>True</x:v>
      </x:c>
      <x:c r="CL15" s="228" t="str">
        <x:v>True</x:v>
      </x:c>
      <x:c r="CM15" s="228" t="str">
        <x:v>entropy</x:v>
      </x:c>
      <x:c r="CN15" s="228" t="str">
        <x:v>1</x:v>
      </x:c>
      <x:c r="CO15" s="230" t="str">
        <x:v>-2.478557300171815</x:v>
      </x:c>
      <x:c r="CP15" s="228" t="str">
        <x:v>1.010752688172043</x:v>
      </x:c>
      <x:c r="CQ15" s="228" t="str">
        <x:v>0.5357305131335311</x:v>
      </x:c>
      <x:c r="CR15" s="228" t="str">
        <x:v>1.866610124838548</x:v>
      </x:c>
      <x:c r="CS15" s="228" t="str">
        <x:v>entropy</x:v>
      </x:c>
      <x:c r="CT15" s="228" t="str">
        <x:v>collision</x:v>
      </x:c>
      <x:c r="CU15" s="228" t="str">
        <x:v>tradeoff</x:v>
      </x:c>
      <x:c r="CV15" s="228" t="str">
        <x:v>neither</x:v>
      </x:c>
      <x:c r="CW15" s="228" t="str">
        <x:v>both_valid</x:v>
      </x:c>
      <x:c r="CX15" s="228" t="str">
        <x:v>none</x:v>
      </x:c>
      <x:c r="CY15" s="228" t="str">
        <x:v>none</x:v>
      </x:c>
    </x:row>
    <x:row r="16">
      <x:c r="A16" s="228" t="str">
        <x:v>final-paired-v2</x:v>
      </x:c>
      <x:c r="B16" s="228" t="str">
        <x:v>20260819</x:v>
      </x:c>
      <x:c r="C16" s="228" t="str">
        <x:v>1</x:v>
      </x:c>
      <x:c r="D16" s="228" t="str">
        <x:v>4</x:v>
      </x:c>
      <x:c r="E16" s="228" t="str">
        <x:v>n1000_r0.1_repeat4</x:v>
      </x:c>
      <x:c r="F16" s="228" t="str">
        <x:v>1000</x:v>
      </x:c>
      <x:c r="G16" s="228" t="str">
        <x:v>0.1</x:v>
      </x:c>
      <x:c r="H16" s="228" t="str">
        <x:v>4</x:v>
      </x:c>
      <x:c r="I16" s="228" t="str">
        <x:v>1611510062</x:v>
      </x:c>
      <x:c r="J16" s="228" t="str">
        <x:v>b5aaa0d4fef9e0c92125376547be2df2b348f8767232774567adad04f8ce10ef</x:v>
      </x:c>
      <x:c r="K16" s="228" t="str">
        <x:v>14411</x:v>
      </x:c>
      <x:c r="L16" s="228" t="str">
        <x:v>1</x:v>
      </x:c>
      <x:c r="M16" s="228" t="str">
        <x:v>1000</x:v>
      </x:c>
      <x:c r="N16" s="228" t="str">
        <x:v>True</x:v>
      </x:c>
      <x:c r="O16" s="228" t="str">
        <x:v>0</x:v>
      </x:c>
      <x:c r="P16" s="228" t="str">
        <x:v>28.822</x:v>
      </x:c>
      <x:c r="Q16" s="228" t="str">
        <x:v>7.510680128989651</x:v>
      </x:c>
      <x:c r="R16" s="228" t="str">
        <x:v>8</x:v>
      </x:c>
      <x:c r="S16" s="228" t="str">
        <x:v>47</x:v>
      </x:c>
      <x:c r="T16" s="228" t="str">
        <x:v>0.028850850850850852</x:v>
      </x:c>
      <x:c r="U16" s="230" t="str">
        <x:v>0.024927600054070354</x:v>
      </x:c>
      <x:c r="V16" s="230" t="str">
        <x:v>0.06049800000619143</x:v>
      </x:c>
      <x:c r="W16" s="228" t="str">
        <x:v>True</x:v>
      </x:c>
      <x:c r="X16" s="228" t="str">
        <x:v>False</x:v>
      </x:c>
      <x:c r="Y16" s="228" t="str">
        <x:v>5</x:v>
      </x:c>
      <x:c r="Z16" s="228" t="str">
        <x:v>circle</x:v>
      </x:c>
      <x:c r="AA16" s="228" t="str">
        <x:v>3</x:v>
      </x:c>
      <x:c r="AB16" s="228" t="str">
        <x:v>ich,grid,circle,zoomed</x:v>
      </x:c>
      <x:c r="AC16" s="228" t="str">
        <x:v>3857087301</x:v>
      </x:c>
      <x:c r="AD16" s="228" t="str">
        <x:v>3857087301</x:v>
      </x:c>
      <x:c r="AE16" s="228" t="str">
        <x:v>collision,entropy</x:v>
      </x:c>
      <x:c r="AF16" s="228" t="str">
        <x:v>830</x:v>
      </x:c>
      <x:c r="AG16" s="228" t="str">
        <x:v>93</x:v>
      </x:c>
      <x:c r="AH16" s="230" t="str">
        <x:v>6.0130906999111176</x:v>
      </x:c>
      <x:c r="AI16" s="228" t="str">
        <x:v>True</x:v>
      </x:c>
      <x:c r="AJ16" s="228" t="str">
        <x:v>519efebf703a19e63d4391864c7fc1b9de4734c63ed9895a225905f70b3c6b01</x:v>
      </x:c>
      <x:c r="AK16" s="228" t="str">
        <x:v>0</x:v>
      </x:c>
      <x:c r="AL16" s="228" t="str">
        <x:v>0</x:v>
      </x:c>
      <x:c r="AM16" s="228" t="str"/>
      <x:c r="AN16" s="230" t="str">
        <x:v>0.07173219998367131</x:v>
      </x:c>
      <x:c r="AO16" s="228" t="str">
        <x:v>93</x:v>
      </x:c>
      <x:c r="AP16" s="228" t="str">
        <x:v>0</x:v>
      </x:c>
      <x:c r="AQ16" s="228" t="str">
        <x:v>0</x:v>
      </x:c>
      <x:c r="AR16" s="228" t="str">
        <x:v>93</x:v>
      </x:c>
      <x:c r="AS16" s="228" t="str">
        <x:v>6.084822899894789</x:v>
      </x:c>
      <x:c r="AT16" s="228" t="str">
        <x:v>True</x:v>
      </x:c>
      <x:c r="AU16" s="228" t="str">
        <x:v>519efebf703a19e63d4391864c7fc1b9de4734c63ed9895a225905f70b3c6b01</x:v>
      </x:c>
      <x:c r="AV16" s="228" t="str">
        <x:v>0</x:v>
      </x:c>
      <x:c r="AW16" s="228" t="str">
        <x:v>93</x:v>
      </x:c>
      <x:c r="AX16" s="228" t="str">
        <x:v>0</x:v>
      </x:c>
      <x:c r="AY16" s="230" t="str">
        <x:v>0.07765830005519092</x:v>
      </x:c>
      <x:c r="AZ16" s="228" t="str">
        <x:v>False</x:v>
      </x:c>
      <x:c r="BA16" s="228" t="str">
        <x:v>93</x:v>
      </x:c>
      <x:c r="BB16" s="230" t="str">
        <x:v>6.16248119994998</x:v>
      </x:c>
      <x:c r="BC16" s="228" t="str">
        <x:v>True</x:v>
      </x:c>
      <x:c r="BD16" s="228" t="str">
        <x:v>519efebf703a19e63d4391864c7fc1b9de4734c63ed9895a225905f70b3c6b01</x:v>
      </x:c>
      <x:c r="BE16" s="228" t="str">
        <x:v>0</x:v>
      </x:c>
      <x:c r="BF16" s="228" t="str">
        <x:v>0</x:v>
      </x:c>
      <x:c r="BG16" s="228" t="str">
        <x:v>2</x:v>
      </x:c>
      <x:c r="BH16" s="228" t="str">
        <x:v>680</x:v>
      </x:c>
      <x:c r="BI16" s="228" t="str">
        <x:v>92</x:v>
      </x:c>
      <x:c r="BJ16" s="230" t="str">
        <x:v>5.059224600088783</x:v>
      </x:c>
      <x:c r="BK16" s="228" t="str">
        <x:v>True</x:v>
      </x:c>
      <x:c r="BL16" s="228" t="str">
        <x:v>b8bac4d4e888bd5fe974cf8e9c3ec77339819bd42d99eb186b769c665d6739ea</x:v>
      </x:c>
      <x:c r="BM16" s="228" t="str">
        <x:v>0</x:v>
      </x:c>
      <x:c r="BN16" s="228" t="str">
        <x:v>0</x:v>
      </x:c>
      <x:c r="BO16" s="228" t="str"/>
      <x:c r="BP16" s="230" t="str">
        <x:v>0.06217530008871108</x:v>
      </x:c>
      <x:c r="BQ16" s="228" t="str">
        <x:v>92</x:v>
      </x:c>
      <x:c r="BR16" s="228" t="str">
        <x:v>0</x:v>
      </x:c>
      <x:c r="BS16" s="228" t="str">
        <x:v>0</x:v>
      </x:c>
      <x:c r="BT16" s="228" t="str">
        <x:v>92</x:v>
      </x:c>
      <x:c r="BU16" s="228" t="str">
        <x:v>5.121399900177494</x:v>
      </x:c>
      <x:c r="BV16" s="228" t="str">
        <x:v>True</x:v>
      </x:c>
      <x:c r="BW16" s="228" t="str">
        <x:v>b8bac4d4e888bd5fe974cf8e9c3ec77339819bd42d99eb186b769c665d6739ea</x:v>
      </x:c>
      <x:c r="BX16" s="228" t="str">
        <x:v>0</x:v>
      </x:c>
      <x:c r="BY16" s="228" t="str">
        <x:v>92</x:v>
      </x:c>
      <x:c r="BZ16" s="228" t="str">
        <x:v>0</x:v>
      </x:c>
      <x:c r="CA16" s="230" t="str">
        <x:v>0.08488909993320704</x:v>
      </x:c>
      <x:c r="CB16" s="228" t="str">
        <x:v>False</x:v>
      </x:c>
      <x:c r="CC16" s="228" t="str">
        <x:v>92</x:v>
      </x:c>
      <x:c r="CD16" s="230" t="str">
        <x:v>5.206289000110701</x:v>
      </x:c>
      <x:c r="CE16" s="228" t="str">
        <x:v>True</x:v>
      </x:c>
      <x:c r="CF16" s="228" t="str">
        <x:v>b8bac4d4e888bd5fe974cf8e9c3ec77339819bd42d99eb186b769c665d6739ea</x:v>
      </x:c>
      <x:c r="CG16" s="228" t="str">
        <x:v>0</x:v>
      </x:c>
      <x:c r="CH16" s="228" t="str">
        <x:v>0</x:v>
      </x:c>
      <x:c r="CI16" s="228" t="str">
        <x:v>1</x:v>
      </x:c>
      <x:c r="CJ16" s="228" t="str">
        <x:v>True</x:v>
      </x:c>
      <x:c r="CK16" s="228" t="str">
        <x:v>True</x:v>
      </x:c>
      <x:c r="CL16" s="228" t="str">
        <x:v>True</x:v>
      </x:c>
      <x:c r="CM16" s="228" t="str">
        <x:v>collision</x:v>
      </x:c>
      <x:c r="CN16" s="228" t="str">
        <x:v>-1</x:v>
      </x:c>
      <x:c r="CO16" s="230" t="str">
        <x:v>-0.9561921998392791</x:v>
      </x:c>
      <x:c r="CP16" s="228" t="str">
        <x:v>0.989247311827957</x:v>
      </x:c>
      <x:c r="CQ16" s="228" t="str">
        <x:v>0.8448364921832069</x:v>
      </x:c>
      <x:c r="CR16" s="228" t="str">
        <x:v>1.183660991508337</x:v>
      </x:c>
      <x:c r="CS16" s="228" t="str">
        <x:v>collision</x:v>
      </x:c>
      <x:c r="CT16" s="228" t="str">
        <x:v>collision</x:v>
      </x:c>
      <x:c r="CU16" s="228" t="str">
        <x:v>collision_dominates</x:v>
      </x:c>
      <x:c r="CV16" s="228" t="str">
        <x:v>neither</x:v>
      </x:c>
      <x:c r="CW16" s="228" t="str">
        <x:v>both_valid</x:v>
      </x:c>
      <x:c r="CX16" s="228" t="str">
        <x:v>none</x:v>
      </x:c>
      <x:c r="CY16" s="228" t="str">
        <x:v>none</x:v>
      </x:c>
    </x:row>
    <x:row r="17">
      <x:c r="A17" s="228" t="str">
        <x:v>final-paired-v2</x:v>
      </x:c>
      <x:c r="B17" s="228" t="str">
        <x:v>20260819</x:v>
      </x:c>
      <x:c r="C17" s="228" t="str">
        <x:v>1</x:v>
      </x:c>
      <x:c r="D17" s="228" t="str">
        <x:v>4</x:v>
      </x:c>
      <x:c r="E17" s="228" t="str">
        <x:v>n1000_r0.1_repeat4</x:v>
      </x:c>
      <x:c r="F17" s="228" t="str">
        <x:v>1000</x:v>
      </x:c>
      <x:c r="G17" s="228" t="str">
        <x:v>0.1</x:v>
      </x:c>
      <x:c r="H17" s="228" t="str">
        <x:v>4</x:v>
      </x:c>
      <x:c r="I17" s="228" t="str">
        <x:v>1611510062</x:v>
      </x:c>
      <x:c r="J17" s="228" t="str">
        <x:v>b5aaa0d4fef9e0c92125376547be2df2b348f8767232774567adad04f8ce10ef</x:v>
      </x:c>
      <x:c r="K17" s="228" t="str">
        <x:v>14411</x:v>
      </x:c>
      <x:c r="L17" s="228" t="str">
        <x:v>1</x:v>
      </x:c>
      <x:c r="M17" s="228" t="str">
        <x:v>1000</x:v>
      </x:c>
      <x:c r="N17" s="228" t="str">
        <x:v>True</x:v>
      </x:c>
      <x:c r="O17" s="228" t="str">
        <x:v>0</x:v>
      </x:c>
      <x:c r="P17" s="228" t="str">
        <x:v>28.822</x:v>
      </x:c>
      <x:c r="Q17" s="228" t="str">
        <x:v>7.510680128989651</x:v>
      </x:c>
      <x:c r="R17" s="228" t="str">
        <x:v>8</x:v>
      </x:c>
      <x:c r="S17" s="228" t="str">
        <x:v>47</x:v>
      </x:c>
      <x:c r="T17" s="228" t="str">
        <x:v>0.028850850850850852</x:v>
      </x:c>
      <x:c r="U17" s="230" t="str">
        <x:v>0.024927600054070354</x:v>
      </x:c>
      <x:c r="V17" s="230" t="str">
        <x:v>0.06049800000619143</x:v>
      </x:c>
      <x:c r="W17" s="228" t="str">
        <x:v>True</x:v>
      </x:c>
      <x:c r="X17" s="228" t="str">
        <x:v>False</x:v>
      </x:c>
      <x:c r="Y17" s="228" t="str">
        <x:v>5</x:v>
      </x:c>
      <x:c r="Z17" s="228" t="str">
        <x:v>zoomed</x:v>
      </x:c>
      <x:c r="AA17" s="228" t="str">
        <x:v>4</x:v>
      </x:c>
      <x:c r="AB17" s="228" t="str">
        <x:v>ich,grid,circle,zoomed</x:v>
      </x:c>
      <x:c r="AC17" s="228" t="str">
        <x:v>2730434331</x:v>
      </x:c>
      <x:c r="AD17" s="228" t="str">
        <x:v>2730434331</x:v>
      </x:c>
      <x:c r="AE17" s="228" t="str">
        <x:v>collision,entropy</x:v>
      </x:c>
      <x:c r="AF17" s="228" t="str">
        <x:v>799</x:v>
      </x:c>
      <x:c r="AG17" s="228" t="str">
        <x:v>92</x:v>
      </x:c>
      <x:c r="AH17" s="230" t="str">
        <x:v>5.553478999994695</x:v>
      </x:c>
      <x:c r="AI17" s="228" t="str">
        <x:v>True</x:v>
      </x:c>
      <x:c r="AJ17" s="228" t="str">
        <x:v>fdc88f2acbcbe658dbfe6673811c23df31b2d7aed4799a5636e98a238b9936db</x:v>
      </x:c>
      <x:c r="AK17" s="228" t="str">
        <x:v>0</x:v>
      </x:c>
      <x:c r="AL17" s="228" t="str">
        <x:v>0</x:v>
      </x:c>
      <x:c r="AM17" s="228" t="str"/>
      <x:c r="AN17" s="230" t="str">
        <x:v>0.07147229998372495</x:v>
      </x:c>
      <x:c r="AO17" s="228" t="str">
        <x:v>92</x:v>
      </x:c>
      <x:c r="AP17" s="228" t="str">
        <x:v>0</x:v>
      </x:c>
      <x:c r="AQ17" s="228" t="str">
        <x:v>0</x:v>
      </x:c>
      <x:c r="AR17" s="228" t="str">
        <x:v>92</x:v>
      </x:c>
      <x:c r="AS17" s="228" t="str">
        <x:v>5.62495129997842</x:v>
      </x:c>
      <x:c r="AT17" s="228" t="str">
        <x:v>True</x:v>
      </x:c>
      <x:c r="AU17" s="228" t="str">
        <x:v>fdc88f2acbcbe658dbfe6673811c23df31b2d7aed4799a5636e98a238b9936db</x:v>
      </x:c>
      <x:c r="AV17" s="228" t="str">
        <x:v>0</x:v>
      </x:c>
      <x:c r="AW17" s="228" t="str">
        <x:v>92</x:v>
      </x:c>
      <x:c r="AX17" s="228" t="str">
        <x:v>0</x:v>
      </x:c>
      <x:c r="AY17" s="230" t="str">
        <x:v>0.10197730001527816</x:v>
      </x:c>
      <x:c r="AZ17" s="228" t="str">
        <x:v>False</x:v>
      </x:c>
      <x:c r="BA17" s="228" t="str">
        <x:v>92</x:v>
      </x:c>
      <x:c r="BB17" s="230" t="str">
        <x:v>5.726928599993698</x:v>
      </x:c>
      <x:c r="BC17" s="228" t="str">
        <x:v>True</x:v>
      </x:c>
      <x:c r="BD17" s="228" t="str">
        <x:v>fdc88f2acbcbe658dbfe6673811c23df31b2d7aed4799a5636e98a238b9936db</x:v>
      </x:c>
      <x:c r="BE17" s="228" t="str">
        <x:v>0</x:v>
      </x:c>
      <x:c r="BF17" s="228" t="str">
        <x:v>0</x:v>
      </x:c>
      <x:c r="BG17" s="228" t="str">
        <x:v>2</x:v>
      </x:c>
      <x:c r="BH17" s="228" t="str">
        <x:v>534</x:v>
      </x:c>
      <x:c r="BI17" s="228" t="str">
        <x:v>93</x:v>
      </x:c>
      <x:c r="BJ17" s="230" t="str">
        <x:v>4.027946399990469</x:v>
      </x:c>
      <x:c r="BK17" s="228" t="str">
        <x:v>True</x:v>
      </x:c>
      <x:c r="BL17" s="228" t="str">
        <x:v>2d6055aceee71b7154b9e48052faa4bf5400151ef4fbee11cb262a97f18eb619</x:v>
      </x:c>
      <x:c r="BM17" s="228" t="str">
        <x:v>0</x:v>
      </x:c>
      <x:c r="BN17" s="228" t="str">
        <x:v>0</x:v>
      </x:c>
      <x:c r="BO17" s="228" t="str"/>
      <x:c r="BP17" s="230" t="str">
        <x:v>0.06537580001167953</x:v>
      </x:c>
      <x:c r="BQ17" s="228" t="str">
        <x:v>93</x:v>
      </x:c>
      <x:c r="BR17" s="228" t="str">
        <x:v>0</x:v>
      </x:c>
      <x:c r="BS17" s="228" t="str">
        <x:v>0</x:v>
      </x:c>
      <x:c r="BT17" s="228" t="str">
        <x:v>93</x:v>
      </x:c>
      <x:c r="BU17" s="228" t="str">
        <x:v>4.093322200002149</x:v>
      </x:c>
      <x:c r="BV17" s="228" t="str">
        <x:v>True</x:v>
      </x:c>
      <x:c r="BW17" s="228" t="str">
        <x:v>2d6055aceee71b7154b9e48052faa4bf5400151ef4fbee11cb262a97f18eb619</x:v>
      </x:c>
      <x:c r="BX17" s="228" t="str">
        <x:v>0</x:v>
      </x:c>
      <x:c r="BY17" s="228" t="str">
        <x:v>93</x:v>
      </x:c>
      <x:c r="BZ17" s="228" t="str">
        <x:v>0</x:v>
      </x:c>
      <x:c r="CA17" s="230" t="str">
        <x:v>0.07463139994069934</x:v>
      </x:c>
      <x:c r="CB17" s="228" t="str">
        <x:v>False</x:v>
      </x:c>
      <x:c r="CC17" s="228" t="str">
        <x:v>93</x:v>
      </x:c>
      <x:c r="CD17" s="230" t="str">
        <x:v>4.167953599942848</x:v>
      </x:c>
      <x:c r="CE17" s="228" t="str">
        <x:v>True</x:v>
      </x:c>
      <x:c r="CF17" s="228" t="str">
        <x:v>2d6055aceee71b7154b9e48052faa4bf5400151ef4fbee11cb262a97f18eb619</x:v>
      </x:c>
      <x:c r="CG17" s="228" t="str">
        <x:v>0</x:v>
      </x:c>
      <x:c r="CH17" s="228" t="str">
        <x:v>0</x:v>
      </x:c>
      <x:c r="CI17" s="228" t="str">
        <x:v>1</x:v>
      </x:c>
      <x:c r="CJ17" s="228" t="str">
        <x:v>True</x:v>
      </x:c>
      <x:c r="CK17" s="228" t="str">
        <x:v>True</x:v>
      </x:c>
      <x:c r="CL17" s="228" t="str">
        <x:v>True</x:v>
      </x:c>
      <x:c r="CM17" s="228" t="str">
        <x:v>entropy</x:v>
      </x:c>
      <x:c r="CN17" s="228" t="str">
        <x:v>1</x:v>
      </x:c>
      <x:c r="CO17" s="230" t="str">
        <x:v>-1.5589750000508502</x:v>
      </x:c>
      <x:c r="CP17" s="228" t="str">
        <x:v>1.0108695652173914</x:v>
      </x:c>
      <x:c r="CQ17" s="228" t="str">
        <x:v>0.727781659430403</x:v>
      </x:c>
      <x:c r="CR17" s="228" t="str">
        <x:v>1.3740384729984103</x:v>
      </x:c>
      <x:c r="CS17" s="228" t="str">
        <x:v>entropy</x:v>
      </x:c>
      <x:c r="CT17" s="228" t="str">
        <x:v>collision</x:v>
      </x:c>
      <x:c r="CU17" s="228" t="str">
        <x:v>tradeoff</x:v>
      </x:c>
      <x:c r="CV17" s="228" t="str">
        <x:v>neither</x:v>
      </x:c>
      <x:c r="CW17" s="228" t="str">
        <x:v>both_valid</x:v>
      </x:c>
      <x:c r="CX17" s="228" t="str">
        <x:v>none</x:v>
      </x:c>
      <x:c r="CY17" s="228" t="str">
        <x:v>none</x:v>
      </x:c>
    </x:row>
    <x:row r="18">
      <x:c r="A18" s="228" t="str">
        <x:v>final-paired-v2</x:v>
      </x:c>
      <x:c r="B18" s="228" t="str">
        <x:v>20260819</x:v>
      </x:c>
      <x:c r="C18" s="228" t="str">
        <x:v>2</x:v>
      </x:c>
      <x:c r="D18" s="228" t="str">
        <x:v>5</x:v>
      </x:c>
      <x:c r="E18" s="228" t="str">
        <x:v>n1000_r0.3_repeat1</x:v>
      </x:c>
      <x:c r="F18" s="228" t="str">
        <x:v>1000</x:v>
      </x:c>
      <x:c r="G18" s="228" t="str">
        <x:v>0.3</x:v>
      </x:c>
      <x:c r="H18" s="228" t="str">
        <x:v>1</x:v>
      </x:c>
      <x:c r="I18" s="228" t="str">
        <x:v>3402402747</x:v>
      </x:c>
      <x:c r="J18" s="228" t="str">
        <x:v>ec672457946a257099adc3798726059831d88223f58fa6f275c9a3285d8deee0</x:v>
      </x:c>
      <x:c r="K18" s="228" t="str">
        <x:v>108496</x:v>
      </x:c>
      <x:c r="L18" s="228" t="str">
        <x:v>1</x:v>
      </x:c>
      <x:c r="M18" s="228" t="str">
        <x:v>1000</x:v>
      </x:c>
      <x:c r="N18" s="228" t="str">
        <x:v>True</x:v>
      </x:c>
      <x:c r="O18" s="228" t="str">
        <x:v>0</x:v>
      </x:c>
      <x:c r="P18" s="228" t="str">
        <x:v>216.992</x:v>
      </x:c>
      <x:c r="Q18" s="228" t="str">
        <x:v>58.15818030165662</x:v>
      </x:c>
      <x:c r="R18" s="228" t="str">
        <x:v>59</x:v>
      </x:c>
      <x:c r="S18" s="228" t="str">
        <x:v>306</x:v>
      </x:c>
      <x:c r="T18" s="228" t="str">
        <x:v>0.21720920920920922</x:v>
      </x:c>
      <x:c r="U18" s="230" t="str">
        <x:v>0.36341990006621927</x:v>
      </x:c>
      <x:c r="V18" s="230" t="str">
        <x:v>0.5419597000582144</x:v>
      </x:c>
      <x:c r="W18" s="228" t="str">
        <x:v>True</x:v>
      </x:c>
      <x:c r="X18" s="228" t="str">
        <x:v>False</x:v>
      </x:c>
      <x:c r="Y18" s="228" t="str">
        <x:v>5</x:v>
      </x:c>
      <x:c r="Z18" s="228" t="str">
        <x:v>circle</x:v>
      </x:c>
      <x:c r="AA18" s="228" t="str">
        <x:v>1</x:v>
      </x:c>
      <x:c r="AB18" s="228" t="str">
        <x:v>circle,zoomed,ich,grid</x:v>
      </x:c>
      <x:c r="AC18" s="228" t="str">
        <x:v>1327972816</x:v>
      </x:c>
      <x:c r="AD18" s="228" t="str">
        <x:v>1327972816</x:v>
      </x:c>
      <x:c r="AE18" s="228" t="str">
        <x:v>collision,entropy</x:v>
      </x:c>
      <x:c r="AF18" s="228" t="str">
        <x:v>909</x:v>
      </x:c>
      <x:c r="AG18" s="228" t="str">
        <x:v>94</x:v>
      </x:c>
      <x:c r="AH18" s="230" t="str">
        <x:v>8.888273599906825</x:v>
      </x:c>
      <x:c r="AI18" s="228" t="str">
        <x:v>True</x:v>
      </x:c>
      <x:c r="AJ18" s="228" t="str">
        <x:v>80c97073b5c11d4bd8a3c5655b852f6c91ce81ce3ec099c3c8b4c4c679e8c60c</x:v>
      </x:c>
      <x:c r="AK18" s="228" t="str">
        <x:v>0</x:v>
      </x:c>
      <x:c r="AL18" s="228" t="str">
        <x:v>0</x:v>
      </x:c>
      <x:c r="AM18" s="228" t="str"/>
      <x:c r="AN18" s="230" t="str">
        <x:v>0.14788950001820922</x:v>
      </x:c>
      <x:c r="AO18" s="228" t="str">
        <x:v>94</x:v>
      </x:c>
      <x:c r="AP18" s="228" t="str">
        <x:v>0</x:v>
      </x:c>
      <x:c r="AQ18" s="228" t="str">
        <x:v>0</x:v>
      </x:c>
      <x:c r="AR18" s="228" t="str">
        <x:v>94</x:v>
      </x:c>
      <x:c r="AS18" s="228" t="str">
        <x:v>9.036163099925034</x:v>
      </x:c>
      <x:c r="AT18" s="228" t="str">
        <x:v>True</x:v>
      </x:c>
      <x:c r="AU18" s="228" t="str">
        <x:v>80c97073b5c11d4bd8a3c5655b852f6c91ce81ce3ec099c3c8b4c4c679e8c60c</x:v>
      </x:c>
      <x:c r="AV18" s="228" t="str">
        <x:v>0</x:v>
      </x:c>
      <x:c r="AW18" s="228" t="str">
        <x:v>94</x:v>
      </x:c>
      <x:c r="AX18" s="228" t="str">
        <x:v>0</x:v>
      </x:c>
      <x:c r="AY18" s="230" t="str">
        <x:v>0.08245579991489649</x:v>
      </x:c>
      <x:c r="AZ18" s="228" t="str">
        <x:v>False</x:v>
      </x:c>
      <x:c r="BA18" s="228" t="str">
        <x:v>94</x:v>
      </x:c>
      <x:c r="BB18" s="230" t="str">
        <x:v>9.11861889983993</x:v>
      </x:c>
      <x:c r="BC18" s="228" t="str">
        <x:v>True</x:v>
      </x:c>
      <x:c r="BD18" s="228" t="str">
        <x:v>80c97073b5c11d4bd8a3c5655b852f6c91ce81ce3ec099c3c8b4c4c679e8c60c</x:v>
      </x:c>
      <x:c r="BE18" s="228" t="str">
        <x:v>0</x:v>
      </x:c>
      <x:c r="BF18" s="228" t="str">
        <x:v>0</x:v>
      </x:c>
      <x:c r="BG18" s="228" t="str">
        <x:v>2</x:v>
      </x:c>
      <x:c r="BH18" s="228" t="str">
        <x:v>841</x:v>
      </x:c>
      <x:c r="BI18" s="228" t="str">
        <x:v>90</x:v>
      </x:c>
      <x:c r="BJ18" s="230" t="str">
        <x:v>9.780420399969444</x:v>
      </x:c>
      <x:c r="BK18" s="228" t="str">
        <x:v>True</x:v>
      </x:c>
      <x:c r="BL18" s="228" t="str">
        <x:v>36c3c21baefefb83946ea6be5895dd036fb72ed64eb14abbbef359ec4f4d85ba</x:v>
      </x:c>
      <x:c r="BM18" s="228" t="str">
        <x:v>0</x:v>
      </x:c>
      <x:c r="BN18" s="228" t="str">
        <x:v>0</x:v>
      </x:c>
      <x:c r="BO18" s="228" t="str"/>
      <x:c r="BP18" s="230" t="str">
        <x:v>0.11474630003795028</x:v>
      </x:c>
      <x:c r="BQ18" s="228" t="str">
        <x:v>90</x:v>
      </x:c>
      <x:c r="BR18" s="228" t="str">
        <x:v>0</x:v>
      </x:c>
      <x:c r="BS18" s="228" t="str">
        <x:v>0</x:v>
      </x:c>
      <x:c r="BT18" s="228" t="str">
        <x:v>90</x:v>
      </x:c>
      <x:c r="BU18" s="228" t="str">
        <x:v>9.895166700007394</x:v>
      </x:c>
      <x:c r="BV18" s="228" t="str">
        <x:v>True</x:v>
      </x:c>
      <x:c r="BW18" s="228" t="str">
        <x:v>36c3c21baefefb83946ea6be5895dd036fb72ed64eb14abbbef359ec4f4d85ba</x:v>
      </x:c>
      <x:c r="BX18" s="228" t="str">
        <x:v>0</x:v>
      </x:c>
      <x:c r="BY18" s="228" t="str">
        <x:v>90</x:v>
      </x:c>
      <x:c r="BZ18" s="228" t="str">
        <x:v>0</x:v>
      </x:c>
      <x:c r="CA18" s="230" t="str">
        <x:v>0.18556570005603135</x:v>
      </x:c>
      <x:c r="CB18" s="228" t="str">
        <x:v>False</x:v>
      </x:c>
      <x:c r="CC18" s="228" t="str">
        <x:v>90</x:v>
      </x:c>
      <x:c r="CD18" s="230" t="str">
        <x:v>10.080732400063425</x:v>
      </x:c>
      <x:c r="CE18" s="228" t="str">
        <x:v>True</x:v>
      </x:c>
      <x:c r="CF18" s="228" t="str">
        <x:v>36c3c21baefefb83946ea6be5895dd036fb72ed64eb14abbbef359ec4f4d85ba</x:v>
      </x:c>
      <x:c r="CG18" s="228" t="str">
        <x:v>0</x:v>
      </x:c>
      <x:c r="CH18" s="228" t="str">
        <x:v>0</x:v>
      </x:c>
      <x:c r="CI18" s="228" t="str">
        <x:v>1</x:v>
      </x:c>
      <x:c r="CJ18" s="228" t="str">
        <x:v>True</x:v>
      </x:c>
      <x:c r="CK18" s="228" t="str">
        <x:v>True</x:v>
      </x:c>
      <x:c r="CL18" s="228" t="str">
        <x:v>True</x:v>
      </x:c>
      <x:c r="CM18" s="228" t="str">
        <x:v>collision</x:v>
      </x:c>
      <x:c r="CN18" s="228" t="str">
        <x:v>-4</x:v>
      </x:c>
      <x:c r="CO18" s="230" t="str">
        <x:v>0.9621135002234951</x:v>
      </x:c>
      <x:c r="CP18" s="228" t="str">
        <x:v>0.9574468085106383</x:v>
      </x:c>
      <x:c r="CQ18" s="228" t="str">
        <x:v>1.1055108795302746</x:v>
      </x:c>
      <x:c r="CR18" s="228" t="str">
        <x:v>0.9045591667310362</x:v>
      </x:c>
      <x:c r="CS18" s="228" t="str">
        <x:v>collision</x:v>
      </x:c>
      <x:c r="CT18" s="228" t="str">
        <x:v>entropy</x:v>
      </x:c>
      <x:c r="CU18" s="228" t="str">
        <x:v>tradeoff</x:v>
      </x:c>
      <x:c r="CV18" s="228" t="str">
        <x:v>neither</x:v>
      </x:c>
      <x:c r="CW18" s="228" t="str">
        <x:v>both_valid</x:v>
      </x:c>
      <x:c r="CX18" s="228" t="str">
        <x:v>none</x:v>
      </x:c>
      <x:c r="CY18" s="228" t="str">
        <x:v>none</x:v>
      </x:c>
    </x:row>
    <x:row r="19">
      <x:c r="A19" s="228" t="str">
        <x:v>final-paired-v2</x:v>
      </x:c>
      <x:c r="B19" s="228" t="str">
        <x:v>20260819</x:v>
      </x:c>
      <x:c r="C19" s="228" t="str">
        <x:v>2</x:v>
      </x:c>
      <x:c r="D19" s="228" t="str">
        <x:v>5</x:v>
      </x:c>
      <x:c r="E19" s="228" t="str">
        <x:v>n1000_r0.3_repeat1</x:v>
      </x:c>
      <x:c r="F19" s="228" t="str">
        <x:v>1000</x:v>
      </x:c>
      <x:c r="G19" s="228" t="str">
        <x:v>0.3</x:v>
      </x:c>
      <x:c r="H19" s="228" t="str">
        <x:v>1</x:v>
      </x:c>
      <x:c r="I19" s="228" t="str">
        <x:v>3402402747</x:v>
      </x:c>
      <x:c r="J19" s="228" t="str">
        <x:v>ec672457946a257099adc3798726059831d88223f58fa6f275c9a3285d8deee0</x:v>
      </x:c>
      <x:c r="K19" s="228" t="str">
        <x:v>108496</x:v>
      </x:c>
      <x:c r="L19" s="228" t="str">
        <x:v>1</x:v>
      </x:c>
      <x:c r="M19" s="228" t="str">
        <x:v>1000</x:v>
      </x:c>
      <x:c r="N19" s="228" t="str">
        <x:v>True</x:v>
      </x:c>
      <x:c r="O19" s="228" t="str">
        <x:v>0</x:v>
      </x:c>
      <x:c r="P19" s="228" t="str">
        <x:v>216.992</x:v>
      </x:c>
      <x:c r="Q19" s="228" t="str">
        <x:v>58.15818030165662</x:v>
      </x:c>
      <x:c r="R19" s="228" t="str">
        <x:v>59</x:v>
      </x:c>
      <x:c r="S19" s="228" t="str">
        <x:v>306</x:v>
      </x:c>
      <x:c r="T19" s="228" t="str">
        <x:v>0.21720920920920922</x:v>
      </x:c>
      <x:c r="U19" s="230" t="str">
        <x:v>0.36341990006621927</x:v>
      </x:c>
      <x:c r="V19" s="230" t="str">
        <x:v>0.5419597000582144</x:v>
      </x:c>
      <x:c r="W19" s="228" t="str">
        <x:v>True</x:v>
      </x:c>
      <x:c r="X19" s="228" t="str">
        <x:v>False</x:v>
      </x:c>
      <x:c r="Y19" s="228" t="str">
        <x:v>5</x:v>
      </x:c>
      <x:c r="Z19" s="228" t="str">
        <x:v>zoomed</x:v>
      </x:c>
      <x:c r="AA19" s="228" t="str">
        <x:v>2</x:v>
      </x:c>
      <x:c r="AB19" s="228" t="str">
        <x:v>circle,zoomed,ich,grid</x:v>
      </x:c>
      <x:c r="AC19" s="228" t="str">
        <x:v>142484878</x:v>
      </x:c>
      <x:c r="AD19" s="228" t="str">
        <x:v>142484878</x:v>
      </x:c>
      <x:c r="AE19" s="228" t="str">
        <x:v>collision,entropy</x:v>
      </x:c>
      <x:c r="AF19" s="228" t="str">
        <x:v>620</x:v>
      </x:c>
      <x:c r="AG19" s="228" t="str">
        <x:v>91</x:v>
      </x:c>
      <x:c r="AH19" s="230" t="str">
        <x:v>8.97312179999426</x:v>
      </x:c>
      <x:c r="AI19" s="228" t="str">
        <x:v>True</x:v>
      </x:c>
      <x:c r="AJ19" s="228" t="str">
        <x:v>cbf393b2c70c93ce129403fe7c57e50866ed7fd1d9c5ffa5bfa1ff97eae9e593</x:v>
      </x:c>
      <x:c r="AK19" s="228" t="str">
        <x:v>0</x:v>
      </x:c>
      <x:c r="AL19" s="228" t="str">
        <x:v>0</x:v>
      </x:c>
      <x:c r="AM19" s="228" t="str"/>
      <x:c r="AN19" s="230" t="str">
        <x:v>0.1270191998919472</x:v>
      </x:c>
      <x:c r="AO19" s="228" t="str">
        <x:v>91</x:v>
      </x:c>
      <x:c r="AP19" s="228" t="str">
        <x:v>0</x:v>
      </x:c>
      <x:c r="AQ19" s="228" t="str">
        <x:v>0</x:v>
      </x:c>
      <x:c r="AR19" s="228" t="str">
        <x:v>91</x:v>
      </x:c>
      <x:c r="AS19" s="228" t="str">
        <x:v>9.100140999886207</x:v>
      </x:c>
      <x:c r="AT19" s="228" t="str">
        <x:v>True</x:v>
      </x:c>
      <x:c r="AU19" s="228" t="str">
        <x:v>cbf393b2c70c93ce129403fe7c57e50866ed7fd1d9c5ffa5bfa1ff97eae9e593</x:v>
      </x:c>
      <x:c r="AV19" s="228" t="str">
        <x:v>0</x:v>
      </x:c>
      <x:c r="AW19" s="228" t="str">
        <x:v>91</x:v>
      </x:c>
      <x:c r="AX19" s="228" t="str">
        <x:v>0</x:v>
      </x:c>
      <x:c r="AY19" s="230" t="str">
        <x:v>0.10033299995120615</x:v>
      </x:c>
      <x:c r="AZ19" s="228" t="str">
        <x:v>False</x:v>
      </x:c>
      <x:c r="BA19" s="228" t="str">
        <x:v>91</x:v>
      </x:c>
      <x:c r="BB19" s="230" t="str">
        <x:v>9.200473999837413</x:v>
      </x:c>
      <x:c r="BC19" s="228" t="str">
        <x:v>True</x:v>
      </x:c>
      <x:c r="BD19" s="228" t="str">
        <x:v>cbf393b2c70c93ce129403fe7c57e50866ed7fd1d9c5ffa5bfa1ff97eae9e593</x:v>
      </x:c>
      <x:c r="BE19" s="228" t="str">
        <x:v>0</x:v>
      </x:c>
      <x:c r="BF19" s="228" t="str">
        <x:v>0</x:v>
      </x:c>
      <x:c r="BG19" s="228" t="str">
        <x:v>2</x:v>
      </x:c>
      <x:c r="BH19" s="228" t="str">
        <x:v>403</x:v>
      </x:c>
      <x:c r="BI19" s="228" t="str">
        <x:v>89</x:v>
      </x:c>
      <x:c r="BJ19" s="230" t="str">
        <x:v>8.429920400027186</x:v>
      </x:c>
      <x:c r="BK19" s="228" t="str">
        <x:v>True</x:v>
      </x:c>
      <x:c r="BL19" s="228" t="str">
        <x:v>b782cb192a22ab2f1457f69c7219c550b32fe8b76a26fba6720cd63a87c82014</x:v>
      </x:c>
      <x:c r="BM19" s="228" t="str">
        <x:v>0</x:v>
      </x:c>
      <x:c r="BN19" s="228" t="str">
        <x:v>0</x:v>
      </x:c>
      <x:c r="BO19" s="228" t="str"/>
      <x:c r="BP19" s="230" t="str">
        <x:v>0.0620411999989301</x:v>
      </x:c>
      <x:c r="BQ19" s="228" t="str">
        <x:v>89</x:v>
      </x:c>
      <x:c r="BR19" s="228" t="str">
        <x:v>0</x:v>
      </x:c>
      <x:c r="BS19" s="228" t="str">
        <x:v>0</x:v>
      </x:c>
      <x:c r="BT19" s="228" t="str">
        <x:v>89</x:v>
      </x:c>
      <x:c r="BU19" s="228" t="str">
        <x:v>8.491961600026116</x:v>
      </x:c>
      <x:c r="BV19" s="228" t="str">
        <x:v>True</x:v>
      </x:c>
      <x:c r="BW19" s="228" t="str">
        <x:v>b782cb192a22ab2f1457f69c7219c550b32fe8b76a26fba6720cd63a87c82014</x:v>
      </x:c>
      <x:c r="BX19" s="228" t="str">
        <x:v>0</x:v>
      </x:c>
      <x:c r="BY19" s="228" t="str">
        <x:v>89</x:v>
      </x:c>
      <x:c r="BZ19" s="228" t="str">
        <x:v>0</x:v>
      </x:c>
      <x:c r="CA19" s="230" t="str">
        <x:v>0.06913319998420775</x:v>
      </x:c>
      <x:c r="CB19" s="228" t="str">
        <x:v>False</x:v>
      </x:c>
      <x:c r="CC19" s="228" t="str">
        <x:v>89</x:v>
      </x:c>
      <x:c r="CD19" s="230" t="str">
        <x:v>8.561094800010324</x:v>
      </x:c>
      <x:c r="CE19" s="228" t="str">
        <x:v>True</x:v>
      </x:c>
      <x:c r="CF19" s="228" t="str">
        <x:v>b782cb192a22ab2f1457f69c7219c550b32fe8b76a26fba6720cd63a87c82014</x:v>
      </x:c>
      <x:c r="CG19" s="228" t="str">
        <x:v>0</x:v>
      </x:c>
      <x:c r="CH19" s="228" t="str">
        <x:v>0</x:v>
      </x:c>
      <x:c r="CI19" s="228" t="str">
        <x:v>1</x:v>
      </x:c>
      <x:c r="CJ19" s="228" t="str">
        <x:v>True</x:v>
      </x:c>
      <x:c r="CK19" s="228" t="str">
        <x:v>True</x:v>
      </x:c>
      <x:c r="CL19" s="228" t="str">
        <x:v>True</x:v>
      </x:c>
      <x:c r="CM19" s="228" t="str">
        <x:v>collision</x:v>
      </x:c>
      <x:c r="CN19" s="228" t="str">
        <x:v>-2</x:v>
      </x:c>
      <x:c r="CO19" s="230" t="str">
        <x:v>-0.6393791998270899</x:v>
      </x:c>
      <x:c r="CP19" s="228" t="str">
        <x:v>0.978021978021978</x:v>
      </x:c>
      <x:c r="CQ19" s="228" t="str">
        <x:v>0.9305058413470448</x:v>
      </x:c>
      <x:c r="CR19" s="228" t="str">
        <x:v>1.074684279845414</x:v>
      </x:c>
      <x:c r="CS19" s="228" t="str">
        <x:v>collision</x:v>
      </x:c>
      <x:c r="CT19" s="228" t="str">
        <x:v>collision</x:v>
      </x:c>
      <x:c r="CU19" s="228" t="str">
        <x:v>collision_dominates</x:v>
      </x:c>
      <x:c r="CV19" s="228" t="str">
        <x:v>neither</x:v>
      </x:c>
      <x:c r="CW19" s="228" t="str">
        <x:v>both_valid</x:v>
      </x:c>
      <x:c r="CX19" s="228" t="str">
        <x:v>none</x:v>
      </x:c>
      <x:c r="CY19" s="228" t="str">
        <x:v>none</x:v>
      </x:c>
    </x:row>
    <x:row r="20">
      <x:c r="A20" s="228" t="str">
        <x:v>final-paired-v2</x:v>
      </x:c>
      <x:c r="B20" s="228" t="str">
        <x:v>20260819</x:v>
      </x:c>
      <x:c r="C20" s="228" t="str">
        <x:v>2</x:v>
      </x:c>
      <x:c r="D20" s="228" t="str">
        <x:v>5</x:v>
      </x:c>
      <x:c r="E20" s="228" t="str">
        <x:v>n1000_r0.3_repeat1</x:v>
      </x:c>
      <x:c r="F20" s="228" t="str">
        <x:v>1000</x:v>
      </x:c>
      <x:c r="G20" s="228" t="str">
        <x:v>0.3</x:v>
      </x:c>
      <x:c r="H20" s="228" t="str">
        <x:v>1</x:v>
      </x:c>
      <x:c r="I20" s="228" t="str">
        <x:v>3402402747</x:v>
      </x:c>
      <x:c r="J20" s="228" t="str">
        <x:v>ec672457946a257099adc3798726059831d88223f58fa6f275c9a3285d8deee0</x:v>
      </x:c>
      <x:c r="K20" s="228" t="str">
        <x:v>108496</x:v>
      </x:c>
      <x:c r="L20" s="228" t="str">
        <x:v>1</x:v>
      </x:c>
      <x:c r="M20" s="228" t="str">
        <x:v>1000</x:v>
      </x:c>
      <x:c r="N20" s="228" t="str">
        <x:v>True</x:v>
      </x:c>
      <x:c r="O20" s="228" t="str">
        <x:v>0</x:v>
      </x:c>
      <x:c r="P20" s="228" t="str">
        <x:v>216.992</x:v>
      </x:c>
      <x:c r="Q20" s="228" t="str">
        <x:v>58.15818030165662</x:v>
      </x:c>
      <x:c r="R20" s="228" t="str">
        <x:v>59</x:v>
      </x:c>
      <x:c r="S20" s="228" t="str">
        <x:v>306</x:v>
      </x:c>
      <x:c r="T20" s="228" t="str">
        <x:v>0.21720920920920922</x:v>
      </x:c>
      <x:c r="U20" s="230" t="str">
        <x:v>0.36341990006621927</x:v>
      </x:c>
      <x:c r="V20" s="230" t="str">
        <x:v>0.5419597000582144</x:v>
      </x:c>
      <x:c r="W20" s="228" t="str">
        <x:v>True</x:v>
      </x:c>
      <x:c r="X20" s="228" t="str">
        <x:v>False</x:v>
      </x:c>
      <x:c r="Y20" s="228" t="str">
        <x:v>5</x:v>
      </x:c>
      <x:c r="Z20" s="228" t="str">
        <x:v>ich</x:v>
      </x:c>
      <x:c r="AA20" s="228" t="str">
        <x:v>3</x:v>
      </x:c>
      <x:c r="AB20" s="228" t="str">
        <x:v>circle,zoomed,ich,grid</x:v>
      </x:c>
      <x:c r="AC20" s="228" t="str">
        <x:v>3977797780</x:v>
      </x:c>
      <x:c r="AD20" s="228" t="str">
        <x:v>3977797780</x:v>
      </x:c>
      <x:c r="AE20" s="228" t="str">
        <x:v>collision,entropy</x:v>
      </x:c>
      <x:c r="AF20" s="228" t="str">
        <x:v>81</x:v>
      </x:c>
      <x:c r="AG20" s="228" t="str">
        <x:v>81</x:v>
      </x:c>
      <x:c r="AH20" s="230" t="str">
        <x:v>185.87687849998474</x:v>
      </x:c>
      <x:c r="AI20" s="228" t="str">
        <x:v>True</x:v>
      </x:c>
      <x:c r="AJ20" s="228" t="str">
        <x:v>2a0037faf2bbc1423e8fbfaa64e0e5ac93209a1f4d82f33d3e4590f9cf10c4cc</x:v>
      </x:c>
      <x:c r="AK20" s="228" t="str">
        <x:v>0</x:v>
      </x:c>
      <x:c r="AL20" s="228" t="str">
        <x:v>0</x:v>
      </x:c>
      <x:c r="AM20" s="228" t="str"/>
      <x:c r="AN20" s="230" t="str">
        <x:v>0.11481459997594357</x:v>
      </x:c>
      <x:c r="AO20" s="228" t="str">
        <x:v>81</x:v>
      </x:c>
      <x:c r="AP20" s="228" t="str">
        <x:v>0</x:v>
      </x:c>
      <x:c r="AQ20" s="228" t="str">
        <x:v>0</x:v>
      </x:c>
      <x:c r="AR20" s="228" t="str">
        <x:v>81</x:v>
      </x:c>
      <x:c r="AS20" s="228" t="str">
        <x:v>185.99169309996068</x:v>
      </x:c>
      <x:c r="AT20" s="228" t="str">
        <x:v>True</x:v>
      </x:c>
      <x:c r="AU20" s="228" t="str">
        <x:v>2a0037faf2bbc1423e8fbfaa64e0e5ac93209a1f4d82f33d3e4590f9cf10c4cc</x:v>
      </x:c>
      <x:c r="AV20" s="228" t="str">
        <x:v>0</x:v>
      </x:c>
      <x:c r="AW20" s="228" t="str">
        <x:v>81</x:v>
      </x:c>
      <x:c r="AX20" s="228" t="str">
        <x:v>5</x:v>
      </x:c>
      <x:c r="AY20" s="230" t="str">
        <x:v>0.23351569997612387</x:v>
      </x:c>
      <x:c r="AZ20" s="228" t="str">
        <x:v>False</x:v>
      </x:c>
      <x:c r="BA20" s="228" t="str">
        <x:v>76</x:v>
      </x:c>
      <x:c r="BB20" s="230" t="str">
        <x:v>186.2252087999368</x:v>
      </x:c>
      <x:c r="BC20" s="228" t="str">
        <x:v>True</x:v>
      </x:c>
      <x:c r="BD20" s="228" t="str">
        <x:v>00e35875bc380bd5d982931099c3ac020021c2d13566b75786f9af96a072a9cb</x:v>
      </x:c>
      <x:c r="BE20" s="228" t="str">
        <x:v>-5</x:v>
      </x:c>
      <x:c r="BF20" s="228" t="str">
        <x:v>0</x:v>
      </x:c>
      <x:c r="BG20" s="228" t="str">
        <x:v>2</x:v>
      </x:c>
      <x:c r="BH20" s="228" t="str">
        <x:v>83</x:v>
      </x:c>
      <x:c r="BI20" s="228" t="str">
        <x:v>83</x:v>
      </x:c>
      <x:c r="BJ20" s="230" t="str">
        <x:v>183.42493199999444</x:v>
      </x:c>
      <x:c r="BK20" s="228" t="str">
        <x:v>True</x:v>
      </x:c>
      <x:c r="BL20" s="228" t="str">
        <x:v>327061ff60ea24705765b198aa686f56d40fbfe5d423528539f6839e25d710f0</x:v>
      </x:c>
      <x:c r="BM20" s="228" t="str">
        <x:v>0</x:v>
      </x:c>
      <x:c r="BN20" s="228" t="str">
        <x:v>0</x:v>
      </x:c>
      <x:c r="BO20" s="228" t="str"/>
      <x:c r="BP20" s="230" t="str">
        <x:v>0.11009189998731017</x:v>
      </x:c>
      <x:c r="BQ20" s="228" t="str">
        <x:v>83</x:v>
      </x:c>
      <x:c r="BR20" s="228" t="str">
        <x:v>0</x:v>
      </x:c>
      <x:c r="BS20" s="228" t="str">
        <x:v>0</x:v>
      </x:c>
      <x:c r="BT20" s="228" t="str">
        <x:v>83</x:v>
      </x:c>
      <x:c r="BU20" s="228" t="str">
        <x:v>183.53502389998175</x:v>
      </x:c>
      <x:c r="BV20" s="228" t="str">
        <x:v>True</x:v>
      </x:c>
      <x:c r="BW20" s="228" t="str">
        <x:v>327061ff60ea24705765b198aa686f56d40fbfe5d423528539f6839e25d710f0</x:v>
      </x:c>
      <x:c r="BX20" s="228" t="str">
        <x:v>0</x:v>
      </x:c>
      <x:c r="BY20" s="228" t="str">
        <x:v>83</x:v>
      </x:c>
      <x:c r="BZ20" s="228" t="str">
        <x:v>4</x:v>
      </x:c>
      <x:c r="CA20" s="230" t="str">
        <x:v>0.3768122000619769</x:v>
      </x:c>
      <x:c r="CB20" s="228" t="str">
        <x:v>False</x:v>
      </x:c>
      <x:c r="CC20" s="228" t="str">
        <x:v>79</x:v>
      </x:c>
      <x:c r="CD20" s="230" t="str">
        <x:v>183.91183610004373</x:v>
      </x:c>
      <x:c r="CE20" s="228" t="str">
        <x:v>True</x:v>
      </x:c>
      <x:c r="CF20" s="228" t="str">
        <x:v>d94f2eb02a355237eabbe79bc678c78582b6ce9e7a4cf89f8f90be3c78b71e9e</x:v>
      </x:c>
      <x:c r="CG20" s="228" t="str">
        <x:v>-4</x:v>
      </x:c>
      <x:c r="CH20" s="228" t="str">
        <x:v>0</x:v>
      </x:c>
      <x:c r="CI20" s="228" t="str">
        <x:v>1</x:v>
      </x:c>
      <x:c r="CJ20" s="228" t="str">
        <x:v>True</x:v>
      </x:c>
      <x:c r="CK20" s="228" t="str">
        <x:v>True</x:v>
      </x:c>
      <x:c r="CL20" s="228" t="str">
        <x:v>True</x:v>
      </x:c>
      <x:c r="CM20" s="228" t="str">
        <x:v>entropy</x:v>
      </x:c>
      <x:c r="CN20" s="228" t="str">
        <x:v>3</x:v>
      </x:c>
      <x:c r="CO20" s="230" t="str">
        <x:v>-2.3133726998930797</x:v>
      </x:c>
      <x:c r="CP20" s="228" t="str">
        <x:v>1.0394736842105263</x:v>
      </x:c>
      <x:c r="CQ20" s="228" t="str">
        <x:v>0.9875775534644273</x:v>
      </x:c>
      <x:c r="CR20" s="228" t="str">
        <x:v>1.0125787048237322</x:v>
      </x:c>
      <x:c r="CS20" s="228" t="str">
        <x:v>entropy</x:v>
      </x:c>
      <x:c r="CT20" s="228" t="str">
        <x:v>collision</x:v>
      </x:c>
      <x:c r="CU20" s="228" t="str">
        <x:v>tradeoff</x:v>
      </x:c>
      <x:c r="CV20" s="228" t="str">
        <x:v>neither</x:v>
      </x:c>
      <x:c r="CW20" s="228" t="str">
        <x:v>both_valid</x:v>
      </x:c>
      <x:c r="CX20" s="228" t="str">
        <x:v>none</x:v>
      </x:c>
      <x:c r="CY20" s="228" t="str">
        <x:v>none</x:v>
      </x:c>
    </x:row>
    <x:row r="21">
      <x:c r="A21" s="228" t="str">
        <x:v>final-paired-v2</x:v>
      </x:c>
      <x:c r="B21" s="228" t="str">
        <x:v>20260819</x:v>
      </x:c>
      <x:c r="C21" s="228" t="str">
        <x:v>2</x:v>
      </x:c>
      <x:c r="D21" s="228" t="str">
        <x:v>5</x:v>
      </x:c>
      <x:c r="E21" s="228" t="str">
        <x:v>n1000_r0.3_repeat1</x:v>
      </x:c>
      <x:c r="F21" s="228" t="str">
        <x:v>1000</x:v>
      </x:c>
      <x:c r="G21" s="228" t="str">
        <x:v>0.3</x:v>
      </x:c>
      <x:c r="H21" s="228" t="str">
        <x:v>1</x:v>
      </x:c>
      <x:c r="I21" s="228" t="str">
        <x:v>3402402747</x:v>
      </x:c>
      <x:c r="J21" s="228" t="str">
        <x:v>ec672457946a257099adc3798726059831d88223f58fa6f275c9a3285d8deee0</x:v>
      </x:c>
      <x:c r="K21" s="228" t="str">
        <x:v>108496</x:v>
      </x:c>
      <x:c r="L21" s="228" t="str">
        <x:v>1</x:v>
      </x:c>
      <x:c r="M21" s="228" t="str">
        <x:v>1000</x:v>
      </x:c>
      <x:c r="N21" s="228" t="str">
        <x:v>True</x:v>
      </x:c>
      <x:c r="O21" s="228" t="str">
        <x:v>0</x:v>
      </x:c>
      <x:c r="P21" s="228" t="str">
        <x:v>216.992</x:v>
      </x:c>
      <x:c r="Q21" s="228" t="str">
        <x:v>58.15818030165662</x:v>
      </x:c>
      <x:c r="R21" s="228" t="str">
        <x:v>59</x:v>
      </x:c>
      <x:c r="S21" s="228" t="str">
        <x:v>306</x:v>
      </x:c>
      <x:c r="T21" s="228" t="str">
        <x:v>0.21720920920920922</x:v>
      </x:c>
      <x:c r="U21" s="230" t="str">
        <x:v>0.36341990006621927</x:v>
      </x:c>
      <x:c r="V21" s="230" t="str">
        <x:v>0.5419597000582144</x:v>
      </x:c>
      <x:c r="W21" s="228" t="str">
        <x:v>True</x:v>
      </x:c>
      <x:c r="X21" s="228" t="str">
        <x:v>False</x:v>
      </x:c>
      <x:c r="Y21" s="228" t="str">
        <x:v>5</x:v>
      </x:c>
      <x:c r="Z21" s="228" t="str">
        <x:v>grid</x:v>
      </x:c>
      <x:c r="AA21" s="228" t="str">
        <x:v>4</x:v>
      </x:c>
      <x:c r="AB21" s="228" t="str">
        <x:v>circle,zoomed,ich,grid</x:v>
      </x:c>
      <x:c r="AC21" s="228" t="str">
        <x:v>1425797634</x:v>
      </x:c>
      <x:c r="AD21" s="228" t="str">
        <x:v>1425797634</x:v>
      </x:c>
      <x:c r="AE21" s="228" t="str">
        <x:v>collision,entropy</x:v>
      </x:c>
      <x:c r="AF21" s="228" t="str">
        <x:v>751</x:v>
      </x:c>
      <x:c r="AG21" s="228" t="str">
        <x:v>89</x:v>
      </x:c>
      <x:c r="AH21" s="230" t="str">
        <x:v>14.256169800064526</x:v>
      </x:c>
      <x:c r="AI21" s="228" t="str">
        <x:v>True</x:v>
      </x:c>
      <x:c r="AJ21" s="228" t="str">
        <x:v>de3539a07c8abad1080f25ea0f35f328f7cef0ff1b5ade372908f2f8141715eb</x:v>
      </x:c>
      <x:c r="AK21" s="228" t="str">
        <x:v>0</x:v>
      </x:c>
      <x:c r="AL21" s="228" t="str">
        <x:v>0</x:v>
      </x:c>
      <x:c r="AM21" s="228" t="str"/>
      <x:c r="AN21" s="230" t="str">
        <x:v>0.07062549993861467</x:v>
      </x:c>
      <x:c r="AO21" s="228" t="str">
        <x:v>89</x:v>
      </x:c>
      <x:c r="AP21" s="228" t="str">
        <x:v>0</x:v>
      </x:c>
      <x:c r="AQ21" s="228" t="str">
        <x:v>0</x:v>
      </x:c>
      <x:c r="AR21" s="228" t="str">
        <x:v>89</x:v>
      </x:c>
      <x:c r="AS21" s="228" t="str">
        <x:v>14.326795300003141</x:v>
      </x:c>
      <x:c r="AT21" s="228" t="str">
        <x:v>True</x:v>
      </x:c>
      <x:c r="AU21" s="228" t="str">
        <x:v>de3539a07c8abad1080f25ea0f35f328f7cef0ff1b5ade372908f2f8141715eb</x:v>
      </x:c>
      <x:c r="AV21" s="228" t="str">
        <x:v>0</x:v>
      </x:c>
      <x:c r="AW21" s="228" t="str">
        <x:v>89</x:v>
      </x:c>
      <x:c r="AX21" s="228" t="str">
        <x:v>0</x:v>
      </x:c>
      <x:c r="AY21" s="230" t="str">
        <x:v>0.07723409996833652</x:v>
      </x:c>
      <x:c r="AZ21" s="228" t="str">
        <x:v>False</x:v>
      </x:c>
      <x:c r="BA21" s="228" t="str">
        <x:v>89</x:v>
      </x:c>
      <x:c r="BB21" s="230" t="str">
        <x:v>14.404029399971478</x:v>
      </x:c>
      <x:c r="BC21" s="228" t="str">
        <x:v>True</x:v>
      </x:c>
      <x:c r="BD21" s="228" t="str">
        <x:v>de3539a07c8abad1080f25ea0f35f328f7cef0ff1b5ade372908f2f8141715eb</x:v>
      </x:c>
      <x:c r="BE21" s="228" t="str">
        <x:v>0</x:v>
      </x:c>
      <x:c r="BF21" s="228" t="str">
        <x:v>0</x:v>
      </x:c>
      <x:c r="BG21" s="228" t="str">
        <x:v>2</x:v>
      </x:c>
      <x:c r="BH21" s="228" t="str">
        <x:v>208</x:v>
      </x:c>
      <x:c r="BI21" s="228" t="str">
        <x:v>84</x:v>
      </x:c>
      <x:c r="BJ21" s="230" t="str">
        <x:v>9.907522700028494</x:v>
      </x:c>
      <x:c r="BK21" s="228" t="str">
        <x:v>True</x:v>
      </x:c>
      <x:c r="BL21" s="228" t="str">
        <x:v>7ffa14ffc28e06175e135ab9b0c0e0d7b1831204bdb9380d19ea70761d7f42c4</x:v>
      </x:c>
      <x:c r="BM21" s="228" t="str">
        <x:v>0</x:v>
      </x:c>
      <x:c r="BN21" s="228" t="str">
        <x:v>0</x:v>
      </x:c>
      <x:c r="BO21" s="228" t="str"/>
      <x:c r="BP21" s="230" t="str">
        <x:v>0.07712479995097965</x:v>
      </x:c>
      <x:c r="BQ21" s="228" t="str">
        <x:v>84</x:v>
      </x:c>
      <x:c r="BR21" s="228" t="str">
        <x:v>0</x:v>
      </x:c>
      <x:c r="BS21" s="228" t="str">
        <x:v>0</x:v>
      </x:c>
      <x:c r="BT21" s="228" t="str">
        <x:v>84</x:v>
      </x:c>
      <x:c r="BU21" s="228" t="str">
        <x:v>9.984647499979474</x:v>
      </x:c>
      <x:c r="BV21" s="228" t="str">
        <x:v>True</x:v>
      </x:c>
      <x:c r="BW21" s="228" t="str">
        <x:v>7ffa14ffc28e06175e135ab9b0c0e0d7b1831204bdb9380d19ea70761d7f42c4</x:v>
      </x:c>
      <x:c r="BX21" s="228" t="str">
        <x:v>0</x:v>
      </x:c>
      <x:c r="BY21" s="228" t="str">
        <x:v>84</x:v>
      </x:c>
      <x:c r="BZ21" s="228" t="str">
        <x:v>0</x:v>
      </x:c>
      <x:c r="CA21" s="230" t="str">
        <x:v>0.08423529996071011</x:v>
      </x:c>
      <x:c r="CB21" s="228" t="str">
        <x:v>False</x:v>
      </x:c>
      <x:c r="CC21" s="228" t="str">
        <x:v>84</x:v>
      </x:c>
      <x:c r="CD21" s="230" t="str">
        <x:v>10.068882799940184</x:v>
      </x:c>
      <x:c r="CE21" s="228" t="str">
        <x:v>True</x:v>
      </x:c>
      <x:c r="CF21" s="228" t="str">
        <x:v>7ffa14ffc28e06175e135ab9b0c0e0d7b1831204bdb9380d19ea70761d7f42c4</x:v>
      </x:c>
      <x:c r="CG21" s="228" t="str">
        <x:v>0</x:v>
      </x:c>
      <x:c r="CH21" s="228" t="str">
        <x:v>0</x:v>
      </x:c>
      <x:c r="CI21" s="228" t="str">
        <x:v>1</x:v>
      </x:c>
      <x:c r="CJ21" s="228" t="str">
        <x:v>True</x:v>
      </x:c>
      <x:c r="CK21" s="228" t="str">
        <x:v>True</x:v>
      </x:c>
      <x:c r="CL21" s="228" t="str">
        <x:v>True</x:v>
      </x:c>
      <x:c r="CM21" s="228" t="str">
        <x:v>collision</x:v>
      </x:c>
      <x:c r="CN21" s="228" t="str">
        <x:v>-5</x:v>
      </x:c>
      <x:c r="CO21" s="230" t="str">
        <x:v>-4.335146600031294</x:v>
      </x:c>
      <x:c r="CP21" s="228" t="str">
        <x:v>0.9438202247191011</x:v>
      </x:c>
      <x:c r="CQ21" s="228" t="str">
        <x:v>0.6990323693702071</x:v>
      </x:c>
      <x:c r="CR21" s="228" t="str">
        <x:v>1.4305489185013702</x:v>
      </x:c>
      <x:c r="CS21" s="228" t="str">
        <x:v>collision</x:v>
      </x:c>
      <x:c r="CT21" s="228" t="str">
        <x:v>collision</x:v>
      </x:c>
      <x:c r="CU21" s="228" t="str">
        <x:v>collision_dominates</x:v>
      </x:c>
      <x:c r="CV21" s="228" t="str">
        <x:v>neither</x:v>
      </x:c>
      <x:c r="CW21" s="228" t="str">
        <x:v>both_valid</x:v>
      </x:c>
      <x:c r="CX21" s="228" t="str">
        <x:v>none</x:v>
      </x:c>
      <x:c r="CY21" s="228" t="str">
        <x:v>none</x:v>
      </x:c>
    </x:row>
    <x:row r="22">
      <x:c r="A22" s="228" t="str">
        <x:v>final-paired-v2</x:v>
      </x:c>
      <x:c r="B22" s="228" t="str">
        <x:v>20260819</x:v>
      </x:c>
      <x:c r="C22" s="228" t="str">
        <x:v>2</x:v>
      </x:c>
      <x:c r="D22" s="228" t="str">
        <x:v>6</x:v>
      </x:c>
      <x:c r="E22" s="228" t="str">
        <x:v>n1000_r0.3_repeat2</x:v>
      </x:c>
      <x:c r="F22" s="228" t="str">
        <x:v>1000</x:v>
      </x:c>
      <x:c r="G22" s="228" t="str">
        <x:v>0.3</x:v>
      </x:c>
      <x:c r="H22" s="228" t="str">
        <x:v>2</x:v>
      </x:c>
      <x:c r="I22" s="228" t="str">
        <x:v>2358147316</x:v>
      </x:c>
      <x:c r="J22" s="228" t="str">
        <x:v>54086006be308a6d2ae869d938ced869b1a1ea2b8d094da9d21d47f0d0cd7276</x:v>
      </x:c>
      <x:c r="K22" s="228" t="str">
        <x:v>107616</x:v>
      </x:c>
      <x:c r="L22" s="228" t="str">
        <x:v>1</x:v>
      </x:c>
      <x:c r="M22" s="228" t="str">
        <x:v>1000</x:v>
      </x:c>
      <x:c r="N22" s="228" t="str">
        <x:v>True</x:v>
      </x:c>
      <x:c r="O22" s="228" t="str">
        <x:v>0</x:v>
      </x:c>
      <x:c r="P22" s="228" t="str">
        <x:v>215.232</x:v>
      </x:c>
      <x:c r="Q22" s="228" t="str">
        <x:v>57.02333010268692</x:v>
      </x:c>
      <x:c r="R22" s="228" t="str">
        <x:v>65</x:v>
      </x:c>
      <x:c r="S22" s="228" t="str">
        <x:v>304</x:v>
      </x:c>
      <x:c r="T22" s="228" t="str">
        <x:v>0.21544744744744745</x:v>
      </x:c>
      <x:c r="U22" s="230" t="str">
        <x:v>0.3056946999859065</x:v>
      </x:c>
      <x:c r="V22" s="230" t="str">
        <x:v>0.4958946000551805</x:v>
      </x:c>
      <x:c r="W22" s="228" t="str">
        <x:v>True</x:v>
      </x:c>
      <x:c r="X22" s="228" t="str">
        <x:v>False</x:v>
      </x:c>
      <x:c r="Y22" s="228" t="str">
        <x:v>5</x:v>
      </x:c>
      <x:c r="Z22" s="228" t="str">
        <x:v>zoomed</x:v>
      </x:c>
      <x:c r="AA22" s="228" t="str">
        <x:v>1</x:v>
      </x:c>
      <x:c r="AB22" s="228" t="str">
        <x:v>zoomed,ich,grid,circle</x:v>
      </x:c>
      <x:c r="AC22" s="228" t="str">
        <x:v>1312609985</x:v>
      </x:c>
      <x:c r="AD22" s="228" t="str">
        <x:v>1312609985</x:v>
      </x:c>
      <x:c r="AE22" s="228" t="str">
        <x:v>entropy,collision</x:v>
      </x:c>
      <x:c r="AF22" s="228" t="str">
        <x:v>837</x:v>
      </x:c>
      <x:c r="AG22" s="228" t="str">
        <x:v>104</x:v>
      </x:c>
      <x:c r="AH22" s="230" t="str">
        <x:v>12.428199999965727</x:v>
      </x:c>
      <x:c r="AI22" s="228" t="str">
        <x:v>True</x:v>
      </x:c>
      <x:c r="AJ22" s="228" t="str">
        <x:v>3841d3fd985c1d4af443e3126b9f5515176bc021f7b7c92eb66977d87c443e68</x:v>
      </x:c>
      <x:c r="AK22" s="228" t="str">
        <x:v>0</x:v>
      </x:c>
      <x:c r="AL22" s="228" t="str">
        <x:v>0</x:v>
      </x:c>
      <x:c r="AM22" s="228" t="str"/>
      <x:c r="AN22" s="230" t="str">
        <x:v>0.1157119000563398</x:v>
      </x:c>
      <x:c r="AO22" s="228" t="str">
        <x:v>104</x:v>
      </x:c>
      <x:c r="AP22" s="228" t="str">
        <x:v>0</x:v>
      </x:c>
      <x:c r="AQ22" s="228" t="str">
        <x:v>0</x:v>
      </x:c>
      <x:c r="AR22" s="228" t="str">
        <x:v>104</x:v>
      </x:c>
      <x:c r="AS22" s="228" t="str">
        <x:v>12.543911900022067</x:v>
      </x:c>
      <x:c r="AT22" s="228" t="str">
        <x:v>True</x:v>
      </x:c>
      <x:c r="AU22" s="228" t="str">
        <x:v>3841d3fd985c1d4af443e3126b9f5515176bc021f7b7c92eb66977d87c443e68</x:v>
      </x:c>
      <x:c r="AV22" s="228" t="str">
        <x:v>0</x:v>
      </x:c>
      <x:c r="AW22" s="228" t="str">
        <x:v>104</x:v>
      </x:c>
      <x:c r="AX22" s="228" t="str">
        <x:v>0</x:v>
      </x:c>
      <x:c r="AY22" s="230" t="str">
        <x:v>0.14636579994112253</x:v>
      </x:c>
      <x:c r="AZ22" s="228" t="str">
        <x:v>False</x:v>
      </x:c>
      <x:c r="BA22" s="228" t="str">
        <x:v>104</x:v>
      </x:c>
      <x:c r="BB22" s="230" t="str">
        <x:v>12.69027769996319</x:v>
      </x:c>
      <x:c r="BC22" s="228" t="str">
        <x:v>True</x:v>
      </x:c>
      <x:c r="BD22" s="228" t="str">
        <x:v>3841d3fd985c1d4af443e3126b9f5515176bc021f7b7c92eb66977d87c443e68</x:v>
      </x:c>
      <x:c r="BE22" s="228" t="str">
        <x:v>0</x:v>
      </x:c>
      <x:c r="BF22" s="228" t="str">
        <x:v>0</x:v>
      </x:c>
      <x:c r="BG22" s="228" t="str">
        <x:v>1</x:v>
      </x:c>
      <x:c r="BH22" s="228" t="str">
        <x:v>369</x:v>
      </x:c>
      <x:c r="BI22" s="228" t="str">
        <x:v>100</x:v>
      </x:c>
      <x:c r="BJ22" s="230" t="str">
        <x:v>10.86471629992593</x:v>
      </x:c>
      <x:c r="BK22" s="228" t="str">
        <x:v>True</x:v>
      </x:c>
      <x:c r="BL22" s="228" t="str">
        <x:v>a00aff448b62a5255cb69ef7a665030d33692aa785533555eef6f3e80bb4774e</x:v>
      </x:c>
      <x:c r="BM22" s="228" t="str">
        <x:v>0</x:v>
      </x:c>
      <x:c r="BN22" s="228" t="str">
        <x:v>0</x:v>
      </x:c>
      <x:c r="BO22" s="228" t="str"/>
      <x:c r="BP22" s="230" t="str">
        <x:v>0.15081790008116513</x:v>
      </x:c>
      <x:c r="BQ22" s="228" t="str">
        <x:v>100</x:v>
      </x:c>
      <x:c r="BR22" s="228" t="str">
        <x:v>0</x:v>
      </x:c>
      <x:c r="BS22" s="228" t="str">
        <x:v>0</x:v>
      </x:c>
      <x:c r="BT22" s="228" t="str">
        <x:v>100</x:v>
      </x:c>
      <x:c r="BU22" s="228" t="str">
        <x:v>11.015534200007096</x:v>
      </x:c>
      <x:c r="BV22" s="228" t="str">
        <x:v>True</x:v>
      </x:c>
      <x:c r="BW22" s="228" t="str">
        <x:v>a00aff448b62a5255cb69ef7a665030d33692aa785533555eef6f3e80bb4774e</x:v>
      </x:c>
      <x:c r="BX22" s="228" t="str">
        <x:v>0</x:v>
      </x:c>
      <x:c r="BY22" s="228" t="str">
        <x:v>100</x:v>
      </x:c>
      <x:c r="BZ22" s="228" t="str">
        <x:v>0</x:v>
      </x:c>
      <x:c r="CA22" s="230" t="str">
        <x:v>0.14766430004965514</x:v>
      </x:c>
      <x:c r="CB22" s="228" t="str">
        <x:v>False</x:v>
      </x:c>
      <x:c r="CC22" s="228" t="str">
        <x:v>100</x:v>
      </x:c>
      <x:c r="CD22" s="230" t="str">
        <x:v>11.163198500056751</x:v>
      </x:c>
      <x:c r="CE22" s="228" t="str">
        <x:v>True</x:v>
      </x:c>
      <x:c r="CF22" s="228" t="str">
        <x:v>a00aff448b62a5255cb69ef7a665030d33692aa785533555eef6f3e80bb4774e</x:v>
      </x:c>
      <x:c r="CG22" s="228" t="str">
        <x:v>0</x:v>
      </x:c>
      <x:c r="CH22" s="228" t="str">
        <x:v>0</x:v>
      </x:c>
      <x:c r="CI22" s="228" t="str">
        <x:v>2</x:v>
      </x:c>
      <x:c r="CJ22" s="228" t="str">
        <x:v>True</x:v>
      </x:c>
      <x:c r="CK22" s="228" t="str">
        <x:v>True</x:v>
      </x:c>
      <x:c r="CL22" s="228" t="str">
        <x:v>True</x:v>
      </x:c>
      <x:c r="CM22" s="228" t="str">
        <x:v>collision</x:v>
      </x:c>
      <x:c r="CN22" s="228" t="str">
        <x:v>-4</x:v>
      </x:c>
      <x:c r="CO22" s="230" t="str">
        <x:v>-1.5270791999064386</x:v>
      </x:c>
      <x:c r="CP22" s="228" t="str">
        <x:v>0.9615384615384616</x:v>
      </x:c>
      <x:c r="CQ22" s="228" t="str">
        <x:v>0.8796654229315354</x:v>
      </x:c>
      <x:c r="CR22" s="228" t="str">
        <x:v>1.1367958475251225</x:v>
      </x:c>
      <x:c r="CS22" s="228" t="str">
        <x:v>collision</x:v>
      </x:c>
      <x:c r="CT22" s="228" t="str">
        <x:v>collision</x:v>
      </x:c>
      <x:c r="CU22" s="228" t="str">
        <x:v>collision_dominates</x:v>
      </x:c>
      <x:c r="CV22" s="228" t="str">
        <x:v>neither</x:v>
      </x:c>
      <x:c r="CW22" s="228" t="str">
        <x:v>both_valid</x:v>
      </x:c>
      <x:c r="CX22" s="228" t="str">
        <x:v>none</x:v>
      </x:c>
      <x:c r="CY22" s="228" t="str">
        <x:v>none</x:v>
      </x:c>
    </x:row>
    <x:row r="23">
      <x:c r="A23" s="228" t="str">
        <x:v>final-paired-v2</x:v>
      </x:c>
      <x:c r="B23" s="228" t="str">
        <x:v>20260819</x:v>
      </x:c>
      <x:c r="C23" s="228" t="str">
        <x:v>2</x:v>
      </x:c>
      <x:c r="D23" s="228" t="str">
        <x:v>6</x:v>
      </x:c>
      <x:c r="E23" s="228" t="str">
        <x:v>n1000_r0.3_repeat2</x:v>
      </x:c>
      <x:c r="F23" s="228" t="str">
        <x:v>1000</x:v>
      </x:c>
      <x:c r="G23" s="228" t="str">
        <x:v>0.3</x:v>
      </x:c>
      <x:c r="H23" s="228" t="str">
        <x:v>2</x:v>
      </x:c>
      <x:c r="I23" s="228" t="str">
        <x:v>2358147316</x:v>
      </x:c>
      <x:c r="J23" s="228" t="str">
        <x:v>54086006be308a6d2ae869d938ced869b1a1ea2b8d094da9d21d47f0d0cd7276</x:v>
      </x:c>
      <x:c r="K23" s="228" t="str">
        <x:v>107616</x:v>
      </x:c>
      <x:c r="L23" s="228" t="str">
        <x:v>1</x:v>
      </x:c>
      <x:c r="M23" s="228" t="str">
        <x:v>1000</x:v>
      </x:c>
      <x:c r="N23" s="228" t="str">
        <x:v>True</x:v>
      </x:c>
      <x:c r="O23" s="228" t="str">
        <x:v>0</x:v>
      </x:c>
      <x:c r="P23" s="228" t="str">
        <x:v>215.232</x:v>
      </x:c>
      <x:c r="Q23" s="228" t="str">
        <x:v>57.02333010268692</x:v>
      </x:c>
      <x:c r="R23" s="228" t="str">
        <x:v>65</x:v>
      </x:c>
      <x:c r="S23" s="228" t="str">
        <x:v>304</x:v>
      </x:c>
      <x:c r="T23" s="228" t="str">
        <x:v>0.21544744744744745</x:v>
      </x:c>
      <x:c r="U23" s="230" t="str">
        <x:v>0.3056946999859065</x:v>
      </x:c>
      <x:c r="V23" s="230" t="str">
        <x:v>0.4958946000551805</x:v>
      </x:c>
      <x:c r="W23" s="228" t="str">
        <x:v>True</x:v>
      </x:c>
      <x:c r="X23" s="228" t="str">
        <x:v>False</x:v>
      </x:c>
      <x:c r="Y23" s="228" t="str">
        <x:v>5</x:v>
      </x:c>
      <x:c r="Z23" s="228" t="str">
        <x:v>ich</x:v>
      </x:c>
      <x:c r="AA23" s="228" t="str">
        <x:v>2</x:v>
      </x:c>
      <x:c r="AB23" s="228" t="str">
        <x:v>zoomed,ich,grid,circle</x:v>
      </x:c>
      <x:c r="AC23" s="228" t="str">
        <x:v>2874840027</x:v>
      </x:c>
      <x:c r="AD23" s="228" t="str">
        <x:v>2874840027</x:v>
      </x:c>
      <x:c r="AE23" s="228" t="str">
        <x:v>entropy,collision</x:v>
      </x:c>
      <x:c r="AF23" s="228" t="str">
        <x:v>95</x:v>
      </x:c>
      <x:c r="AG23" s="228" t="str">
        <x:v>95</x:v>
      </x:c>
      <x:c r="AH23" s="230" t="str">
        <x:v>206.6489754000213</x:v>
      </x:c>
      <x:c r="AI23" s="228" t="str">
        <x:v>True</x:v>
      </x:c>
      <x:c r="AJ23" s="228" t="str">
        <x:v>a1d11bbdf9e432ae8f2823ea109f6a335819fcb25082b59311e9589abd267544</x:v>
      </x:c>
      <x:c r="AK23" s="228" t="str">
        <x:v>0</x:v>
      </x:c>
      <x:c r="AL23" s="228" t="str">
        <x:v>0</x:v>
      </x:c>
      <x:c r="AM23" s="228" t="str"/>
      <x:c r="AN23" s="230" t="str">
        <x:v>0.07948900002520531</x:v>
      </x:c>
      <x:c r="AO23" s="228" t="str">
        <x:v>95</x:v>
      </x:c>
      <x:c r="AP23" s="228" t="str">
        <x:v>0</x:v>
      </x:c>
      <x:c r="AQ23" s="228" t="str">
        <x:v>0</x:v>
      </x:c>
      <x:c r="AR23" s="228" t="str">
        <x:v>95</x:v>
      </x:c>
      <x:c r="AS23" s="228" t="str">
        <x:v>206.7284644000465</x:v>
      </x:c>
      <x:c r="AT23" s="228" t="str">
        <x:v>True</x:v>
      </x:c>
      <x:c r="AU23" s="228" t="str">
        <x:v>a1d11bbdf9e432ae8f2823ea109f6a335819fcb25082b59311e9589abd267544</x:v>
      </x:c>
      <x:c r="AV23" s="228" t="str">
        <x:v>0</x:v>
      </x:c>
      <x:c r="AW23" s="228" t="str">
        <x:v>95</x:v>
      </x:c>
      <x:c r="AX23" s="228" t="str">
        <x:v>7</x:v>
      </x:c>
      <x:c r="AY23" s="230" t="str">
        <x:v>0.16239039995707572</x:v>
      </x:c>
      <x:c r="AZ23" s="228" t="str">
        <x:v>False</x:v>
      </x:c>
      <x:c r="BA23" s="228" t="str">
        <x:v>88</x:v>
      </x:c>
      <x:c r="BB23" s="230" t="str">
        <x:v>206.89085480000358</x:v>
      </x:c>
      <x:c r="BC23" s="228" t="str">
        <x:v>True</x:v>
      </x:c>
      <x:c r="BD23" s="228" t="str">
        <x:v>90ac620010e3a6d3b838a3a5512c4f8047813c44cd3fa216dc0218415272f0e9</x:v>
      </x:c>
      <x:c r="BE23" s="228" t="str">
        <x:v>-7</x:v>
      </x:c>
      <x:c r="BF23" s="228" t="str">
        <x:v>0</x:v>
      </x:c>
      <x:c r="BG23" s="228" t="str">
        <x:v>1</x:v>
      </x:c>
      <x:c r="BH23" s="228" t="str">
        <x:v>96</x:v>
      </x:c>
      <x:c r="BI23" s="228" t="str">
        <x:v>96</x:v>
      </x:c>
      <x:c r="BJ23" s="230" t="str">
        <x:v>177.2438978999853</x:v>
      </x:c>
      <x:c r="BK23" s="228" t="str">
        <x:v>True</x:v>
      </x:c>
      <x:c r="BL23" s="228" t="str">
        <x:v>c5cc21f0111930b60f2dba5eddfa178c6b0767ffc2142a012e40188c38d3fe3b</x:v>
      </x:c>
      <x:c r="BM23" s="228" t="str">
        <x:v>0</x:v>
      </x:c>
      <x:c r="BN23" s="228" t="str">
        <x:v>0</x:v>
      </x:c>
      <x:c r="BO23" s="228" t="str"/>
      <x:c r="BP23" s="230" t="str">
        <x:v>0.07784550008364022</x:v>
      </x:c>
      <x:c r="BQ23" s="228" t="str">
        <x:v>96</x:v>
      </x:c>
      <x:c r="BR23" s="228" t="str">
        <x:v>0</x:v>
      </x:c>
      <x:c r="BS23" s="228" t="str">
        <x:v>0</x:v>
      </x:c>
      <x:c r="BT23" s="228" t="str">
        <x:v>96</x:v>
      </x:c>
      <x:c r="BU23" s="228" t="str">
        <x:v>177.32174340006895</x:v>
      </x:c>
      <x:c r="BV23" s="228" t="str">
        <x:v>True</x:v>
      </x:c>
      <x:c r="BW23" s="228" t="str">
        <x:v>c5cc21f0111930b60f2dba5eddfa178c6b0767ffc2142a012e40188c38d3fe3b</x:v>
      </x:c>
      <x:c r="BX23" s="228" t="str">
        <x:v>0</x:v>
      </x:c>
      <x:c r="BY23" s="228" t="str">
        <x:v>96</x:v>
      </x:c>
      <x:c r="BZ23" s="228" t="str">
        <x:v>6</x:v>
      </x:c>
      <x:c r="CA23" s="230" t="str">
        <x:v>0.22879219998139888</x:v>
      </x:c>
      <x:c r="CB23" s="228" t="str">
        <x:v>False</x:v>
      </x:c>
      <x:c r="CC23" s="228" t="str">
        <x:v>90</x:v>
      </x:c>
      <x:c r="CD23" s="230" t="str">
        <x:v>177.55053560005035</x:v>
      </x:c>
      <x:c r="CE23" s="228" t="str">
        <x:v>True</x:v>
      </x:c>
      <x:c r="CF23" s="228" t="str">
        <x:v>8819135713adad3a0939e61c5a3a8c77dcb63ee09a9e498e1898ef8c8f311673</x:v>
      </x:c>
      <x:c r="CG23" s="228" t="str">
        <x:v>-6</x:v>
      </x:c>
      <x:c r="CH23" s="228" t="str">
        <x:v>0</x:v>
      </x:c>
      <x:c r="CI23" s="228" t="str">
        <x:v>2</x:v>
      </x:c>
      <x:c r="CJ23" s="228" t="str">
        <x:v>True</x:v>
      </x:c>
      <x:c r="CK23" s="228" t="str">
        <x:v>True</x:v>
      </x:c>
      <x:c r="CL23" s="228" t="str">
        <x:v>True</x:v>
      </x:c>
      <x:c r="CM23" s="228" t="str">
        <x:v>entropy</x:v>
      </x:c>
      <x:c r="CN23" s="228" t="str">
        <x:v>2</x:v>
      </x:c>
      <x:c r="CO23" s="230" t="str">
        <x:v>-29.34031919995323</x:v>
      </x:c>
      <x:c r="CP23" s="228" t="str">
        <x:v>1.0227272727272727</x:v>
      </x:c>
      <x:c r="CQ23" s="228" t="str">
        <x:v>0.8581845522929672</x:v>
      </x:c>
      <x:c r="CR23" s="228" t="str">
        <x:v>1.1652505248761689</x:v>
      </x:c>
      <x:c r="CS23" s="228" t="str">
        <x:v>entropy</x:v>
      </x:c>
      <x:c r="CT23" s="228" t="str">
        <x:v>collision</x:v>
      </x:c>
      <x:c r="CU23" s="228" t="str">
        <x:v>tradeoff</x:v>
      </x:c>
      <x:c r="CV23" s="228" t="str">
        <x:v>neither</x:v>
      </x:c>
      <x:c r="CW23" s="228" t="str">
        <x:v>both_valid</x:v>
      </x:c>
      <x:c r="CX23" s="228" t="str">
        <x:v>none</x:v>
      </x:c>
      <x:c r="CY23" s="228" t="str">
        <x:v>none</x:v>
      </x:c>
    </x:row>
    <x:row r="24">
      <x:c r="A24" s="228" t="str">
        <x:v>final-paired-v2</x:v>
      </x:c>
      <x:c r="B24" s="228" t="str">
        <x:v>20260819</x:v>
      </x:c>
      <x:c r="C24" s="228" t="str">
        <x:v>2</x:v>
      </x:c>
      <x:c r="D24" s="228" t="str">
        <x:v>6</x:v>
      </x:c>
      <x:c r="E24" s="228" t="str">
        <x:v>n1000_r0.3_repeat2</x:v>
      </x:c>
      <x:c r="F24" s="228" t="str">
        <x:v>1000</x:v>
      </x:c>
      <x:c r="G24" s="228" t="str">
        <x:v>0.3</x:v>
      </x:c>
      <x:c r="H24" s="228" t="str">
        <x:v>2</x:v>
      </x:c>
      <x:c r="I24" s="228" t="str">
        <x:v>2358147316</x:v>
      </x:c>
      <x:c r="J24" s="228" t="str">
        <x:v>54086006be308a6d2ae869d938ced869b1a1ea2b8d094da9d21d47f0d0cd7276</x:v>
      </x:c>
      <x:c r="K24" s="228" t="str">
        <x:v>107616</x:v>
      </x:c>
      <x:c r="L24" s="228" t="str">
        <x:v>1</x:v>
      </x:c>
      <x:c r="M24" s="228" t="str">
        <x:v>1000</x:v>
      </x:c>
      <x:c r="N24" s="228" t="str">
        <x:v>True</x:v>
      </x:c>
      <x:c r="O24" s="228" t="str">
        <x:v>0</x:v>
      </x:c>
      <x:c r="P24" s="228" t="str">
        <x:v>215.232</x:v>
      </x:c>
      <x:c r="Q24" s="228" t="str">
        <x:v>57.02333010268692</x:v>
      </x:c>
      <x:c r="R24" s="228" t="str">
        <x:v>65</x:v>
      </x:c>
      <x:c r="S24" s="228" t="str">
        <x:v>304</x:v>
      </x:c>
      <x:c r="T24" s="228" t="str">
        <x:v>0.21544744744744745</x:v>
      </x:c>
      <x:c r="U24" s="230" t="str">
        <x:v>0.3056946999859065</x:v>
      </x:c>
      <x:c r="V24" s="230" t="str">
        <x:v>0.4958946000551805</x:v>
      </x:c>
      <x:c r="W24" s="228" t="str">
        <x:v>True</x:v>
      </x:c>
      <x:c r="X24" s="228" t="str">
        <x:v>False</x:v>
      </x:c>
      <x:c r="Y24" s="228" t="str">
        <x:v>5</x:v>
      </x:c>
      <x:c r="Z24" s="228" t="str">
        <x:v>grid</x:v>
      </x:c>
      <x:c r="AA24" s="228" t="str">
        <x:v>3</x:v>
      </x:c>
      <x:c r="AB24" s="228" t="str">
        <x:v>zoomed,ich,grid,circle</x:v>
      </x:c>
      <x:c r="AC24" s="228" t="str">
        <x:v>314114381</x:v>
      </x:c>
      <x:c r="AD24" s="228" t="str">
        <x:v>314114381</x:v>
      </x:c>
      <x:c r="AE24" s="228" t="str">
        <x:v>entropy,collision</x:v>
      </x:c>
      <x:c r="AF24" s="228" t="str">
        <x:v>842</x:v>
      </x:c>
      <x:c r="AG24" s="228" t="str">
        <x:v>104</x:v>
      </x:c>
      <x:c r="AH24" s="230" t="str">
        <x:v>14.222392199910246</x:v>
      </x:c>
      <x:c r="AI24" s="228" t="str">
        <x:v>True</x:v>
      </x:c>
      <x:c r="AJ24" s="228" t="str">
        <x:v>f96521e734cc7ba4c0064c47ce2b84d3777278390e3236139ed487b9214d66be</x:v>
      </x:c>
      <x:c r="AK24" s="228" t="str">
        <x:v>0</x:v>
      </x:c>
      <x:c r="AL24" s="228" t="str">
        <x:v>0</x:v>
      </x:c>
      <x:c r="AM24" s="228" t="str"/>
      <x:c r="AN24" s="230" t="str">
        <x:v>0.08532509999349713</x:v>
      </x:c>
      <x:c r="AO24" s="228" t="str">
        <x:v>104</x:v>
      </x:c>
      <x:c r="AP24" s="228" t="str">
        <x:v>0</x:v>
      </x:c>
      <x:c r="AQ24" s="228" t="str">
        <x:v>0</x:v>
      </x:c>
      <x:c r="AR24" s="228" t="str">
        <x:v>104</x:v>
      </x:c>
      <x:c r="AS24" s="228" t="str">
        <x:v>14.307717299903743</x:v>
      </x:c>
      <x:c r="AT24" s="228" t="str">
        <x:v>True</x:v>
      </x:c>
      <x:c r="AU24" s="228" t="str">
        <x:v>f96521e734cc7ba4c0064c47ce2b84d3777278390e3236139ed487b9214d66be</x:v>
      </x:c>
      <x:c r="AV24" s="228" t="str">
        <x:v>0</x:v>
      </x:c>
      <x:c r="AW24" s="228" t="str">
        <x:v>104</x:v>
      </x:c>
      <x:c r="AX24" s="228" t="str">
        <x:v>0</x:v>
      </x:c>
      <x:c r="AY24" s="230" t="str">
        <x:v>0.1129640000872314</x:v>
      </x:c>
      <x:c r="AZ24" s="228" t="str">
        <x:v>False</x:v>
      </x:c>
      <x:c r="BA24" s="228" t="str">
        <x:v>104</x:v>
      </x:c>
      <x:c r="BB24" s="230" t="str">
        <x:v>14.420681299990974</x:v>
      </x:c>
      <x:c r="BC24" s="228" t="str">
        <x:v>True</x:v>
      </x:c>
      <x:c r="BD24" s="228" t="str">
        <x:v>f96521e734cc7ba4c0064c47ce2b84d3777278390e3236139ed487b9214d66be</x:v>
      </x:c>
      <x:c r="BE24" s="228" t="str">
        <x:v>0</x:v>
      </x:c>
      <x:c r="BF24" s="228" t="str">
        <x:v>0</x:v>
      </x:c>
      <x:c r="BG24" s="228" t="str">
        <x:v>1</x:v>
      </x:c>
      <x:c r="BH24" s="228" t="str">
        <x:v>225</x:v>
      </x:c>
      <x:c r="BI24" s="228" t="str">
        <x:v>102</x:v>
      </x:c>
      <x:c r="BJ24" s="230" t="str">
        <x:v>8.804204099928029</x:v>
      </x:c>
      <x:c r="BK24" s="228" t="str">
        <x:v>True</x:v>
      </x:c>
      <x:c r="BL24" s="228" t="str">
        <x:v>61ced869f20d72b2f8cb001e72f906bcecfb39f6814650ba723dfa6a1da08c33</x:v>
      </x:c>
      <x:c r="BM24" s="228" t="str">
        <x:v>0</x:v>
      </x:c>
      <x:c r="BN24" s="228" t="str">
        <x:v>0</x:v>
      </x:c>
      <x:c r="BO24" s="228" t="str"/>
      <x:c r="BP24" s="230" t="str">
        <x:v>0.08173219999298453</x:v>
      </x:c>
      <x:c r="BQ24" s="228" t="str">
        <x:v>102</x:v>
      </x:c>
      <x:c r="BR24" s="228" t="str">
        <x:v>0</x:v>
      </x:c>
      <x:c r="BS24" s="228" t="str">
        <x:v>0</x:v>
      </x:c>
      <x:c r="BT24" s="228" t="str">
        <x:v>102</x:v>
      </x:c>
      <x:c r="BU24" s="228" t="str">
        <x:v>8.885936299921013</x:v>
      </x:c>
      <x:c r="BV24" s="228" t="str">
        <x:v>True</x:v>
      </x:c>
      <x:c r="BW24" s="228" t="str">
        <x:v>61ced869f20d72b2f8cb001e72f906bcecfb39f6814650ba723dfa6a1da08c33</x:v>
      </x:c>
      <x:c r="BX24" s="228" t="str">
        <x:v>0</x:v>
      </x:c>
      <x:c r="BY24" s="228" t="str">
        <x:v>102</x:v>
      </x:c>
      <x:c r="BZ24" s="228" t="str">
        <x:v>0</x:v>
      </x:c>
      <x:c r="CA24" s="230" t="str">
        <x:v>0.10898730007465929</x:v>
      </x:c>
      <x:c r="CB24" s="228" t="str">
        <x:v>False</x:v>
      </x:c>
      <x:c r="CC24" s="228" t="str">
        <x:v>102</x:v>
      </x:c>
      <x:c r="CD24" s="230" t="str">
        <x:v>8.994923599995673</x:v>
      </x:c>
      <x:c r="CE24" s="228" t="str">
        <x:v>True</x:v>
      </x:c>
      <x:c r="CF24" s="228" t="str">
        <x:v>61ced869f20d72b2f8cb001e72f906bcecfb39f6814650ba723dfa6a1da08c33</x:v>
      </x:c>
      <x:c r="CG24" s="228" t="str">
        <x:v>0</x:v>
      </x:c>
      <x:c r="CH24" s="228" t="str">
        <x:v>0</x:v>
      </x:c>
      <x:c r="CI24" s="228" t="str">
        <x:v>2</x:v>
      </x:c>
      <x:c r="CJ24" s="228" t="str">
        <x:v>True</x:v>
      </x:c>
      <x:c r="CK24" s="228" t="str">
        <x:v>True</x:v>
      </x:c>
      <x:c r="CL24" s="228" t="str">
        <x:v>True</x:v>
      </x:c>
      <x:c r="CM24" s="228" t="str">
        <x:v>collision</x:v>
      </x:c>
      <x:c r="CN24" s="228" t="str">
        <x:v>-2</x:v>
      </x:c>
      <x:c r="CO24" s="230" t="str">
        <x:v>-5.425757699995302</x:v>
      </x:c>
      <x:c r="CP24" s="228" t="str">
        <x:v>0.9807692307692307</x:v>
      </x:c>
      <x:c r="CQ24" s="228" t="str">
        <x:v>0.6237516392516976</x:v>
      </x:c>
      <x:c r="CR24" s="228" t="str">
        <x:v>1.6032021995159482</x:v>
      </x:c>
      <x:c r="CS24" s="228" t="str">
        <x:v>collision</x:v>
      </x:c>
      <x:c r="CT24" s="228" t="str">
        <x:v>collision</x:v>
      </x:c>
      <x:c r="CU24" s="228" t="str">
        <x:v>collision_dominates</x:v>
      </x:c>
      <x:c r="CV24" s="228" t="str">
        <x:v>neither</x:v>
      </x:c>
      <x:c r="CW24" s="228" t="str">
        <x:v>both_valid</x:v>
      </x:c>
      <x:c r="CX24" s="228" t="str">
        <x:v>none</x:v>
      </x:c>
      <x:c r="CY24" s="228" t="str">
        <x:v>none</x:v>
      </x:c>
    </x:row>
    <x:row r="25">
      <x:c r="A25" s="228" t="str">
        <x:v>final-paired-v2</x:v>
      </x:c>
      <x:c r="B25" s="228" t="str">
        <x:v>20260819</x:v>
      </x:c>
      <x:c r="C25" s="228" t="str">
        <x:v>2</x:v>
      </x:c>
      <x:c r="D25" s="228" t="str">
        <x:v>6</x:v>
      </x:c>
      <x:c r="E25" s="228" t="str">
        <x:v>n1000_r0.3_repeat2</x:v>
      </x:c>
      <x:c r="F25" s="228" t="str">
        <x:v>1000</x:v>
      </x:c>
      <x:c r="G25" s="228" t="str">
        <x:v>0.3</x:v>
      </x:c>
      <x:c r="H25" s="228" t="str">
        <x:v>2</x:v>
      </x:c>
      <x:c r="I25" s="228" t="str">
        <x:v>2358147316</x:v>
      </x:c>
      <x:c r="J25" s="228" t="str">
        <x:v>54086006be308a6d2ae869d938ced869b1a1ea2b8d094da9d21d47f0d0cd7276</x:v>
      </x:c>
      <x:c r="K25" s="228" t="str">
        <x:v>107616</x:v>
      </x:c>
      <x:c r="L25" s="228" t="str">
        <x:v>1</x:v>
      </x:c>
      <x:c r="M25" s="228" t="str">
        <x:v>1000</x:v>
      </x:c>
      <x:c r="N25" s="228" t="str">
        <x:v>True</x:v>
      </x:c>
      <x:c r="O25" s="228" t="str">
        <x:v>0</x:v>
      </x:c>
      <x:c r="P25" s="228" t="str">
        <x:v>215.232</x:v>
      </x:c>
      <x:c r="Q25" s="228" t="str">
        <x:v>57.02333010268692</x:v>
      </x:c>
      <x:c r="R25" s="228" t="str">
        <x:v>65</x:v>
      </x:c>
      <x:c r="S25" s="228" t="str">
        <x:v>304</x:v>
      </x:c>
      <x:c r="T25" s="228" t="str">
        <x:v>0.21544744744744745</x:v>
      </x:c>
      <x:c r="U25" s="230" t="str">
        <x:v>0.3056946999859065</x:v>
      </x:c>
      <x:c r="V25" s="230" t="str">
        <x:v>0.4958946000551805</x:v>
      </x:c>
      <x:c r="W25" s="228" t="str">
        <x:v>True</x:v>
      </x:c>
      <x:c r="X25" s="228" t="str">
        <x:v>False</x:v>
      </x:c>
      <x:c r="Y25" s="228" t="str">
        <x:v>5</x:v>
      </x:c>
      <x:c r="Z25" s="228" t="str">
        <x:v>circle</x:v>
      </x:c>
      <x:c r="AA25" s="228" t="str">
        <x:v>4</x:v>
      </x:c>
      <x:c r="AB25" s="228" t="str">
        <x:v>zoomed,ich,grid,circle</x:v>
      </x:c>
      <x:c r="AC25" s="228" t="str">
        <x:v>157659807</x:v>
      </x:c>
      <x:c r="AD25" s="228" t="str">
        <x:v>157659807</x:v>
      </x:c>
      <x:c r="AE25" s="228" t="str">
        <x:v>entropy,collision</x:v>
      </x:c>
      <x:c r="AF25" s="228" t="str">
        <x:v>863</x:v>
      </x:c>
      <x:c r="AG25" s="228" t="str">
        <x:v>106</x:v>
      </x:c>
      <x:c r="AH25" s="230" t="str">
        <x:v>6.865728400065564</x:v>
      </x:c>
      <x:c r="AI25" s="228" t="str">
        <x:v>True</x:v>
      </x:c>
      <x:c r="AJ25" s="228" t="str">
        <x:v>78b86887487e79a9829f959d1a1d397f5597b0f02ffc99585d59eeba1ba4a262</x:v>
      </x:c>
      <x:c r="AK25" s="228" t="str">
        <x:v>0</x:v>
      </x:c>
      <x:c r="AL25" s="228" t="str">
        <x:v>0</x:v>
      </x:c>
      <x:c r="AM25" s="228" t="str"/>
      <x:c r="AN25" s="230" t="str">
        <x:v>0.07883070001844317</x:v>
      </x:c>
      <x:c r="AO25" s="228" t="str">
        <x:v>106</x:v>
      </x:c>
      <x:c r="AP25" s="228" t="str">
        <x:v>0</x:v>
      </x:c>
      <x:c r="AQ25" s="228" t="str">
        <x:v>0</x:v>
      </x:c>
      <x:c r="AR25" s="228" t="str">
        <x:v>106</x:v>
      </x:c>
      <x:c r="AS25" s="228" t="str">
        <x:v>6.944559100084007</x:v>
      </x:c>
      <x:c r="AT25" s="228" t="str">
        <x:v>True</x:v>
      </x:c>
      <x:c r="AU25" s="228" t="str">
        <x:v>78b86887487e79a9829f959d1a1d397f5597b0f02ffc99585d59eeba1ba4a262</x:v>
      </x:c>
      <x:c r="AV25" s="228" t="str">
        <x:v>0</x:v>
      </x:c>
      <x:c r="AW25" s="228" t="str">
        <x:v>106</x:v>
      </x:c>
      <x:c r="AX25" s="228" t="str">
        <x:v>0</x:v>
      </x:c>
      <x:c r="AY25" s="230" t="str">
        <x:v>0.08941489993594587</x:v>
      </x:c>
      <x:c r="AZ25" s="228" t="str">
        <x:v>False</x:v>
      </x:c>
      <x:c r="BA25" s="228" t="str">
        <x:v>106</x:v>
      </x:c>
      <x:c r="BB25" s="230" t="str">
        <x:v>7.033974000019953</x:v>
      </x:c>
      <x:c r="BC25" s="228" t="str">
        <x:v>True</x:v>
      </x:c>
      <x:c r="BD25" s="228" t="str">
        <x:v>78b86887487e79a9829f959d1a1d397f5597b0f02ffc99585d59eeba1ba4a262</x:v>
      </x:c>
      <x:c r="BE25" s="228" t="str">
        <x:v>0</x:v>
      </x:c>
      <x:c r="BF25" s="228" t="str">
        <x:v>0</x:v>
      </x:c>
      <x:c r="BG25" s="228" t="str">
        <x:v>1</x:v>
      </x:c>
      <x:c r="BH25" s="228" t="str">
        <x:v>809</x:v>
      </x:c>
      <x:c r="BI25" s="228" t="str">
        <x:v>107</x:v>
      </x:c>
      <x:c r="BJ25" s="230" t="str">
        <x:v>6.352419700007886</x:v>
      </x:c>
      <x:c r="BK25" s="228" t="str">
        <x:v>True</x:v>
      </x:c>
      <x:c r="BL25" s="228" t="str">
        <x:v>1a061e17451a6b7a4ff7f5c1e967f06aea671fa806d6c07f1f1e49ee18e6e103</x:v>
      </x:c>
      <x:c r="BM25" s="228" t="str">
        <x:v>0</x:v>
      </x:c>
      <x:c r="BN25" s="228" t="str">
        <x:v>0</x:v>
      </x:c>
      <x:c r="BO25" s="228" t="str"/>
      <x:c r="BP25" s="230" t="str">
        <x:v>0.08911440009251237</x:v>
      </x:c>
      <x:c r="BQ25" s="228" t="str">
        <x:v>107</x:v>
      </x:c>
      <x:c r="BR25" s="228" t="str">
        <x:v>0</x:v>
      </x:c>
      <x:c r="BS25" s="228" t="str">
        <x:v>0</x:v>
      </x:c>
      <x:c r="BT25" s="228" t="str">
        <x:v>107</x:v>
      </x:c>
      <x:c r="BU25" s="228" t="str">
        <x:v>6.441534100100398</x:v>
      </x:c>
      <x:c r="BV25" s="228" t="str">
        <x:v>True</x:v>
      </x:c>
      <x:c r="BW25" s="228" t="str">
        <x:v>1a061e17451a6b7a4ff7f5c1e967f06aea671fa806d6c07f1f1e49ee18e6e103</x:v>
      </x:c>
      <x:c r="BX25" s="228" t="str">
        <x:v>0</x:v>
      </x:c>
      <x:c r="BY25" s="228" t="str">
        <x:v>107</x:v>
      </x:c>
      <x:c r="BZ25" s="228" t="str">
        <x:v>0</x:v>
      </x:c>
      <x:c r="CA25" s="230" t="str">
        <x:v>0.09716029989067465</x:v>
      </x:c>
      <x:c r="CB25" s="228" t="str">
        <x:v>False</x:v>
      </x:c>
      <x:c r="CC25" s="228" t="str">
        <x:v>107</x:v>
      </x:c>
      <x:c r="CD25" s="230" t="str">
        <x:v>6.538694399991073</x:v>
      </x:c>
      <x:c r="CE25" s="228" t="str">
        <x:v>True</x:v>
      </x:c>
      <x:c r="CF25" s="228" t="str">
        <x:v>1a061e17451a6b7a4ff7f5c1e967f06aea671fa806d6c07f1f1e49ee18e6e103</x:v>
      </x:c>
      <x:c r="CG25" s="228" t="str">
        <x:v>0</x:v>
      </x:c>
      <x:c r="CH25" s="228" t="str">
        <x:v>0</x:v>
      </x:c>
      <x:c r="CI25" s="228" t="str">
        <x:v>2</x:v>
      </x:c>
      <x:c r="CJ25" s="228" t="str">
        <x:v>True</x:v>
      </x:c>
      <x:c r="CK25" s="228" t="str">
        <x:v>True</x:v>
      </x:c>
      <x:c r="CL25" s="228" t="str">
        <x:v>True</x:v>
      </x:c>
      <x:c r="CM25" s="228" t="str">
        <x:v>entropy</x:v>
      </x:c>
      <x:c r="CN25" s="228" t="str">
        <x:v>1</x:v>
      </x:c>
      <x:c r="CO25" s="230" t="str">
        <x:v>-0.49527960002887994</x:v>
      </x:c>
      <x:c r="CP25" s="228" t="str">
        <x:v>1.009433962264151</x:v>
      </x:c>
      <x:c r="CQ25" s="228" t="str">
        <x:v>0.9295875133989016</x:v>
      </x:c>
      <x:c r="CR25" s="228" t="str">
        <x:v>1.0757459470853319</x:v>
      </x:c>
      <x:c r="CS25" s="228" t="str">
        <x:v>entropy</x:v>
      </x:c>
      <x:c r="CT25" s="228" t="str">
        <x:v>collision</x:v>
      </x:c>
      <x:c r="CU25" s="228" t="str">
        <x:v>tradeoff</x:v>
      </x:c>
      <x:c r="CV25" s="228" t="str">
        <x:v>neither</x:v>
      </x:c>
      <x:c r="CW25" s="228" t="str">
        <x:v>both_valid</x:v>
      </x:c>
      <x:c r="CX25" s="228" t="str">
        <x:v>none</x:v>
      </x:c>
      <x:c r="CY25" s="228" t="str">
        <x:v>none</x:v>
      </x:c>
    </x:row>
    <x:row r="26">
      <x:c r="A26" s="228" t="str">
        <x:v>final-paired-v2</x:v>
      </x:c>
      <x:c r="B26" s="228" t="str">
        <x:v>20260819</x:v>
      </x:c>
      <x:c r="C26" s="228" t="str">
        <x:v>2</x:v>
      </x:c>
      <x:c r="D26" s="228" t="str">
        <x:v>7</x:v>
      </x:c>
      <x:c r="E26" s="228" t="str">
        <x:v>n1000_r0.3_repeat3</x:v>
      </x:c>
      <x:c r="F26" s="228" t="str">
        <x:v>1000</x:v>
      </x:c>
      <x:c r="G26" s="228" t="str">
        <x:v>0.3</x:v>
      </x:c>
      <x:c r="H26" s="228" t="str">
        <x:v>3</x:v>
      </x:c>
      <x:c r="I26" s="228" t="str">
        <x:v>3486850958</x:v>
      </x:c>
      <x:c r="J26" s="228" t="str">
        <x:v>cea24a798667b1342ae31f4bb030aac7edd8c60a1ca6eb7178a545035cd725e0</x:v>
      </x:c>
      <x:c r="K26" s="228" t="str">
        <x:v>105101</x:v>
      </x:c>
      <x:c r="L26" s="228" t="str">
        <x:v>1</x:v>
      </x:c>
      <x:c r="M26" s="228" t="str">
        <x:v>1000</x:v>
      </x:c>
      <x:c r="N26" s="228" t="str">
        <x:v>True</x:v>
      </x:c>
      <x:c r="O26" s="228" t="str">
        <x:v>0</x:v>
      </x:c>
      <x:c r="P26" s="228" t="str">
        <x:v>210.202</x:v>
      </x:c>
      <x:c r="Q26" s="228" t="str">
        <x:v>54.54496490052954</x:v>
      </x:c>
      <x:c r="R26" s="228" t="str">
        <x:v>74</x:v>
      </x:c>
      <x:c r="S26" s="228" t="str">
        <x:v>298</x:v>
      </x:c>
      <x:c r="T26" s="228" t="str">
        <x:v>0.2104124124124124</x:v>
      </x:c>
      <x:c r="U26" s="230" t="str">
        <x:v>0.32249739998951554</x:v>
      </x:c>
      <x:c r="V26" s="230" t="str">
        <x:v>0.30046269996091723</x:v>
      </x:c>
      <x:c r="W26" s="228" t="str">
        <x:v>True</x:v>
      </x:c>
      <x:c r="X26" s="228" t="str">
        <x:v>False</x:v>
      </x:c>
      <x:c r="Y26" s="228" t="str">
        <x:v>5</x:v>
      </x:c>
      <x:c r="Z26" s="228" t="str">
        <x:v>ich</x:v>
      </x:c>
      <x:c r="AA26" s="228" t="str">
        <x:v>1</x:v>
      </x:c>
      <x:c r="AB26" s="228" t="str">
        <x:v>ich,grid,circle,zoomed</x:v>
      </x:c>
      <x:c r="AC26" s="228" t="str">
        <x:v>3892442273</x:v>
      </x:c>
      <x:c r="AD26" s="228" t="str">
        <x:v>3892442273</x:v>
      </x:c>
      <x:c r="AE26" s="228" t="str">
        <x:v>collision,entropy</x:v>
      </x:c>
      <x:c r="AF26" s="228" t="str">
        <x:v>98</x:v>
      </x:c>
      <x:c r="AG26" s="228" t="str">
        <x:v>98</x:v>
      </x:c>
      <x:c r="AH26" s="230" t="str">
        <x:v>179.260759399971</x:v>
      </x:c>
      <x:c r="AI26" s="228" t="str">
        <x:v>True</x:v>
      </x:c>
      <x:c r="AJ26" s="228" t="str">
        <x:v>be2875dc890d460eb97fe20654ab0d295e15d41405264c45e778b4ecd62f5e5f</x:v>
      </x:c>
      <x:c r="AK26" s="228" t="str">
        <x:v>0</x:v>
      </x:c>
      <x:c r="AL26" s="228" t="str">
        <x:v>0</x:v>
      </x:c>
      <x:c r="AM26" s="228" t="str"/>
      <x:c r="AN26" s="230" t="str">
        <x:v>0.14576169999781996</x:v>
      </x:c>
      <x:c r="AO26" s="228" t="str">
        <x:v>98</x:v>
      </x:c>
      <x:c r="AP26" s="228" t="str">
        <x:v>0</x:v>
      </x:c>
      <x:c r="AQ26" s="228" t="str">
        <x:v>0</x:v>
      </x:c>
      <x:c r="AR26" s="228" t="str">
        <x:v>98</x:v>
      </x:c>
      <x:c r="AS26" s="228" t="str">
        <x:v>179.4065210999688</x:v>
      </x:c>
      <x:c r="AT26" s="228" t="str">
        <x:v>True</x:v>
      </x:c>
      <x:c r="AU26" s="228" t="str">
        <x:v>be2875dc890d460eb97fe20654ab0d295e15d41405264c45e778b4ecd62f5e5f</x:v>
      </x:c>
      <x:c r="AV26" s="228" t="str">
        <x:v>0</x:v>
      </x:c>
      <x:c r="AW26" s="228" t="str">
        <x:v>98</x:v>
      </x:c>
      <x:c r="AX26" s="228" t="str">
        <x:v>4</x:v>
      </x:c>
      <x:c r="AY26" s="230" t="str">
        <x:v>0.2277658999664709</x:v>
      </x:c>
      <x:c r="AZ26" s="228" t="str">
        <x:v>False</x:v>
      </x:c>
      <x:c r="BA26" s="228" t="str">
        <x:v>94</x:v>
      </x:c>
      <x:c r="BB26" s="230" t="str">
        <x:v>179.63428699993528</x:v>
      </x:c>
      <x:c r="BC26" s="228" t="str">
        <x:v>True</x:v>
      </x:c>
      <x:c r="BD26" s="228" t="str">
        <x:v>248f5076027fc6ec31e63f882261a0b55a2079b44f1c544759bdd854466a330e</x:v>
      </x:c>
      <x:c r="BE26" s="228" t="str">
        <x:v>-4</x:v>
      </x:c>
      <x:c r="BF26" s="228" t="str">
        <x:v>0</x:v>
      </x:c>
      <x:c r="BG26" s="228" t="str">
        <x:v>2</x:v>
      </x:c>
      <x:c r="BH26" s="228" t="str">
        <x:v>96</x:v>
      </x:c>
      <x:c r="BI26" s="228" t="str">
        <x:v>96</x:v>
      </x:c>
      <x:c r="BJ26" s="230" t="str">
        <x:v>162.0250318000326</x:v>
      </x:c>
      <x:c r="BK26" s="228" t="str">
        <x:v>True</x:v>
      </x:c>
      <x:c r="BL26" s="228" t="str">
        <x:v>8e3734f0a8fa359b8e18afb3203995d45e90c774266a37780820758e5931e5ca</x:v>
      </x:c>
      <x:c r="BM26" s="228" t="str">
        <x:v>0</x:v>
      </x:c>
      <x:c r="BN26" s="228" t="str">
        <x:v>0</x:v>
      </x:c>
      <x:c r="BO26" s="228" t="str"/>
      <x:c r="BP26" s="230" t="str">
        <x:v>0.1238598000491038</x:v>
      </x:c>
      <x:c r="BQ26" s="228" t="str">
        <x:v>96</x:v>
      </x:c>
      <x:c r="BR26" s="228" t="str">
        <x:v>0</x:v>
      </x:c>
      <x:c r="BS26" s="228" t="str">
        <x:v>0</x:v>
      </x:c>
      <x:c r="BT26" s="228" t="str">
        <x:v>96</x:v>
      </x:c>
      <x:c r="BU26" s="228" t="str">
        <x:v>162.1488916000817</x:v>
      </x:c>
      <x:c r="BV26" s="228" t="str">
        <x:v>True</x:v>
      </x:c>
      <x:c r="BW26" s="228" t="str">
        <x:v>8e3734f0a8fa359b8e18afb3203995d45e90c774266a37780820758e5931e5ca</x:v>
      </x:c>
      <x:c r="BX26" s="228" t="str">
        <x:v>0</x:v>
      </x:c>
      <x:c r="BY26" s="228" t="str">
        <x:v>96</x:v>
      </x:c>
      <x:c r="BZ26" s="228" t="str">
        <x:v>4</x:v>
      </x:c>
      <x:c r="CA26" s="230" t="str">
        <x:v>0.16412049997597933</x:v>
      </x:c>
      <x:c r="CB26" s="228" t="str">
        <x:v>False</x:v>
      </x:c>
      <x:c r="CC26" s="228" t="str">
        <x:v>92</x:v>
      </x:c>
      <x:c r="CD26" s="230" t="str">
        <x:v>162.31301210005768</x:v>
      </x:c>
      <x:c r="CE26" s="228" t="str">
        <x:v>True</x:v>
      </x:c>
      <x:c r="CF26" s="228" t="str">
        <x:v>76231a3e7c817c66a5bf86d3bea5c127e86d88eef01e7cf9ac2aac19ae703599</x:v>
      </x:c>
      <x:c r="CG26" s="228" t="str">
        <x:v>-4</x:v>
      </x:c>
      <x:c r="CH26" s="228" t="str">
        <x:v>0</x:v>
      </x:c>
      <x:c r="CI26" s="228" t="str">
        <x:v>1</x:v>
      </x:c>
      <x:c r="CJ26" s="228" t="str">
        <x:v>True</x:v>
      </x:c>
      <x:c r="CK26" s="228" t="str">
        <x:v>True</x:v>
      </x:c>
      <x:c r="CL26" s="228" t="str">
        <x:v>True</x:v>
      </x:c>
      <x:c r="CM26" s="228" t="str">
        <x:v>collision</x:v>
      </x:c>
      <x:c r="CN26" s="228" t="str">
        <x:v>-2</x:v>
      </x:c>
      <x:c r="CO26" s="230" t="str">
        <x:v>-17.321274899877608</x:v>
      </x:c>
      <x:c r="CP26" s="228" t="str">
        <x:v>0.9787234042553191</x:v>
      </x:c>
      <x:c r="CQ26" s="228" t="str">
        <x:v>0.9035747841397125</x:v>
      </x:c>
      <x:c r="CR26" s="228" t="str">
        <x:v>1.106715257611016</x:v>
      </x:c>
      <x:c r="CS26" s="228" t="str">
        <x:v>collision</x:v>
      </x:c>
      <x:c r="CT26" s="228" t="str">
        <x:v>collision</x:v>
      </x:c>
      <x:c r="CU26" s="228" t="str">
        <x:v>collision_dominates</x:v>
      </x:c>
      <x:c r="CV26" s="228" t="str">
        <x:v>neither</x:v>
      </x:c>
      <x:c r="CW26" s="228" t="str">
        <x:v>both_valid</x:v>
      </x:c>
      <x:c r="CX26" s="228" t="str">
        <x:v>none</x:v>
      </x:c>
      <x:c r="CY26" s="228" t="str">
        <x:v>none</x:v>
      </x:c>
    </x:row>
    <x:row r="27">
      <x:c r="A27" s="228" t="str">
        <x:v>final-paired-v2</x:v>
      </x:c>
      <x:c r="B27" s="228" t="str">
        <x:v>20260819</x:v>
      </x:c>
      <x:c r="C27" s="228" t="str">
        <x:v>2</x:v>
      </x:c>
      <x:c r="D27" s="228" t="str">
        <x:v>7</x:v>
      </x:c>
      <x:c r="E27" s="228" t="str">
        <x:v>n1000_r0.3_repeat3</x:v>
      </x:c>
      <x:c r="F27" s="228" t="str">
        <x:v>1000</x:v>
      </x:c>
      <x:c r="G27" s="228" t="str">
        <x:v>0.3</x:v>
      </x:c>
      <x:c r="H27" s="228" t="str">
        <x:v>3</x:v>
      </x:c>
      <x:c r="I27" s="228" t="str">
        <x:v>3486850958</x:v>
      </x:c>
      <x:c r="J27" s="228" t="str">
        <x:v>cea24a798667b1342ae31f4bb030aac7edd8c60a1ca6eb7178a545035cd725e0</x:v>
      </x:c>
      <x:c r="K27" s="228" t="str">
        <x:v>105101</x:v>
      </x:c>
      <x:c r="L27" s="228" t="str">
        <x:v>1</x:v>
      </x:c>
      <x:c r="M27" s="228" t="str">
        <x:v>1000</x:v>
      </x:c>
      <x:c r="N27" s="228" t="str">
        <x:v>True</x:v>
      </x:c>
      <x:c r="O27" s="228" t="str">
        <x:v>0</x:v>
      </x:c>
      <x:c r="P27" s="228" t="str">
        <x:v>210.202</x:v>
      </x:c>
      <x:c r="Q27" s="228" t="str">
        <x:v>54.54496490052954</x:v>
      </x:c>
      <x:c r="R27" s="228" t="str">
        <x:v>74</x:v>
      </x:c>
      <x:c r="S27" s="228" t="str">
        <x:v>298</x:v>
      </x:c>
      <x:c r="T27" s="228" t="str">
        <x:v>0.2104124124124124</x:v>
      </x:c>
      <x:c r="U27" s="230" t="str">
        <x:v>0.32249739998951554</x:v>
      </x:c>
      <x:c r="V27" s="230" t="str">
        <x:v>0.30046269996091723</x:v>
      </x:c>
      <x:c r="W27" s="228" t="str">
        <x:v>True</x:v>
      </x:c>
      <x:c r="X27" s="228" t="str">
        <x:v>False</x:v>
      </x:c>
      <x:c r="Y27" s="228" t="str">
        <x:v>5</x:v>
      </x:c>
      <x:c r="Z27" s="228" t="str">
        <x:v>grid</x:v>
      </x:c>
      <x:c r="AA27" s="228" t="str">
        <x:v>2</x:v>
      </x:c>
      <x:c r="AB27" s="228" t="str">
        <x:v>ich,grid,circle,zoomed</x:v>
      </x:c>
      <x:c r="AC27" s="228" t="str">
        <x:v>1373791799</x:v>
      </x:c>
      <x:c r="AD27" s="228" t="str">
        <x:v>1373791799</x:v>
      </x:c>
      <x:c r="AE27" s="228" t="str">
        <x:v>collision,entropy</x:v>
      </x:c>
      <x:c r="AF27" s="228" t="str">
        <x:v>818</x:v>
      </x:c>
      <x:c r="AG27" s="228" t="str">
        <x:v>108</x:v>
      </x:c>
      <x:c r="AH27" s="230" t="str">
        <x:v>14.197986499988474</x:v>
      </x:c>
      <x:c r="AI27" s="228" t="str">
        <x:v>True</x:v>
      </x:c>
      <x:c r="AJ27" s="228" t="str">
        <x:v>f6783ec82208dff0a17b72230f5555a14a33751f07a419a42ce3483f2673a802</x:v>
      </x:c>
      <x:c r="AK27" s="228" t="str">
        <x:v>0</x:v>
      </x:c>
      <x:c r="AL27" s="228" t="str">
        <x:v>0</x:v>
      </x:c>
      <x:c r="AM27" s="228" t="str"/>
      <x:c r="AN27" s="230" t="str">
        <x:v>0.07784709997940809</x:v>
      </x:c>
      <x:c r="AO27" s="228" t="str">
        <x:v>108</x:v>
      </x:c>
      <x:c r="AP27" s="228" t="str">
        <x:v>0</x:v>
      </x:c>
      <x:c r="AQ27" s="228" t="str">
        <x:v>0</x:v>
      </x:c>
      <x:c r="AR27" s="228" t="str">
        <x:v>108</x:v>
      </x:c>
      <x:c r="AS27" s="228" t="str">
        <x:v>14.275833599967882</x:v>
      </x:c>
      <x:c r="AT27" s="228" t="str">
        <x:v>True</x:v>
      </x:c>
      <x:c r="AU27" s="228" t="str">
        <x:v>f6783ec82208dff0a17b72230f5555a14a33751f07a419a42ce3483f2673a802</x:v>
      </x:c>
      <x:c r="AV27" s="228" t="str">
        <x:v>0</x:v>
      </x:c>
      <x:c r="AW27" s="228" t="str">
        <x:v>108</x:v>
      </x:c>
      <x:c r="AX27" s="228" t="str">
        <x:v>0</x:v>
      </x:c>
      <x:c r="AY27" s="230" t="str">
        <x:v>0.09845010004937649</x:v>
      </x:c>
      <x:c r="AZ27" s="228" t="str">
        <x:v>False</x:v>
      </x:c>
      <x:c r="BA27" s="228" t="str">
        <x:v>108</x:v>
      </x:c>
      <x:c r="BB27" s="230" t="str">
        <x:v>14.374283700017259</x:v>
      </x:c>
      <x:c r="BC27" s="228" t="str">
        <x:v>True</x:v>
      </x:c>
      <x:c r="BD27" s="228" t="str">
        <x:v>f6783ec82208dff0a17b72230f5555a14a33751f07a419a42ce3483f2673a802</x:v>
      </x:c>
      <x:c r="BE27" s="228" t="str">
        <x:v>0</x:v>
      </x:c>
      <x:c r="BF27" s="228" t="str">
        <x:v>0</x:v>
      </x:c>
      <x:c r="BG27" s="228" t="str">
        <x:v>2</x:v>
      </x:c>
      <x:c r="BH27" s="228" t="str">
        <x:v>220</x:v>
      </x:c>
      <x:c r="BI27" s="228" t="str">
        <x:v>104</x:v>
      </x:c>
      <x:c r="BJ27" s="230" t="str">
        <x:v>9.705914600053802</x:v>
      </x:c>
      <x:c r="BK27" s="228" t="str">
        <x:v>True</x:v>
      </x:c>
      <x:c r="BL27" s="228" t="str">
        <x:v>ea6092e93c1dd715a76510d3315cedd3b5315accb4648025fbbdf97cf798e2a2</x:v>
      </x:c>
      <x:c r="BM27" s="228" t="str">
        <x:v>0</x:v>
      </x:c>
      <x:c r="BN27" s="228" t="str">
        <x:v>0</x:v>
      </x:c>
      <x:c r="BO27" s="228" t="str"/>
      <x:c r="BP27" s="230" t="str">
        <x:v>0.12268149992451072</x:v>
      </x:c>
      <x:c r="BQ27" s="228" t="str">
        <x:v>104</x:v>
      </x:c>
      <x:c r="BR27" s="228" t="str">
        <x:v>0</x:v>
      </x:c>
      <x:c r="BS27" s="228" t="str">
        <x:v>0</x:v>
      </x:c>
      <x:c r="BT27" s="228" t="str">
        <x:v>104</x:v>
      </x:c>
      <x:c r="BU27" s="228" t="str">
        <x:v>9.828596099978313</x:v>
      </x:c>
      <x:c r="BV27" s="228" t="str">
        <x:v>True</x:v>
      </x:c>
      <x:c r="BW27" s="228" t="str">
        <x:v>ea6092e93c1dd715a76510d3315cedd3b5315accb4648025fbbdf97cf798e2a2</x:v>
      </x:c>
      <x:c r="BX27" s="228" t="str">
        <x:v>0</x:v>
      </x:c>
      <x:c r="BY27" s="228" t="str">
        <x:v>104</x:v>
      </x:c>
      <x:c r="BZ27" s="228" t="str">
        <x:v>0</x:v>
      </x:c>
      <x:c r="CA27" s="230" t="str">
        <x:v>0.12851349997799844</x:v>
      </x:c>
      <x:c r="CB27" s="228" t="str">
        <x:v>False</x:v>
      </x:c>
      <x:c r="CC27" s="228" t="str">
        <x:v>104</x:v>
      </x:c>
      <x:c r="CD27" s="230" t="str">
        <x:v>9.957109599956311</x:v>
      </x:c>
      <x:c r="CE27" s="228" t="str">
        <x:v>True</x:v>
      </x:c>
      <x:c r="CF27" s="228" t="str">
        <x:v>ea6092e93c1dd715a76510d3315cedd3b5315accb4648025fbbdf97cf798e2a2</x:v>
      </x:c>
      <x:c r="CG27" s="228" t="str">
        <x:v>0</x:v>
      </x:c>
      <x:c r="CH27" s="228" t="str">
        <x:v>0</x:v>
      </x:c>
      <x:c r="CI27" s="228" t="str">
        <x:v>1</x:v>
      </x:c>
      <x:c r="CJ27" s="228" t="str">
        <x:v>True</x:v>
      </x:c>
      <x:c r="CK27" s="228" t="str">
        <x:v>True</x:v>
      </x:c>
      <x:c r="CL27" s="228" t="str">
        <x:v>True</x:v>
      </x:c>
      <x:c r="CM27" s="228" t="str">
        <x:v>collision</x:v>
      </x:c>
      <x:c r="CN27" s="228" t="str">
        <x:v>-4</x:v>
      </x:c>
      <x:c r="CO27" s="230" t="str">
        <x:v>-4.417174100060947</x:v>
      </x:c>
      <x:c r="CP27" s="228" t="str">
        <x:v>0.9629629629629629</x:v>
      </x:c>
      <x:c r="CQ27" s="228" t="str">
        <x:v>0.6927030109990354</x:v>
      </x:c>
      <x:c r="CR27" s="228" t="str">
        <x:v>1.4436201144236003</x:v>
      </x:c>
      <x:c r="CS27" s="228" t="str">
        <x:v>collision</x:v>
      </x:c>
      <x:c r="CT27" s="228" t="str">
        <x:v>collision</x:v>
      </x:c>
      <x:c r="CU27" s="228" t="str">
        <x:v>collision_dominates</x:v>
      </x:c>
      <x:c r="CV27" s="228" t="str">
        <x:v>neither</x:v>
      </x:c>
      <x:c r="CW27" s="228" t="str">
        <x:v>both_valid</x:v>
      </x:c>
      <x:c r="CX27" s="228" t="str">
        <x:v>none</x:v>
      </x:c>
      <x:c r="CY27" s="228" t="str">
        <x:v>none</x:v>
      </x:c>
    </x:row>
    <x:row r="28">
      <x:c r="A28" s="228" t="str">
        <x:v>final-paired-v2</x:v>
      </x:c>
      <x:c r="B28" s="228" t="str">
        <x:v>20260819</x:v>
      </x:c>
      <x:c r="C28" s="228" t="str">
        <x:v>2</x:v>
      </x:c>
      <x:c r="D28" s="228" t="str">
        <x:v>7</x:v>
      </x:c>
      <x:c r="E28" s="228" t="str">
        <x:v>n1000_r0.3_repeat3</x:v>
      </x:c>
      <x:c r="F28" s="228" t="str">
        <x:v>1000</x:v>
      </x:c>
      <x:c r="G28" s="228" t="str">
        <x:v>0.3</x:v>
      </x:c>
      <x:c r="H28" s="228" t="str">
        <x:v>3</x:v>
      </x:c>
      <x:c r="I28" s="228" t="str">
        <x:v>3486850958</x:v>
      </x:c>
      <x:c r="J28" s="228" t="str">
        <x:v>cea24a798667b1342ae31f4bb030aac7edd8c60a1ca6eb7178a545035cd725e0</x:v>
      </x:c>
      <x:c r="K28" s="228" t="str">
        <x:v>105101</x:v>
      </x:c>
      <x:c r="L28" s="228" t="str">
        <x:v>1</x:v>
      </x:c>
      <x:c r="M28" s="228" t="str">
        <x:v>1000</x:v>
      </x:c>
      <x:c r="N28" s="228" t="str">
        <x:v>True</x:v>
      </x:c>
      <x:c r="O28" s="228" t="str">
        <x:v>0</x:v>
      </x:c>
      <x:c r="P28" s="228" t="str">
        <x:v>210.202</x:v>
      </x:c>
      <x:c r="Q28" s="228" t="str">
        <x:v>54.54496490052954</x:v>
      </x:c>
      <x:c r="R28" s="228" t="str">
        <x:v>74</x:v>
      </x:c>
      <x:c r="S28" s="228" t="str">
        <x:v>298</x:v>
      </x:c>
      <x:c r="T28" s="228" t="str">
        <x:v>0.2104124124124124</x:v>
      </x:c>
      <x:c r="U28" s="230" t="str">
        <x:v>0.32249739998951554</x:v>
      </x:c>
      <x:c r="V28" s="230" t="str">
        <x:v>0.30046269996091723</x:v>
      </x:c>
      <x:c r="W28" s="228" t="str">
        <x:v>True</x:v>
      </x:c>
      <x:c r="X28" s="228" t="str">
        <x:v>False</x:v>
      </x:c>
      <x:c r="Y28" s="228" t="str">
        <x:v>5</x:v>
      </x:c>
      <x:c r="Z28" s="228" t="str">
        <x:v>circle</x:v>
      </x:c>
      <x:c r="AA28" s="228" t="str">
        <x:v>3</x:v>
      </x:c>
      <x:c r="AB28" s="228" t="str">
        <x:v>ich,grid,circle,zoomed</x:v>
      </x:c>
      <x:c r="AC28" s="228" t="str">
        <x:v>1245631973</x:v>
      </x:c>
      <x:c r="AD28" s="228" t="str">
        <x:v>1245631973</x:v>
      </x:c>
      <x:c r="AE28" s="228" t="str">
        <x:v>collision,entropy</x:v>
      </x:c>
      <x:c r="AF28" s="228" t="str">
        <x:v>899</x:v>
      </x:c>
      <x:c r="AG28" s="228" t="str">
        <x:v>104</x:v>
      </x:c>
      <x:c r="AH28" s="230" t="str">
        <x:v>6.146555399987847</x:v>
      </x:c>
      <x:c r="AI28" s="228" t="str">
        <x:v>True</x:v>
      </x:c>
      <x:c r="AJ28" s="228" t="str">
        <x:v>8b2b615ca3df33214a18c3cabd6e2b536dd8210f7e84020ae1c03581f3b68988</x:v>
      </x:c>
      <x:c r="AK28" s="228" t="str">
        <x:v>0</x:v>
      </x:c>
      <x:c r="AL28" s="228" t="str">
        <x:v>0</x:v>
      </x:c>
      <x:c r="AM28" s="228" t="str"/>
      <x:c r="AN28" s="230" t="str">
        <x:v>0.07987799996044487</x:v>
      </x:c>
      <x:c r="AO28" s="228" t="str">
        <x:v>104</x:v>
      </x:c>
      <x:c r="AP28" s="228" t="str">
        <x:v>0</x:v>
      </x:c>
      <x:c r="AQ28" s="228" t="str">
        <x:v>0</x:v>
      </x:c>
      <x:c r="AR28" s="228" t="str">
        <x:v>104</x:v>
      </x:c>
      <x:c r="AS28" s="228" t="str">
        <x:v>6.2264333999482915</x:v>
      </x:c>
      <x:c r="AT28" s="228" t="str">
        <x:v>True</x:v>
      </x:c>
      <x:c r="AU28" s="228" t="str">
        <x:v>8b2b615ca3df33214a18c3cabd6e2b536dd8210f7e84020ae1c03581f3b68988</x:v>
      </x:c>
      <x:c r="AV28" s="228" t="str">
        <x:v>0</x:v>
      </x:c>
      <x:c r="AW28" s="228" t="str">
        <x:v>104</x:v>
      </x:c>
      <x:c r="AX28" s="228" t="str">
        <x:v>0</x:v>
      </x:c>
      <x:c r="AY28" s="230" t="str">
        <x:v>0.09740329999476671</x:v>
      </x:c>
      <x:c r="AZ28" s="228" t="str">
        <x:v>False</x:v>
      </x:c>
      <x:c r="BA28" s="228" t="str">
        <x:v>104</x:v>
      </x:c>
      <x:c r="BB28" s="230" t="str">
        <x:v>6.323836699943058</x:v>
      </x:c>
      <x:c r="BC28" s="228" t="str">
        <x:v>True</x:v>
      </x:c>
      <x:c r="BD28" s="228" t="str">
        <x:v>8b2b615ca3df33214a18c3cabd6e2b536dd8210f7e84020ae1c03581f3b68988</x:v>
      </x:c>
      <x:c r="BE28" s="228" t="str">
        <x:v>0</x:v>
      </x:c>
      <x:c r="BF28" s="228" t="str">
        <x:v>0</x:v>
      </x:c>
      <x:c r="BG28" s="228" t="str">
        <x:v>2</x:v>
      </x:c>
      <x:c r="BH28" s="228" t="str">
        <x:v>861</x:v>
      </x:c>
      <x:c r="BI28" s="228" t="str">
        <x:v>106</x:v>
      </x:c>
      <x:c r="BJ28" s="230" t="str">
        <x:v>6.391729300026782</x:v>
      </x:c>
      <x:c r="BK28" s="228" t="str">
        <x:v>True</x:v>
      </x:c>
      <x:c r="BL28" s="228" t="str">
        <x:v>dc16dde76bbbd74caac3f147f81bb199eeecc98a658a2aff42bda06e72b43395</x:v>
      </x:c>
      <x:c r="BM28" s="228" t="str">
        <x:v>0</x:v>
      </x:c>
      <x:c r="BN28" s="228" t="str">
        <x:v>0</x:v>
      </x:c>
      <x:c r="BO28" s="228" t="str"/>
      <x:c r="BP28" s="230" t="str">
        <x:v>0.07645419996697456</x:v>
      </x:c>
      <x:c r="BQ28" s="228" t="str">
        <x:v>106</x:v>
      </x:c>
      <x:c r="BR28" s="228" t="str">
        <x:v>0</x:v>
      </x:c>
      <x:c r="BS28" s="228" t="str">
        <x:v>0</x:v>
      </x:c>
      <x:c r="BT28" s="228" t="str">
        <x:v>106</x:v>
      </x:c>
      <x:c r="BU28" s="228" t="str">
        <x:v>6.468183499993756</x:v>
      </x:c>
      <x:c r="BV28" s="228" t="str">
        <x:v>True</x:v>
      </x:c>
      <x:c r="BW28" s="228" t="str">
        <x:v>dc16dde76bbbd74caac3f147f81bb199eeecc98a658a2aff42bda06e72b43395</x:v>
      </x:c>
      <x:c r="BX28" s="228" t="str">
        <x:v>0</x:v>
      </x:c>
      <x:c r="BY28" s="228" t="str">
        <x:v>106</x:v>
      </x:c>
      <x:c r="BZ28" s="228" t="str">
        <x:v>0</x:v>
      </x:c>
      <x:c r="CA28" s="230" t="str">
        <x:v>0.10257330001331866</x:v>
      </x:c>
      <x:c r="CB28" s="228" t="str">
        <x:v>False</x:v>
      </x:c>
      <x:c r="CC28" s="228" t="str">
        <x:v>106</x:v>
      </x:c>
      <x:c r="CD28" s="230" t="str">
        <x:v>6.570756800007075</x:v>
      </x:c>
      <x:c r="CE28" s="228" t="str">
        <x:v>True</x:v>
      </x:c>
      <x:c r="CF28" s="228" t="str">
        <x:v>dc16dde76bbbd74caac3f147f81bb199eeecc98a658a2aff42bda06e72b43395</x:v>
      </x:c>
      <x:c r="CG28" s="228" t="str">
        <x:v>0</x:v>
      </x:c>
      <x:c r="CH28" s="228" t="str">
        <x:v>0</x:v>
      </x:c>
      <x:c r="CI28" s="228" t="str">
        <x:v>1</x:v>
      </x:c>
      <x:c r="CJ28" s="228" t="str">
        <x:v>True</x:v>
      </x:c>
      <x:c r="CK28" s="228" t="str">
        <x:v>True</x:v>
      </x:c>
      <x:c r="CL28" s="228" t="str">
        <x:v>True</x:v>
      </x:c>
      <x:c r="CM28" s="228" t="str">
        <x:v>entropy</x:v>
      </x:c>
      <x:c r="CN28" s="228" t="str">
        <x:v>2</x:v>
      </x:c>
      <x:c r="CO28" s="230" t="str">
        <x:v>0.24692010006401688</x:v>
      </x:c>
      <x:c r="CP28" s="228" t="str">
        <x:v>1.0192307692307692</x:v>
      </x:c>
      <x:c r="CQ28" s="228" t="str">
        <x:v>1.039045932363535</x:v>
      </x:c>
      <x:c r="CR28" s="228" t="str">
        <x:v>0.9624213606469576</x:v>
      </x:c>
      <x:c r="CS28" s="228" t="str">
        <x:v>entropy</x:v>
      </x:c>
      <x:c r="CT28" s="228" t="str">
        <x:v>entropy</x:v>
      </x:c>
      <x:c r="CU28" s="228" t="str">
        <x:v>entropy_dominates</x:v>
      </x:c>
      <x:c r="CV28" s="228" t="str">
        <x:v>neither</x:v>
      </x:c>
      <x:c r="CW28" s="228" t="str">
        <x:v>both_valid</x:v>
      </x:c>
      <x:c r="CX28" s="228" t="str">
        <x:v>none</x:v>
      </x:c>
      <x:c r="CY28" s="228" t="str">
        <x:v>none</x:v>
      </x:c>
    </x:row>
    <x:row r="29">
      <x:c r="A29" s="228" t="str">
        <x:v>final-paired-v2</x:v>
      </x:c>
      <x:c r="B29" s="228" t="str">
        <x:v>20260819</x:v>
      </x:c>
      <x:c r="C29" s="228" t="str">
        <x:v>2</x:v>
      </x:c>
      <x:c r="D29" s="228" t="str">
        <x:v>7</x:v>
      </x:c>
      <x:c r="E29" s="228" t="str">
        <x:v>n1000_r0.3_repeat3</x:v>
      </x:c>
      <x:c r="F29" s="228" t="str">
        <x:v>1000</x:v>
      </x:c>
      <x:c r="G29" s="228" t="str">
        <x:v>0.3</x:v>
      </x:c>
      <x:c r="H29" s="228" t="str">
        <x:v>3</x:v>
      </x:c>
      <x:c r="I29" s="228" t="str">
        <x:v>3486850958</x:v>
      </x:c>
      <x:c r="J29" s="228" t="str">
        <x:v>cea24a798667b1342ae31f4bb030aac7edd8c60a1ca6eb7178a545035cd725e0</x:v>
      </x:c>
      <x:c r="K29" s="228" t="str">
        <x:v>105101</x:v>
      </x:c>
      <x:c r="L29" s="228" t="str">
        <x:v>1</x:v>
      </x:c>
      <x:c r="M29" s="228" t="str">
        <x:v>1000</x:v>
      </x:c>
      <x:c r="N29" s="228" t="str">
        <x:v>True</x:v>
      </x:c>
      <x:c r="O29" s="228" t="str">
        <x:v>0</x:v>
      </x:c>
      <x:c r="P29" s="228" t="str">
        <x:v>210.202</x:v>
      </x:c>
      <x:c r="Q29" s="228" t="str">
        <x:v>54.54496490052954</x:v>
      </x:c>
      <x:c r="R29" s="228" t="str">
        <x:v>74</x:v>
      </x:c>
      <x:c r="S29" s="228" t="str">
        <x:v>298</x:v>
      </x:c>
      <x:c r="T29" s="228" t="str">
        <x:v>0.2104124124124124</x:v>
      </x:c>
      <x:c r="U29" s="230" t="str">
        <x:v>0.32249739998951554</x:v>
      </x:c>
      <x:c r="V29" s="230" t="str">
        <x:v>0.30046269996091723</x:v>
      </x:c>
      <x:c r="W29" s="228" t="str">
        <x:v>True</x:v>
      </x:c>
      <x:c r="X29" s="228" t="str">
        <x:v>False</x:v>
      </x:c>
      <x:c r="Y29" s="228" t="str">
        <x:v>5</x:v>
      </x:c>
      <x:c r="Z29" s="228" t="str">
        <x:v>zoomed</x:v>
      </x:c>
      <x:c r="AA29" s="228" t="str">
        <x:v>4</x:v>
      </x:c>
      <x:c r="AB29" s="228" t="str">
        <x:v>ich,grid,circle,zoomed</x:v>
      </x:c>
      <x:c r="AC29" s="228" t="str">
        <x:v>224899515</x:v>
      </x:c>
      <x:c r="AD29" s="228" t="str">
        <x:v>224899515</x:v>
      </x:c>
      <x:c r="AE29" s="228" t="str">
        <x:v>collision,entropy</x:v>
      </x:c>
      <x:c r="AF29" s="228" t="str">
        <x:v>908</x:v>
      </x:c>
      <x:c r="AG29" s="228" t="str">
        <x:v>105</x:v>
      </x:c>
      <x:c r="AH29" s="230" t="str">
        <x:v>9.583449200028554</x:v>
      </x:c>
      <x:c r="AI29" s="228" t="str">
        <x:v>True</x:v>
      </x:c>
      <x:c r="AJ29" s="228" t="str">
        <x:v>55838bab2e1ecd72af19e561c005523f4cdde070e670bbbb7ff7dff38f9e2873</x:v>
      </x:c>
      <x:c r="AK29" s="228" t="str">
        <x:v>0</x:v>
      </x:c>
      <x:c r="AL29" s="228" t="str">
        <x:v>0</x:v>
      </x:c>
      <x:c r="AM29" s="228" t="str"/>
      <x:c r="AN29" s="230" t="str">
        <x:v>0.07861009996850044</x:v>
      </x:c>
      <x:c r="AO29" s="228" t="str">
        <x:v>105</x:v>
      </x:c>
      <x:c r="AP29" s="228" t="str">
        <x:v>0</x:v>
      </x:c>
      <x:c r="AQ29" s="228" t="str">
        <x:v>0</x:v>
      </x:c>
      <x:c r="AR29" s="228" t="str">
        <x:v>105</x:v>
      </x:c>
      <x:c r="AS29" s="228" t="str">
        <x:v>9.662059299997054</x:v>
      </x:c>
      <x:c r="AT29" s="228" t="str">
        <x:v>True</x:v>
      </x:c>
      <x:c r="AU29" s="228" t="str">
        <x:v>55838bab2e1ecd72af19e561c005523f4cdde070e670bbbb7ff7dff38f9e2873</x:v>
      </x:c>
      <x:c r="AV29" s="228" t="str">
        <x:v>0</x:v>
      </x:c>
      <x:c r="AW29" s="228" t="str">
        <x:v>105</x:v>
      </x:c>
      <x:c r="AX29" s="228" t="str">
        <x:v>0</x:v>
      </x:c>
      <x:c r="AY29" s="230" t="str">
        <x:v>0.08762859995476902</x:v>
      </x:c>
      <x:c r="AZ29" s="228" t="str">
        <x:v>False</x:v>
      </x:c>
      <x:c r="BA29" s="228" t="str">
        <x:v>105</x:v>
      </x:c>
      <x:c r="BB29" s="230" t="str">
        <x:v>9.749687899951823</x:v>
      </x:c>
      <x:c r="BC29" s="228" t="str">
        <x:v>True</x:v>
      </x:c>
      <x:c r="BD29" s="228" t="str">
        <x:v>55838bab2e1ecd72af19e561c005523f4cdde070e670bbbb7ff7dff38f9e2873</x:v>
      </x:c>
      <x:c r="BE29" s="228" t="str">
        <x:v>0</x:v>
      </x:c>
      <x:c r="BF29" s="228" t="str">
        <x:v>0</x:v>
      </x:c>
      <x:c r="BG29" s="228" t="str">
        <x:v>2</x:v>
      </x:c>
      <x:c r="BH29" s="228" t="str">
        <x:v>496</x:v>
      </x:c>
      <x:c r="BI29" s="228" t="str">
        <x:v>111</x:v>
      </x:c>
      <x:c r="BJ29" s="230" t="str">
        <x:v>7.277628100011498</x:v>
      </x:c>
      <x:c r="BK29" s="228" t="str">
        <x:v>True</x:v>
      </x:c>
      <x:c r="BL29" s="228" t="str">
        <x:v>fcf7890de6642adc7c5977f581b94f17e97ff9bdbfcd44dddfd9b99ce5e0f903</x:v>
      </x:c>
      <x:c r="BM29" s="228" t="str">
        <x:v>0</x:v>
      </x:c>
      <x:c r="BN29" s="228" t="str">
        <x:v>0</x:v>
      </x:c>
      <x:c r="BO29" s="228" t="str"/>
      <x:c r="BP29" s="230" t="str">
        <x:v>0.0875761000206694</x:v>
      </x:c>
      <x:c r="BQ29" s="228" t="str">
        <x:v>111</x:v>
      </x:c>
      <x:c r="BR29" s="228" t="str">
        <x:v>0</x:v>
      </x:c>
      <x:c r="BS29" s="228" t="str">
        <x:v>0</x:v>
      </x:c>
      <x:c r="BT29" s="228" t="str">
        <x:v>111</x:v>
      </x:c>
      <x:c r="BU29" s="228" t="str">
        <x:v>7.365204200032167</x:v>
      </x:c>
      <x:c r="BV29" s="228" t="str">
        <x:v>True</x:v>
      </x:c>
      <x:c r="BW29" s="228" t="str">
        <x:v>fcf7890de6642adc7c5977f581b94f17e97ff9bdbfcd44dddfd9b99ce5e0f903</x:v>
      </x:c>
      <x:c r="BX29" s="228" t="str">
        <x:v>0</x:v>
      </x:c>
      <x:c r="BY29" s="228" t="str">
        <x:v>111</x:v>
      </x:c>
      <x:c r="BZ29" s="228" t="str">
        <x:v>0</x:v>
      </x:c>
      <x:c r="CA29" s="230" t="str">
        <x:v>0.12612359994091094</x:v>
      </x:c>
      <x:c r="CB29" s="228" t="str">
        <x:v>False</x:v>
      </x:c>
      <x:c r="CC29" s="228" t="str">
        <x:v>111</x:v>
      </x:c>
      <x:c r="CD29" s="230" t="str">
        <x:v>7.491327799973078</x:v>
      </x:c>
      <x:c r="CE29" s="228" t="str">
        <x:v>True</x:v>
      </x:c>
      <x:c r="CF29" s="228" t="str">
        <x:v>fcf7890de6642adc7c5977f581b94f17e97ff9bdbfcd44dddfd9b99ce5e0f903</x:v>
      </x:c>
      <x:c r="CG29" s="228" t="str">
        <x:v>0</x:v>
      </x:c>
      <x:c r="CH29" s="228" t="str">
        <x:v>0</x:v>
      </x:c>
      <x:c r="CI29" s="228" t="str">
        <x:v>1</x:v>
      </x:c>
      <x:c r="CJ29" s="228" t="str">
        <x:v>True</x:v>
      </x:c>
      <x:c r="CK29" s="228" t="str">
        <x:v>True</x:v>
      </x:c>
      <x:c r="CL29" s="228" t="str">
        <x:v>True</x:v>
      </x:c>
      <x:c r="CM29" s="228" t="str">
        <x:v>entropy</x:v>
      </x:c>
      <x:c r="CN29" s="228" t="str">
        <x:v>6</x:v>
      </x:c>
      <x:c r="CO29" s="230" t="str">
        <x:v>-2.258360099978745</x:v>
      </x:c>
      <x:c r="CP29" s="228" t="str">
        <x:v>1.0571428571428572</x:v>
      </x:c>
      <x:c r="CQ29" s="228" t="str">
        <x:v>0.7683659084112934</x:v>
      </x:c>
      <x:c r="CR29" s="228" t="str">
        <x:v>1.3014632599559801</x:v>
      </x:c>
      <x:c r="CS29" s="228" t="str">
        <x:v>entropy</x:v>
      </x:c>
      <x:c r="CT29" s="228" t="str">
        <x:v>collision</x:v>
      </x:c>
      <x:c r="CU29" s="228" t="str">
        <x:v>tradeoff</x:v>
      </x:c>
      <x:c r="CV29" s="228" t="str">
        <x:v>neither</x:v>
      </x:c>
      <x:c r="CW29" s="228" t="str">
        <x:v>both_valid</x:v>
      </x:c>
      <x:c r="CX29" s="228" t="str">
        <x:v>none</x:v>
      </x:c>
      <x:c r="CY29" s="228" t="str">
        <x:v>none</x:v>
      </x:c>
    </x:row>
    <x:row r="30">
      <x:c r="A30" s="228" t="str">
        <x:v>final-paired-v2</x:v>
      </x:c>
      <x:c r="B30" s="228" t="str">
        <x:v>20260819</x:v>
      </x:c>
      <x:c r="C30" s="228" t="str">
        <x:v>2</x:v>
      </x:c>
      <x:c r="D30" s="228" t="str">
        <x:v>8</x:v>
      </x:c>
      <x:c r="E30" s="228" t="str">
        <x:v>n1000_r0.3_repeat4</x:v>
      </x:c>
      <x:c r="F30" s="228" t="str">
        <x:v>1000</x:v>
      </x:c>
      <x:c r="G30" s="228" t="str">
        <x:v>0.3</x:v>
      </x:c>
      <x:c r="H30" s="228" t="str">
        <x:v>4</x:v>
      </x:c>
      <x:c r="I30" s="228" t="str">
        <x:v>4036464367</x:v>
      </x:c>
      <x:c r="J30" s="228" t="str">
        <x:v>7e7ea2edcfd6cb17bdb2bd008255b6dbf320927500d8f40d2b30f00b16bab6f8</x:v>
      </x:c>
      <x:c r="K30" s="228" t="str">
        <x:v>108143</x:v>
      </x:c>
      <x:c r="L30" s="228" t="str">
        <x:v>1</x:v>
      </x:c>
      <x:c r="M30" s="228" t="str">
        <x:v>1000</x:v>
      </x:c>
      <x:c r="N30" s="228" t="str">
        <x:v>True</x:v>
      </x:c>
      <x:c r="O30" s="228" t="str">
        <x:v>0</x:v>
      </x:c>
      <x:c r="P30" s="228" t="str">
        <x:v>216.286</x:v>
      </x:c>
      <x:c r="Q30" s="228" t="str">
        <x:v>60.50552209509476</x:v>
      </x:c>
      <x:c r="R30" s="228" t="str">
        <x:v>78</x:v>
      </x:c>
      <x:c r="S30" s="228" t="str">
        <x:v>313</x:v>
      </x:c>
      <x:c r="T30" s="228" t="str">
        <x:v>0.2165025025025025</x:v>
      </x:c>
      <x:c r="U30" s="230" t="str">
        <x:v>0.2884596000658348</x:v>
      </x:c>
      <x:c r="V30" s="230" t="str">
        <x:v>0.3392362000886351</x:v>
      </x:c>
      <x:c r="W30" s="228" t="str">
        <x:v>True</x:v>
      </x:c>
      <x:c r="X30" s="228" t="str">
        <x:v>False</x:v>
      </x:c>
      <x:c r="Y30" s="228" t="str">
        <x:v>5</x:v>
      </x:c>
      <x:c r="Z30" s="228" t="str">
        <x:v>grid</x:v>
      </x:c>
      <x:c r="AA30" s="228" t="str">
        <x:v>1</x:v>
      </x:c>
      <x:c r="AB30" s="228" t="str">
        <x:v>grid,circle,zoomed,ich</x:v>
      </x:c>
      <x:c r="AC30" s="228" t="str">
        <x:v>1856042838</x:v>
      </x:c>
      <x:c r="AD30" s="228" t="str">
        <x:v>1856042838</x:v>
      </x:c>
      <x:c r="AE30" s="228" t="str">
        <x:v>entropy,collision</x:v>
      </x:c>
      <x:c r="AF30" s="228" t="str">
        <x:v>790</x:v>
      </x:c>
      <x:c r="AG30" s="228" t="str">
        <x:v>109</x:v>
      </x:c>
      <x:c r="AH30" s="230" t="str">
        <x:v>14.843753700028174</x:v>
      </x:c>
      <x:c r="AI30" s="228" t="str">
        <x:v>True</x:v>
      </x:c>
      <x:c r="AJ30" s="228" t="str">
        <x:v>3702a8fe335269742f909221fef34110772d0e20a3f2503fcdd928824c4826f6</x:v>
      </x:c>
      <x:c r="AK30" s="228" t="str">
        <x:v>0</x:v>
      </x:c>
      <x:c r="AL30" s="228" t="str">
        <x:v>0</x:v>
      </x:c>
      <x:c r="AM30" s="228" t="str"/>
      <x:c r="AN30" s="230" t="str">
        <x:v>0.1107578999362886</x:v>
      </x:c>
      <x:c r="AO30" s="228" t="str">
        <x:v>109</x:v>
      </x:c>
      <x:c r="AP30" s="228" t="str">
        <x:v>0</x:v>
      </x:c>
      <x:c r="AQ30" s="228" t="str">
        <x:v>0</x:v>
      </x:c>
      <x:c r="AR30" s="228" t="str">
        <x:v>109</x:v>
      </x:c>
      <x:c r="AS30" s="228" t="str">
        <x:v>14.954511599964462</x:v>
      </x:c>
      <x:c r="AT30" s="228" t="str">
        <x:v>True</x:v>
      </x:c>
      <x:c r="AU30" s="228" t="str">
        <x:v>3702a8fe335269742f909221fef34110772d0e20a3f2503fcdd928824c4826f6</x:v>
      </x:c>
      <x:c r="AV30" s="228" t="str">
        <x:v>0</x:v>
      </x:c>
      <x:c r="AW30" s="228" t="str">
        <x:v>109</x:v>
      </x:c>
      <x:c r="AX30" s="228" t="str">
        <x:v>0</x:v>
      </x:c>
      <x:c r="AY30" s="230" t="str">
        <x:v>0.1348832999356091</x:v>
      </x:c>
      <x:c r="AZ30" s="228" t="str">
        <x:v>False</x:v>
      </x:c>
      <x:c r="BA30" s="228" t="str">
        <x:v>109</x:v>
      </x:c>
      <x:c r="BB30" s="230" t="str">
        <x:v>15.089394899900071</x:v>
      </x:c>
      <x:c r="BC30" s="228" t="str">
        <x:v>True</x:v>
      </x:c>
      <x:c r="BD30" s="228" t="str">
        <x:v>3702a8fe335269742f909221fef34110772d0e20a3f2503fcdd928824c4826f6</x:v>
      </x:c>
      <x:c r="BE30" s="228" t="str">
        <x:v>0</x:v>
      </x:c>
      <x:c r="BF30" s="228" t="str">
        <x:v>0</x:v>
      </x:c>
      <x:c r="BG30" s="228" t="str">
        <x:v>1</x:v>
      </x:c>
      <x:c r="BH30" s="228" t="str">
        <x:v>218</x:v>
      </x:c>
      <x:c r="BI30" s="228" t="str">
        <x:v>102</x:v>
      </x:c>
      <x:c r="BJ30" s="230" t="str">
        <x:v>9.545242500025779</x:v>
      </x:c>
      <x:c r="BK30" s="228" t="str">
        <x:v>True</x:v>
      </x:c>
      <x:c r="BL30" s="228" t="str">
        <x:v>78f7d016a1d33c50acc105493c443256fb3a81a5ae33c4dc1f96629a765e81b2</x:v>
      </x:c>
      <x:c r="BM30" s="228" t="str">
        <x:v>0</x:v>
      </x:c>
      <x:c r="BN30" s="228" t="str">
        <x:v>0</x:v>
      </x:c>
      <x:c r="BO30" s="228" t="str"/>
      <x:c r="BP30" s="230" t="str">
        <x:v>0.09203920001164079</x:v>
      </x:c>
      <x:c r="BQ30" s="228" t="str">
        <x:v>102</x:v>
      </x:c>
      <x:c r="BR30" s="228" t="str">
        <x:v>0</x:v>
      </x:c>
      <x:c r="BS30" s="228" t="str">
        <x:v>0</x:v>
      </x:c>
      <x:c r="BT30" s="228" t="str">
        <x:v>102</x:v>
      </x:c>
      <x:c r="BU30" s="228" t="str">
        <x:v>9.63728170003742</x:v>
      </x:c>
      <x:c r="BV30" s="228" t="str">
        <x:v>True</x:v>
      </x:c>
      <x:c r="BW30" s="228" t="str">
        <x:v>78f7d016a1d33c50acc105493c443256fb3a81a5ae33c4dc1f96629a765e81b2</x:v>
      </x:c>
      <x:c r="BX30" s="228" t="str">
        <x:v>0</x:v>
      </x:c>
      <x:c r="BY30" s="228" t="str">
        <x:v>102</x:v>
      </x:c>
      <x:c r="BZ30" s="228" t="str">
        <x:v>0</x:v>
      </x:c>
      <x:c r="CA30" s="230" t="str">
        <x:v>0.11001360008958727</x:v>
      </x:c>
      <x:c r="CB30" s="228" t="str">
        <x:v>False</x:v>
      </x:c>
      <x:c r="CC30" s="228" t="str">
        <x:v>102</x:v>
      </x:c>
      <x:c r="CD30" s="230" t="str">
        <x:v>9.747295300127007</x:v>
      </x:c>
      <x:c r="CE30" s="228" t="str">
        <x:v>True</x:v>
      </x:c>
      <x:c r="CF30" s="228" t="str">
        <x:v>78f7d016a1d33c50acc105493c443256fb3a81a5ae33c4dc1f96629a765e81b2</x:v>
      </x:c>
      <x:c r="CG30" s="228" t="str">
        <x:v>0</x:v>
      </x:c>
      <x:c r="CH30" s="228" t="str">
        <x:v>0</x:v>
      </x:c>
      <x:c r="CI30" s="228" t="str">
        <x:v>2</x:v>
      </x:c>
      <x:c r="CJ30" s="228" t="str">
        <x:v>True</x:v>
      </x:c>
      <x:c r="CK30" s="228" t="str">
        <x:v>True</x:v>
      </x:c>
      <x:c r="CL30" s="228" t="str">
        <x:v>True</x:v>
      </x:c>
      <x:c r="CM30" s="228" t="str">
        <x:v>collision</x:v>
      </x:c>
      <x:c r="CN30" s="228" t="str">
        <x:v>-7</x:v>
      </x:c>
      <x:c r="CO30" s="230" t="str">
        <x:v>-5.342099599773064</x:v>
      </x:c>
      <x:c r="CP30" s="228" t="str">
        <x:v>0.9357798165137615</x:v>
      </x:c>
      <x:c r="CQ30" s="228" t="str">
        <x:v>0.6459699255529165</x:v>
      </x:c>
      <x:c r="CR30" s="228" t="str">
        <x:v>1.5480596858190452</x:v>
      </x:c>
      <x:c r="CS30" s="228" t="str">
        <x:v>collision</x:v>
      </x:c>
      <x:c r="CT30" s="228" t="str">
        <x:v>collision</x:v>
      </x:c>
      <x:c r="CU30" s="228" t="str">
        <x:v>collision_dominates</x:v>
      </x:c>
      <x:c r="CV30" s="228" t="str">
        <x:v>neither</x:v>
      </x:c>
      <x:c r="CW30" s="228" t="str">
        <x:v>both_valid</x:v>
      </x:c>
      <x:c r="CX30" s="228" t="str">
        <x:v>none</x:v>
      </x:c>
      <x:c r="CY30" s="228" t="str">
        <x:v>none</x:v>
      </x:c>
    </x:row>
    <x:row r="31">
      <x:c r="A31" s="228" t="str">
        <x:v>final-paired-v2</x:v>
      </x:c>
      <x:c r="B31" s="228" t="str">
        <x:v>20260819</x:v>
      </x:c>
      <x:c r="C31" s="228" t="str">
        <x:v>2</x:v>
      </x:c>
      <x:c r="D31" s="228" t="str">
        <x:v>8</x:v>
      </x:c>
      <x:c r="E31" s="228" t="str">
        <x:v>n1000_r0.3_repeat4</x:v>
      </x:c>
      <x:c r="F31" s="228" t="str">
        <x:v>1000</x:v>
      </x:c>
      <x:c r="G31" s="228" t="str">
        <x:v>0.3</x:v>
      </x:c>
      <x:c r="H31" s="228" t="str">
        <x:v>4</x:v>
      </x:c>
      <x:c r="I31" s="228" t="str">
        <x:v>4036464367</x:v>
      </x:c>
      <x:c r="J31" s="228" t="str">
        <x:v>7e7ea2edcfd6cb17bdb2bd008255b6dbf320927500d8f40d2b30f00b16bab6f8</x:v>
      </x:c>
      <x:c r="K31" s="228" t="str">
        <x:v>108143</x:v>
      </x:c>
      <x:c r="L31" s="228" t="str">
        <x:v>1</x:v>
      </x:c>
      <x:c r="M31" s="228" t="str">
        <x:v>1000</x:v>
      </x:c>
      <x:c r="N31" s="228" t="str">
        <x:v>True</x:v>
      </x:c>
      <x:c r="O31" s="228" t="str">
        <x:v>0</x:v>
      </x:c>
      <x:c r="P31" s="228" t="str">
        <x:v>216.286</x:v>
      </x:c>
      <x:c r="Q31" s="228" t="str">
        <x:v>60.50552209509476</x:v>
      </x:c>
      <x:c r="R31" s="228" t="str">
        <x:v>78</x:v>
      </x:c>
      <x:c r="S31" s="228" t="str">
        <x:v>313</x:v>
      </x:c>
      <x:c r="T31" s="228" t="str">
        <x:v>0.2165025025025025</x:v>
      </x:c>
      <x:c r="U31" s="230" t="str">
        <x:v>0.2884596000658348</x:v>
      </x:c>
      <x:c r="V31" s="230" t="str">
        <x:v>0.3392362000886351</x:v>
      </x:c>
      <x:c r="W31" s="228" t="str">
        <x:v>True</x:v>
      </x:c>
      <x:c r="X31" s="228" t="str">
        <x:v>False</x:v>
      </x:c>
      <x:c r="Y31" s="228" t="str">
        <x:v>5</x:v>
      </x:c>
      <x:c r="Z31" s="228" t="str">
        <x:v>circle</x:v>
      </x:c>
      <x:c r="AA31" s="228" t="str">
        <x:v>2</x:v>
      </x:c>
      <x:c r="AB31" s="228" t="str">
        <x:v>grid,circle,zoomed,ich</x:v>
      </x:c>
      <x:c r="AC31" s="228" t="str">
        <x:v>1971078276</x:v>
      </x:c>
      <x:c r="AD31" s="228" t="str">
        <x:v>1971078276</x:v>
      </x:c>
      <x:c r="AE31" s="228" t="str">
        <x:v>entropy,collision</x:v>
      </x:c>
      <x:c r="AF31" s="228" t="str">
        <x:v>845</x:v>
      </x:c>
      <x:c r="AG31" s="228" t="str">
        <x:v>107</x:v>
      </x:c>
      <x:c r="AH31" s="230" t="str">
        <x:v>6.6996492999605834</x:v>
      </x:c>
      <x:c r="AI31" s="228" t="str">
        <x:v>True</x:v>
      </x:c>
      <x:c r="AJ31" s="228" t="str">
        <x:v>98c663d941010d9587da8d8ba02134bd1f3947b9aecefae5d9e6cd0d43feafb1</x:v>
      </x:c>
      <x:c r="AK31" s="228" t="str">
        <x:v>0</x:v>
      </x:c>
      <x:c r="AL31" s="228" t="str">
        <x:v>0</x:v>
      </x:c>
      <x:c r="AM31" s="228" t="str"/>
      <x:c r="AN31" s="230" t="str">
        <x:v>0.07776659994851798</x:v>
      </x:c>
      <x:c r="AO31" s="228" t="str">
        <x:v>107</x:v>
      </x:c>
      <x:c r="AP31" s="228" t="str">
        <x:v>0</x:v>
      </x:c>
      <x:c r="AQ31" s="228" t="str">
        <x:v>0</x:v>
      </x:c>
      <x:c r="AR31" s="228" t="str">
        <x:v>107</x:v>
      </x:c>
      <x:c r="AS31" s="228" t="str">
        <x:v>6.777415899909101</x:v>
      </x:c>
      <x:c r="AT31" s="228" t="str">
        <x:v>True</x:v>
      </x:c>
      <x:c r="AU31" s="228" t="str">
        <x:v>98c663d941010d9587da8d8ba02134bd1f3947b9aecefae5d9e6cd0d43feafb1</x:v>
      </x:c>
      <x:c r="AV31" s="228" t="str">
        <x:v>0</x:v>
      </x:c>
      <x:c r="AW31" s="228" t="str">
        <x:v>107</x:v>
      </x:c>
      <x:c r="AX31" s="228" t="str">
        <x:v>0</x:v>
      </x:c>
      <x:c r="AY31" s="230" t="str">
        <x:v>0.11241560010239482</x:v>
      </x:c>
      <x:c r="AZ31" s="228" t="str">
        <x:v>False</x:v>
      </x:c>
      <x:c r="BA31" s="228" t="str">
        <x:v>107</x:v>
      </x:c>
      <x:c r="BB31" s="230" t="str">
        <x:v>6.889831500011496</x:v>
      </x:c>
      <x:c r="BC31" s="228" t="str">
        <x:v>True</x:v>
      </x:c>
      <x:c r="BD31" s="228" t="str">
        <x:v>98c663d941010d9587da8d8ba02134bd1f3947b9aecefae5d9e6cd0d43feafb1</x:v>
      </x:c>
      <x:c r="BE31" s="228" t="str">
        <x:v>0</x:v>
      </x:c>
      <x:c r="BF31" s="228" t="str">
        <x:v>0</x:v>
      </x:c>
      <x:c r="BG31" s="228" t="str">
        <x:v>1</x:v>
      </x:c>
      <x:c r="BH31" s="228" t="str">
        <x:v>801</x:v>
      </x:c>
      <x:c r="BI31" s="228" t="str">
        <x:v>107</x:v>
      </x:c>
      <x:c r="BJ31" s="230" t="str">
        <x:v>7.043927700025961</x:v>
      </x:c>
      <x:c r="BK31" s="228" t="str">
        <x:v>True</x:v>
      </x:c>
      <x:c r="BL31" s="228" t="str">
        <x:v>b0343b573633d6f8e7d6ce719210b2056a6c1cda43dee3903e2261fe75e09a56</x:v>
      </x:c>
      <x:c r="BM31" s="228" t="str">
        <x:v>0</x:v>
      </x:c>
      <x:c r="BN31" s="228" t="str">
        <x:v>0</x:v>
      </x:c>
      <x:c r="BO31" s="228" t="str"/>
      <x:c r="BP31" s="230" t="str">
        <x:v>0.08620829996652901</x:v>
      </x:c>
      <x:c r="BQ31" s="228" t="str">
        <x:v>107</x:v>
      </x:c>
      <x:c r="BR31" s="228" t="str">
        <x:v>0</x:v>
      </x:c>
      <x:c r="BS31" s="228" t="str">
        <x:v>0</x:v>
      </x:c>
      <x:c r="BT31" s="228" t="str">
        <x:v>107</x:v>
      </x:c>
      <x:c r="BU31" s="228" t="str">
        <x:v>7.13013599999249</x:v>
      </x:c>
      <x:c r="BV31" s="228" t="str">
        <x:v>True</x:v>
      </x:c>
      <x:c r="BW31" s="228" t="str">
        <x:v>b0343b573633d6f8e7d6ce719210b2056a6c1cda43dee3903e2261fe75e09a56</x:v>
      </x:c>
      <x:c r="BX31" s="228" t="str">
        <x:v>0</x:v>
      </x:c>
      <x:c r="BY31" s="228" t="str">
        <x:v>107</x:v>
      </x:c>
      <x:c r="BZ31" s="228" t="str">
        <x:v>0</x:v>
      </x:c>
      <x:c r="CA31" s="230" t="str">
        <x:v>0.16203680005855858</x:v>
      </x:c>
      <x:c r="CB31" s="228" t="str">
        <x:v>False</x:v>
      </x:c>
      <x:c r="CC31" s="228" t="str">
        <x:v>107</x:v>
      </x:c>
      <x:c r="CD31" s="230" t="str">
        <x:v>7.292172800051048</x:v>
      </x:c>
      <x:c r="CE31" s="228" t="str">
        <x:v>True</x:v>
      </x:c>
      <x:c r="CF31" s="228" t="str">
        <x:v>b0343b573633d6f8e7d6ce719210b2056a6c1cda43dee3903e2261fe75e09a56</x:v>
      </x:c>
      <x:c r="CG31" s="228" t="str">
        <x:v>0</x:v>
      </x:c>
      <x:c r="CH31" s="228" t="str">
        <x:v>0</x:v>
      </x:c>
      <x:c r="CI31" s="228" t="str">
        <x:v>2</x:v>
      </x:c>
      <x:c r="CJ31" s="228" t="str">
        <x:v>True</x:v>
      </x:c>
      <x:c r="CK31" s="228" t="str">
        <x:v>True</x:v>
      </x:c>
      <x:c r="CL31" s="228" t="str">
        <x:v>True</x:v>
      </x:c>
      <x:c r="CM31" s="228" t="str">
        <x:v>tie</x:v>
      </x:c>
      <x:c r="CN31" s="228" t="str">
        <x:v>0</x:v>
      </x:c>
      <x:c r="CO31" s="230" t="str">
        <x:v>0.40234130003955215</x:v>
      </x:c>
      <x:c r="CP31" s="228" t="str">
        <x:v>1.0</x:v>
      </x:c>
      <x:c r="CQ31" s="228" t="str">
        <x:v>1.0583963918477368</x:v>
      </x:c>
      <x:c r="CR31" s="228" t="str">
        <x:v>0.9448255943637628</x:v>
      </x:c>
      <x:c r="CS31" s="228" t="str">
        <x:v>tie</x:v>
      </x:c>
      <x:c r="CT31" s="228" t="str">
        <x:v>entropy</x:v>
      </x:c>
      <x:c r="CU31" s="228" t="str">
        <x:v>entropy_dominates</x:v>
      </x:c>
      <x:c r="CV31" s="228" t="str">
        <x:v>neither</x:v>
      </x:c>
      <x:c r="CW31" s="228" t="str">
        <x:v>both_valid</x:v>
      </x:c>
      <x:c r="CX31" s="228" t="str">
        <x:v>none</x:v>
      </x:c>
      <x:c r="CY31" s="228" t="str">
        <x:v>none</x:v>
      </x:c>
    </x:row>
    <x:row r="32">
      <x:c r="A32" s="228" t="str">
        <x:v>final-paired-v2</x:v>
      </x:c>
      <x:c r="B32" s="228" t="str">
        <x:v>20260819</x:v>
      </x:c>
      <x:c r="C32" s="228" t="str">
        <x:v>2</x:v>
      </x:c>
      <x:c r="D32" s="228" t="str">
        <x:v>8</x:v>
      </x:c>
      <x:c r="E32" s="228" t="str">
        <x:v>n1000_r0.3_repeat4</x:v>
      </x:c>
      <x:c r="F32" s="228" t="str">
        <x:v>1000</x:v>
      </x:c>
      <x:c r="G32" s="228" t="str">
        <x:v>0.3</x:v>
      </x:c>
      <x:c r="H32" s="228" t="str">
        <x:v>4</x:v>
      </x:c>
      <x:c r="I32" s="228" t="str">
        <x:v>4036464367</x:v>
      </x:c>
      <x:c r="J32" s="228" t="str">
        <x:v>7e7ea2edcfd6cb17bdb2bd008255b6dbf320927500d8f40d2b30f00b16bab6f8</x:v>
      </x:c>
      <x:c r="K32" s="228" t="str">
        <x:v>108143</x:v>
      </x:c>
      <x:c r="L32" s="228" t="str">
        <x:v>1</x:v>
      </x:c>
      <x:c r="M32" s="228" t="str">
        <x:v>1000</x:v>
      </x:c>
      <x:c r="N32" s="228" t="str">
        <x:v>True</x:v>
      </x:c>
      <x:c r="O32" s="228" t="str">
        <x:v>0</x:v>
      </x:c>
      <x:c r="P32" s="228" t="str">
        <x:v>216.286</x:v>
      </x:c>
      <x:c r="Q32" s="228" t="str">
        <x:v>60.50552209509476</x:v>
      </x:c>
      <x:c r="R32" s="228" t="str">
        <x:v>78</x:v>
      </x:c>
      <x:c r="S32" s="228" t="str">
        <x:v>313</x:v>
      </x:c>
      <x:c r="T32" s="228" t="str">
        <x:v>0.2165025025025025</x:v>
      </x:c>
      <x:c r="U32" s="230" t="str">
        <x:v>0.2884596000658348</x:v>
      </x:c>
      <x:c r="V32" s="230" t="str">
        <x:v>0.3392362000886351</x:v>
      </x:c>
      <x:c r="W32" s="228" t="str">
        <x:v>True</x:v>
      </x:c>
      <x:c r="X32" s="228" t="str">
        <x:v>False</x:v>
      </x:c>
      <x:c r="Y32" s="228" t="str">
        <x:v>5</x:v>
      </x:c>
      <x:c r="Z32" s="228" t="str">
        <x:v>zoomed</x:v>
      </x:c>
      <x:c r="AA32" s="228" t="str">
        <x:v>3</x:v>
      </x:c>
      <x:c r="AB32" s="228" t="str">
        <x:v>grid,circle,zoomed,ich</x:v>
      </x:c>
      <x:c r="AC32" s="228" t="str">
        <x:v>841294042</x:v>
      </x:c>
      <x:c r="AD32" s="228" t="str">
        <x:v>841294042</x:v>
      </x:c>
      <x:c r="AE32" s="228" t="str">
        <x:v>entropy,collision</x:v>
      </x:c>
      <x:c r="AF32" s="228" t="str">
        <x:v>828</x:v>
      </x:c>
      <x:c r="AG32" s="228" t="str">
        <x:v>111</x:v>
      </x:c>
      <x:c r="AH32" s="230" t="str">
        <x:v>12.314585900050588</x:v>
      </x:c>
      <x:c r="AI32" s="228" t="str">
        <x:v>True</x:v>
      </x:c>
      <x:c r="AJ32" s="228" t="str">
        <x:v>ded3bc25984a2422ca903941937440bdaa19abc769847d15798091419c17cac1</x:v>
      </x:c>
      <x:c r="AK32" s="228" t="str">
        <x:v>0</x:v>
      </x:c>
      <x:c r="AL32" s="228" t="str">
        <x:v>0</x:v>
      </x:c>
      <x:c r="AM32" s="228" t="str"/>
      <x:c r="AN32" s="230" t="str">
        <x:v>0.1003176000667736</x:v>
      </x:c>
      <x:c r="AO32" s="228" t="str">
        <x:v>111</x:v>
      </x:c>
      <x:c r="AP32" s="228" t="str">
        <x:v>0</x:v>
      </x:c>
      <x:c r="AQ32" s="228" t="str">
        <x:v>0</x:v>
      </x:c>
      <x:c r="AR32" s="228" t="str">
        <x:v>111</x:v>
      </x:c>
      <x:c r="AS32" s="228" t="str">
        <x:v>12.414903500117362</x:v>
      </x:c>
      <x:c r="AT32" s="228" t="str">
        <x:v>True</x:v>
      </x:c>
      <x:c r="AU32" s="228" t="str">
        <x:v>ded3bc25984a2422ca903941937440bdaa19abc769847d15798091419c17cac1</x:v>
      </x:c>
      <x:c r="AV32" s="228" t="str">
        <x:v>0</x:v>
      </x:c>
      <x:c r="AW32" s="228" t="str">
        <x:v>111</x:v>
      </x:c>
      <x:c r="AX32" s="228" t="str">
        <x:v>0</x:v>
      </x:c>
      <x:c r="AY32" s="230" t="str">
        <x:v>0.11060319992247969</x:v>
      </x:c>
      <x:c r="AZ32" s="228" t="str">
        <x:v>False</x:v>
      </x:c>
      <x:c r="BA32" s="228" t="str">
        <x:v>111</x:v>
      </x:c>
      <x:c r="BB32" s="230" t="str">
        <x:v>12.525506700039841</x:v>
      </x:c>
      <x:c r="BC32" s="228" t="str">
        <x:v>True</x:v>
      </x:c>
      <x:c r="BD32" s="228" t="str">
        <x:v>ded3bc25984a2422ca903941937440bdaa19abc769847d15798091419c17cac1</x:v>
      </x:c>
      <x:c r="BE32" s="228" t="str">
        <x:v>0</x:v>
      </x:c>
      <x:c r="BF32" s="228" t="str">
        <x:v>0</x:v>
      </x:c>
      <x:c r="BG32" s="228" t="str">
        <x:v>1</x:v>
      </x:c>
      <x:c r="BH32" s="228" t="str">
        <x:v>406</x:v>
      </x:c>
      <x:c r="BI32" s="228" t="str">
        <x:v>108</x:v>
      </x:c>
      <x:c r="BJ32" s="230" t="str">
        <x:v>8.861697499989532</x:v>
      </x:c>
      <x:c r="BK32" s="228" t="str">
        <x:v>True</x:v>
      </x:c>
      <x:c r="BL32" s="228" t="str">
        <x:v>1ea1fd2831b4b35c68f2130420aaa518666c66af9453302427aa72779eef37b2</x:v>
      </x:c>
      <x:c r="BM32" s="228" t="str">
        <x:v>0</x:v>
      </x:c>
      <x:c r="BN32" s="228" t="str">
        <x:v>0</x:v>
      </x:c>
      <x:c r="BO32" s="228" t="str"/>
      <x:c r="BP32" s="230" t="str">
        <x:v>0.10873480001464486</x:v>
      </x:c>
      <x:c r="BQ32" s="228" t="str">
        <x:v>108</x:v>
      </x:c>
      <x:c r="BR32" s="228" t="str">
        <x:v>0</x:v>
      </x:c>
      <x:c r="BS32" s="228" t="str">
        <x:v>0</x:v>
      </x:c>
      <x:c r="BT32" s="228" t="str">
        <x:v>108</x:v>
      </x:c>
      <x:c r="BU32" s="228" t="str">
        <x:v>8.970432300004177</x:v>
      </x:c>
      <x:c r="BV32" s="228" t="str">
        <x:v>True</x:v>
      </x:c>
      <x:c r="BW32" s="228" t="str">
        <x:v>1ea1fd2831b4b35c68f2130420aaa518666c66af9453302427aa72779eef37b2</x:v>
      </x:c>
      <x:c r="BX32" s="228" t="str">
        <x:v>0</x:v>
      </x:c>
      <x:c r="BY32" s="228" t="str">
        <x:v>108</x:v>
      </x:c>
      <x:c r="BZ32" s="228" t="str">
        <x:v>0</x:v>
      </x:c>
      <x:c r="CA32" s="230" t="str">
        <x:v>0.10460199997760355</x:v>
      </x:c>
      <x:c r="CB32" s="228" t="str">
        <x:v>False</x:v>
      </x:c>
      <x:c r="CC32" s="228" t="str">
        <x:v>108</x:v>
      </x:c>
      <x:c r="CD32" s="230" t="str">
        <x:v>9.07503429998178</x:v>
      </x:c>
      <x:c r="CE32" s="228" t="str">
        <x:v>True</x:v>
      </x:c>
      <x:c r="CF32" s="228" t="str">
        <x:v>1ea1fd2831b4b35c68f2130420aaa518666c66af9453302427aa72779eef37b2</x:v>
      </x:c>
      <x:c r="CG32" s="228" t="str">
        <x:v>0</x:v>
      </x:c>
      <x:c r="CH32" s="228" t="str">
        <x:v>0</x:v>
      </x:c>
      <x:c r="CI32" s="228" t="str">
        <x:v>2</x:v>
      </x:c>
      <x:c r="CJ32" s="228" t="str">
        <x:v>True</x:v>
      </x:c>
      <x:c r="CK32" s="228" t="str">
        <x:v>True</x:v>
      </x:c>
      <x:c r="CL32" s="228" t="str">
        <x:v>True</x:v>
      </x:c>
      <x:c r="CM32" s="228" t="str">
        <x:v>collision</x:v>
      </x:c>
      <x:c r="CN32" s="228" t="str">
        <x:v>-3</x:v>
      </x:c>
      <x:c r="CO32" s="230" t="str">
        <x:v>-3.450472400058061</x:v>
      </x:c>
      <x:c r="CP32" s="228" t="str">
        <x:v>0.972972972972973</x:v>
      </x:c>
      <x:c r="CQ32" s="228" t="str">
        <x:v>0.7245243260261012</x:v>
      </x:c>
      <x:c r="CR32" s="228" t="str">
        <x:v>1.3802159072902884</x:v>
      </x:c>
      <x:c r="CS32" s="228" t="str">
        <x:v>collision</x:v>
      </x:c>
      <x:c r="CT32" s="228" t="str">
        <x:v>collision</x:v>
      </x:c>
      <x:c r="CU32" s="228" t="str">
        <x:v>collision_dominates</x:v>
      </x:c>
      <x:c r="CV32" s="228" t="str">
        <x:v>neither</x:v>
      </x:c>
      <x:c r="CW32" s="228" t="str">
        <x:v>both_valid</x:v>
      </x:c>
      <x:c r="CX32" s="228" t="str">
        <x:v>none</x:v>
      </x:c>
      <x:c r="CY32" s="228" t="str">
        <x:v>none</x:v>
      </x:c>
    </x:row>
    <x:row r="33">
      <x:c r="A33" s="228" t="str">
        <x:v>final-paired-v2</x:v>
      </x:c>
      <x:c r="B33" s="228" t="str">
        <x:v>20260819</x:v>
      </x:c>
      <x:c r="C33" s="228" t="str">
        <x:v>2</x:v>
      </x:c>
      <x:c r="D33" s="228" t="str">
        <x:v>8</x:v>
      </x:c>
      <x:c r="E33" s="228" t="str">
        <x:v>n1000_r0.3_repeat4</x:v>
      </x:c>
      <x:c r="F33" s="228" t="str">
        <x:v>1000</x:v>
      </x:c>
      <x:c r="G33" s="228" t="str">
        <x:v>0.3</x:v>
      </x:c>
      <x:c r="H33" s="228" t="str">
        <x:v>4</x:v>
      </x:c>
      <x:c r="I33" s="228" t="str">
        <x:v>4036464367</x:v>
      </x:c>
      <x:c r="J33" s="228" t="str">
        <x:v>7e7ea2edcfd6cb17bdb2bd008255b6dbf320927500d8f40d2b30f00b16bab6f8</x:v>
      </x:c>
      <x:c r="K33" s="228" t="str">
        <x:v>108143</x:v>
      </x:c>
      <x:c r="L33" s="228" t="str">
        <x:v>1</x:v>
      </x:c>
      <x:c r="M33" s="228" t="str">
        <x:v>1000</x:v>
      </x:c>
      <x:c r="N33" s="228" t="str">
        <x:v>True</x:v>
      </x:c>
      <x:c r="O33" s="228" t="str">
        <x:v>0</x:v>
      </x:c>
      <x:c r="P33" s="228" t="str">
        <x:v>216.286</x:v>
      </x:c>
      <x:c r="Q33" s="228" t="str">
        <x:v>60.50552209509476</x:v>
      </x:c>
      <x:c r="R33" s="228" t="str">
        <x:v>78</x:v>
      </x:c>
      <x:c r="S33" s="228" t="str">
        <x:v>313</x:v>
      </x:c>
      <x:c r="T33" s="228" t="str">
        <x:v>0.2165025025025025</x:v>
      </x:c>
      <x:c r="U33" s="230" t="str">
        <x:v>0.2884596000658348</x:v>
      </x:c>
      <x:c r="V33" s="230" t="str">
        <x:v>0.3392362000886351</x:v>
      </x:c>
      <x:c r="W33" s="228" t="str">
        <x:v>True</x:v>
      </x:c>
      <x:c r="X33" s="228" t="str">
        <x:v>False</x:v>
      </x:c>
      <x:c r="Y33" s="228" t="str">
        <x:v>5</x:v>
      </x:c>
      <x:c r="Z33" s="228" t="str">
        <x:v>ich</x:v>
      </x:c>
      <x:c r="AA33" s="228" t="str">
        <x:v>4</x:v>
      </x:c>
      <x:c r="AB33" s="228" t="str">
        <x:v>grid,circle,zoomed,ich</x:v>
      </x:c>
      <x:c r="AC33" s="228" t="str">
        <x:v>3611518400</x:v>
      </x:c>
      <x:c r="AD33" s="228" t="str">
        <x:v>3611518400</x:v>
      </x:c>
      <x:c r="AE33" s="228" t="str">
        <x:v>entropy,collision</x:v>
      </x:c>
      <x:c r="AF33" s="228" t="str">
        <x:v>95</x:v>
      </x:c>
      <x:c r="AG33" s="228" t="str">
        <x:v>95</x:v>
      </x:c>
      <x:c r="AH33" s="230" t="str">
        <x:v>182.24301419989206</x:v>
      </x:c>
      <x:c r="AI33" s="228" t="str">
        <x:v>True</x:v>
      </x:c>
      <x:c r="AJ33" s="228" t="str">
        <x:v>3f9ad45bf7774f7d27df126e86c7e65fde7ad0a487b98420a5e98c068b6b4888</x:v>
      </x:c>
      <x:c r="AK33" s="228" t="str">
        <x:v>0</x:v>
      </x:c>
      <x:c r="AL33" s="228" t="str">
        <x:v>0</x:v>
      </x:c>
      <x:c r="AM33" s="228" t="str"/>
      <x:c r="AN33" s="230" t="str">
        <x:v>0.09551179991103709</x:v>
      </x:c>
      <x:c r="AO33" s="228" t="str">
        <x:v>95</x:v>
      </x:c>
      <x:c r="AP33" s="228" t="str">
        <x:v>0</x:v>
      </x:c>
      <x:c r="AQ33" s="228" t="str">
        <x:v>0</x:v>
      </x:c>
      <x:c r="AR33" s="228" t="str">
        <x:v>95</x:v>
      </x:c>
      <x:c r="AS33" s="228" t="str">
        <x:v>182.3385259998031</x:v>
      </x:c>
      <x:c r="AT33" s="228" t="str">
        <x:v>True</x:v>
      </x:c>
      <x:c r="AU33" s="228" t="str">
        <x:v>3f9ad45bf7774f7d27df126e86c7e65fde7ad0a487b98420a5e98c068b6b4888</x:v>
      </x:c>
      <x:c r="AV33" s="228" t="str">
        <x:v>0</x:v>
      </x:c>
      <x:c r="AW33" s="228" t="str">
        <x:v>95</x:v>
      </x:c>
      <x:c r="AX33" s="228" t="str">
        <x:v>6</x:v>
      </x:c>
      <x:c r="AY33" s="230" t="str">
        <x:v>0.23879940004553646</x:v>
      </x:c>
      <x:c r="AZ33" s="228" t="str">
        <x:v>False</x:v>
      </x:c>
      <x:c r="BA33" s="228" t="str">
        <x:v>89</x:v>
      </x:c>
      <x:c r="BB33" s="230" t="str">
        <x:v>182.57732539984863</x:v>
      </x:c>
      <x:c r="BC33" s="228" t="str">
        <x:v>True</x:v>
      </x:c>
      <x:c r="BD33" s="228" t="str">
        <x:v>2e94a1776648c524b5da445e82431005cc14e2ecf5dcbef29fb1f350fddda5a2</x:v>
      </x:c>
      <x:c r="BE33" s="228" t="str">
        <x:v>-6</x:v>
      </x:c>
      <x:c r="BF33" s="228" t="str">
        <x:v>0</x:v>
      </x:c>
      <x:c r="BG33" s="228" t="str">
        <x:v>1</x:v>
      </x:c>
      <x:c r="BH33" s="228" t="str">
        <x:v>93</x:v>
      </x:c>
      <x:c r="BI33" s="228" t="str">
        <x:v>93</x:v>
      </x:c>
      <x:c r="BJ33" s="230" t="str">
        <x:v>163.6272781000007</x:v>
      </x:c>
      <x:c r="BK33" s="228" t="str">
        <x:v>True</x:v>
      </x:c>
      <x:c r="BL33" s="228" t="str">
        <x:v>a96c01215273a47b7f989df733857161150809d4e01c07b0ae82271b8be68a89</x:v>
      </x:c>
      <x:c r="BM33" s="228" t="str">
        <x:v>0</x:v>
      </x:c>
      <x:c r="BN33" s="228" t="str">
        <x:v>0</x:v>
      </x:c>
      <x:c r="BO33" s="228" t="str"/>
      <x:c r="BP33" s="230" t="str">
        <x:v>0.07927079999353737</x:v>
      </x:c>
      <x:c r="BQ33" s="228" t="str">
        <x:v>93</x:v>
      </x:c>
      <x:c r="BR33" s="228" t="str">
        <x:v>0</x:v>
      </x:c>
      <x:c r="BS33" s="228" t="str">
        <x:v>0</x:v>
      </x:c>
      <x:c r="BT33" s="228" t="str">
        <x:v>93</x:v>
      </x:c>
      <x:c r="BU33" s="228" t="str">
        <x:v>163.70654889999423</x:v>
      </x:c>
      <x:c r="BV33" s="228" t="str">
        <x:v>True</x:v>
      </x:c>
      <x:c r="BW33" s="228" t="str">
        <x:v>a96c01215273a47b7f989df733857161150809d4e01c07b0ae82271b8be68a89</x:v>
      </x:c>
      <x:c r="BX33" s="228" t="str">
        <x:v>0</x:v>
      </x:c>
      <x:c r="BY33" s="228" t="str">
        <x:v>93</x:v>
      </x:c>
      <x:c r="BZ33" s="228" t="str">
        <x:v>6</x:v>
      </x:c>
      <x:c r="CA33" s="230" t="str">
        <x:v>0.23101540002971888</x:v>
      </x:c>
      <x:c r="CB33" s="228" t="str">
        <x:v>False</x:v>
      </x:c>
      <x:c r="CC33" s="228" t="str">
        <x:v>87</x:v>
      </x:c>
      <x:c r="CD33" s="230" t="str">
        <x:v>163.93756430002395</x:v>
      </x:c>
      <x:c r="CE33" s="228" t="str">
        <x:v>True</x:v>
      </x:c>
      <x:c r="CF33" s="228" t="str">
        <x:v>7dc90c9eb982a74f1f0083ec4b530ffcc6d3df7002f929e2aafb98105f4e6e13</x:v>
      </x:c>
      <x:c r="CG33" s="228" t="str">
        <x:v>-6</x:v>
      </x:c>
      <x:c r="CH33" s="228" t="str">
        <x:v>0</x:v>
      </x:c>
      <x:c r="CI33" s="228" t="str">
        <x:v>2</x:v>
      </x:c>
      <x:c r="CJ33" s="228" t="str">
        <x:v>True</x:v>
      </x:c>
      <x:c r="CK33" s="228" t="str">
        <x:v>True</x:v>
      </x:c>
      <x:c r="CL33" s="228" t="str">
        <x:v>True</x:v>
      </x:c>
      <x:c r="CM33" s="228" t="str">
        <x:v>collision</x:v>
      </x:c>
      <x:c r="CN33" s="228" t="str">
        <x:v>-2</x:v>
      </x:c>
      <x:c r="CO33" s="230" t="str">
        <x:v>-18.639761099824682</x:v>
      </x:c>
      <x:c r="CP33" s="228" t="str">
        <x:v>0.9775280898876404</x:v>
      </x:c>
      <x:c r="CQ33" s="228" t="str">
        <x:v>0.8979075793831289</x:v>
      </x:c>
      <x:c r="CR33" s="228" t="str">
        <x:v>1.1137003662303524</x:v>
      </x:c>
      <x:c r="CS33" s="228" t="str">
        <x:v>collision</x:v>
      </x:c>
      <x:c r="CT33" s="228" t="str">
        <x:v>collision</x:v>
      </x:c>
      <x:c r="CU33" s="228" t="str">
        <x:v>collision_dominates</x:v>
      </x:c>
      <x:c r="CV33" s="228" t="str">
        <x:v>neither</x:v>
      </x:c>
      <x:c r="CW33" s="228" t="str">
        <x:v>both_valid</x:v>
      </x:c>
      <x:c r="CX33" s="228" t="str">
        <x:v>none</x:v>
      </x:c>
      <x:c r="CY33" s="228" t="str">
        <x:v>none</x:v>
      </x:c>
    </x:row>
    <x:row r="34">
      <x:c r="A34" s="228" t="str">
        <x:v>final-paired-v2</x:v>
      </x:c>
      <x:c r="B34" s="228" t="str">
        <x:v>20260819</x:v>
      </x:c>
      <x:c r="C34" s="228" t="str">
        <x:v>3</x:v>
      </x:c>
      <x:c r="D34" s="228" t="str">
        <x:v>9</x:v>
      </x:c>
      <x:c r="E34" s="228" t="str">
        <x:v>n1000_r0.5_repeat1</x:v>
      </x:c>
      <x:c r="F34" s="228" t="str">
        <x:v>1000</x:v>
      </x:c>
      <x:c r="G34" s="228" t="str">
        <x:v>0.5</x:v>
      </x:c>
      <x:c r="H34" s="228" t="str">
        <x:v>1</x:v>
      </x:c>
      <x:c r="I34" s="228" t="str">
        <x:v>1198493348</x:v>
      </x:c>
      <x:c r="J34" s="228" t="str">
        <x:v>7fd60fa5b17a6b461775e7fb0d994984703efaa69c194ecdc63fe3eab71a837a</x:v>
      </x:c>
      <x:c r="K34" s="228" t="str">
        <x:v>245987</x:v>
      </x:c>
      <x:c r="L34" s="228" t="str">
        <x:v>1</x:v>
      </x:c>
      <x:c r="M34" s="228" t="str">
        <x:v>1000</x:v>
      </x:c>
      <x:c r="N34" s="228" t="str">
        <x:v>True</x:v>
      </x:c>
      <x:c r="O34" s="228" t="str">
        <x:v>0</x:v>
      </x:c>
      <x:c r="P34" s="228" t="str">
        <x:v>491.974</x:v>
      </x:c>
      <x:c r="Q34" s="228" t="str">
        <x:v>139.9889614362504</x:v>
      </x:c>
      <x:c r="R34" s="228" t="str">
        <x:v>181</x:v>
      </x:c>
      <x:c r="S34" s="228" t="str">
        <x:v>790</x:v>
      </x:c>
      <x:c r="T34" s="228" t="str">
        <x:v>0.49246646646646647</x:v>
      </x:c>
      <x:c r="U34" s="230" t="str">
        <x:v>0.8460463000228629</x:v>
      </x:c>
      <x:c r="V34" s="230" t="str">
        <x:v>0.7400011999998242</x:v>
      </x:c>
      <x:c r="W34" s="228" t="str">
        <x:v>True</x:v>
      </x:c>
      <x:c r="X34" s="228" t="str">
        <x:v>False</x:v>
      </x:c>
      <x:c r="Y34" s="228" t="str">
        <x:v>5</x:v>
      </x:c>
      <x:c r="Z34" s="228" t="str">
        <x:v>zoomed</x:v>
      </x:c>
      <x:c r="AA34" s="228" t="str">
        <x:v>1</x:v>
      </x:c>
      <x:c r="AB34" s="228" t="str">
        <x:v>zoomed,ich,grid,circle</x:v>
      </x:c>
      <x:c r="AC34" s="228" t="str">
        <x:v>2245861521</x:v>
      </x:c>
      <x:c r="AD34" s="228" t="str">
        <x:v>2245861521</x:v>
      </x:c>
      <x:c r="AE34" s="228" t="str">
        <x:v>entropy,collision</x:v>
      </x:c>
      <x:c r="AF34" s="228" t="str">
        <x:v>681</x:v>
      </x:c>
      <x:c r="AG34" s="228" t="str">
        <x:v>143</x:v>
      </x:c>
      <x:c r="AH34" s="230" t="str">
        <x:v>61.63165269989986</x:v>
      </x:c>
      <x:c r="AI34" s="228" t="str">
        <x:v>True</x:v>
      </x:c>
      <x:c r="AJ34" s="228" t="str">
        <x:v>98f16068d602cd76d1f2c00a0d6f6c5b287bc676e44ecab9e9539abcf21b3820</x:v>
      </x:c>
      <x:c r="AK34" s="228" t="str">
        <x:v>0</x:v>
      </x:c>
      <x:c r="AL34" s="228" t="str">
        <x:v>0</x:v>
      </x:c>
      <x:c r="AM34" s="228" t="str"/>
      <x:c r="AN34" s="230" t="str">
        <x:v>0.10569689993280917</x:v>
      </x:c>
      <x:c r="AO34" s="228" t="str">
        <x:v>143</x:v>
      </x:c>
      <x:c r="AP34" s="228" t="str">
        <x:v>0</x:v>
      </x:c>
      <x:c r="AQ34" s="228" t="str">
        <x:v>0</x:v>
      </x:c>
      <x:c r="AR34" s="228" t="str">
        <x:v>143</x:v>
      </x:c>
      <x:c r="AS34" s="228" t="str">
        <x:v>61.73734959983267</x:v>
      </x:c>
      <x:c r="AT34" s="228" t="str">
        <x:v>True</x:v>
      </x:c>
      <x:c r="AU34" s="228" t="str">
        <x:v>98f16068d602cd76d1f2c00a0d6f6c5b287bc676e44ecab9e9539abcf21b3820</x:v>
      </x:c>
      <x:c r="AV34" s="228" t="str">
        <x:v>0</x:v>
      </x:c>
      <x:c r="AW34" s="228" t="str">
        <x:v>143</x:v>
      </x:c>
      <x:c r="AX34" s="228" t="str">
        <x:v>0</x:v>
      </x:c>
      <x:c r="AY34" s="230" t="str">
        <x:v>0.158947299933061</x:v>
      </x:c>
      <x:c r="AZ34" s="228" t="str">
        <x:v>False</x:v>
      </x:c>
      <x:c r="BA34" s="228" t="str">
        <x:v>143</x:v>
      </x:c>
      <x:c r="BB34" s="230" t="str">
        <x:v>61.89629689976573</x:v>
      </x:c>
      <x:c r="BC34" s="228" t="str">
        <x:v>True</x:v>
      </x:c>
      <x:c r="BD34" s="228" t="str">
        <x:v>98f16068d602cd76d1f2c00a0d6f6c5b287bc676e44ecab9e9539abcf21b3820</x:v>
      </x:c>
      <x:c r="BE34" s="228" t="str">
        <x:v>0</x:v>
      </x:c>
      <x:c r="BF34" s="228" t="str">
        <x:v>0</x:v>
      </x:c>
      <x:c r="BG34" s="228" t="str">
        <x:v>1</x:v>
      </x:c>
      <x:c r="BH34" s="228" t="str">
        <x:v>335</x:v>
      </x:c>
      <x:c r="BI34" s="228" t="str">
        <x:v>335</x:v>
      </x:c>
      <x:c r="BJ34" s="230" t="str">
        <x:v>32.21809130010661</x:v>
      </x:c>
      <x:c r="BK34" s="228" t="str">
        <x:v>False</x:v>
      </x:c>
      <x:c r="BL34" s="228" t="str">
        <x:v>d16e5b88b98340e07f3b96f37ab7cadbbf3ecd6c4b073c43c493409a8480a042</x:v>
      </x:c>
      <x:c r="BM34" s="228" t="str">
        <x:v>1</x:v>
      </x:c>
      <x:c r="BN34" s="228" t="str">
        <x:v>1</x:v>
      </x:c>
      <x:c r="BO34" s="228" t="str">
        <x:v>69</x:v>
      </x:c>
      <x:c r="BP34" s="230" t="str">
        <x:v>4.6385138999903575</x:v>
      </x:c>
      <x:c r="BQ34" s="228" t="str">
        <x:v>336</x:v>
      </x:c>
      <x:c r="BR34" s="228" t="str">
        <x:v>201</x:v>
      </x:c>
      <x:c r="BS34" s="228" t="str">
        <x:v>0</x:v>
      </x:c>
      <x:c r="BT34" s="228" t="str">
        <x:v>135</x:v>
      </x:c>
      <x:c r="BU34" s="228" t="str">
        <x:v>36.856605200096965</x:v>
      </x:c>
      <x:c r="BV34" s="228" t="str">
        <x:v>True</x:v>
      </x:c>
      <x:c r="BW34" s="228" t="str">
        <x:v>17406904e0c1a1d7abc1ecb06c1aba5335fe6041df551bc07e117a1f8f7c60bd</x:v>
      </x:c>
      <x:c r="BX34" s="228" t="str">
        <x:v>-200</x:v>
      </x:c>
      <x:c r="BY34" s="228" t="str">
        <x:v>135</x:v>
      </x:c>
      <x:c r="BZ34" s="228" t="str">
        <x:v>0</x:v>
      </x:c>
      <x:c r="CA34" s="230" t="str">
        <x:v>0.1633811000501737</x:v>
      </x:c>
      <x:c r="CB34" s="228" t="str">
        <x:v>False</x:v>
      </x:c>
      <x:c r="CC34" s="228" t="str">
        <x:v>135</x:v>
      </x:c>
      <x:c r="CD34" s="230" t="str">
        <x:v>37.01998630014714</x:v>
      </x:c>
      <x:c r="CE34" s="228" t="str">
        <x:v>True</x:v>
      </x:c>
      <x:c r="CF34" s="228" t="str">
        <x:v>17406904e0c1a1d7abc1ecb06c1aba5335fe6041df551bc07e117a1f8f7c60bd</x:v>
      </x:c>
      <x:c r="CG34" s="228" t="str">
        <x:v>-200</x:v>
      </x:c>
      <x:c r="CH34" s="228" t="str">
        <x:v>0</x:v>
      </x:c>
      <x:c r="CI34" s="228" t="str">
        <x:v>2</x:v>
      </x:c>
      <x:c r="CJ34" s="228" t="str">
        <x:v>False</x:v>
      </x:c>
      <x:c r="CK34" s="228" t="str">
        <x:v>True</x:v>
      </x:c>
      <x:c r="CL34" s="228" t="str">
        <x:v>True</x:v>
      </x:c>
      <x:c r="CM34" s="228" t="str">
        <x:v>entropy</x:v>
      </x:c>
      <x:c r="CN34" s="228" t="str">
        <x:v>-8</x:v>
      </x:c>
      <x:c r="CO34" s="230" t="str">
        <x:v>-24.87631059961859</x:v>
      </x:c>
      <x:c r="CP34" s="228" t="str">
        <x:v>0.9440559440559441</x:v>
      </x:c>
      <x:c r="CQ34" s="228" t="str">
        <x:v>0.5980969485153037</x:v>
      </x:c>
      <x:c r="CR34" s="228" t="str">
        <x:v>1.6719697408294212</x:v>
      </x:c>
      <x:c r="CS34" s="228" t="str">
        <x:v>collision</x:v>
      </x:c>
      <x:c r="CT34" s="228" t="str">
        <x:v>collision</x:v>
      </x:c>
      <x:c r="CU34" s="228" t="str">
        <x:v>collision_dominates</x:v>
      </x:c>
      <x:c r="CV34" s="228" t="str">
        <x:v>collision_only</x:v>
      </x:c>
      <x:c r="CW34" s="228" t="str">
        <x:v>entropy_only_valid</x:v>
      </x:c>
      <x:c r="CX34" s="228" t="str">
        <x:v>none</x:v>
      </x:c>
      <x:c r="CY34" s="228" t="str">
        <x:v>none</x:v>
      </x:c>
    </x:row>
    <x:row r="35">
      <x:c r="A35" s="228" t="str">
        <x:v>final-paired-v2</x:v>
      </x:c>
      <x:c r="B35" s="228" t="str">
        <x:v>20260819</x:v>
      </x:c>
      <x:c r="C35" s="228" t="str">
        <x:v>3</x:v>
      </x:c>
      <x:c r="D35" s="228" t="str">
        <x:v>9</x:v>
      </x:c>
      <x:c r="E35" s="228" t="str">
        <x:v>n1000_r0.5_repeat1</x:v>
      </x:c>
      <x:c r="F35" s="228" t="str">
        <x:v>1000</x:v>
      </x:c>
      <x:c r="G35" s="228" t="str">
        <x:v>0.5</x:v>
      </x:c>
      <x:c r="H35" s="228" t="str">
        <x:v>1</x:v>
      </x:c>
      <x:c r="I35" s="228" t="str">
        <x:v>1198493348</x:v>
      </x:c>
      <x:c r="J35" s="228" t="str">
        <x:v>7fd60fa5b17a6b461775e7fb0d994984703efaa69c194ecdc63fe3eab71a837a</x:v>
      </x:c>
      <x:c r="K35" s="228" t="str">
        <x:v>245987</x:v>
      </x:c>
      <x:c r="L35" s="228" t="str">
        <x:v>1</x:v>
      </x:c>
      <x:c r="M35" s="228" t="str">
        <x:v>1000</x:v>
      </x:c>
      <x:c r="N35" s="228" t="str">
        <x:v>True</x:v>
      </x:c>
      <x:c r="O35" s="228" t="str">
        <x:v>0</x:v>
      </x:c>
      <x:c r="P35" s="228" t="str">
        <x:v>491.974</x:v>
      </x:c>
      <x:c r="Q35" s="228" t="str">
        <x:v>139.9889614362504</x:v>
      </x:c>
      <x:c r="R35" s="228" t="str">
        <x:v>181</x:v>
      </x:c>
      <x:c r="S35" s="228" t="str">
        <x:v>790</x:v>
      </x:c>
      <x:c r="T35" s="228" t="str">
        <x:v>0.49246646646646647</x:v>
      </x:c>
      <x:c r="U35" s="230" t="str">
        <x:v>0.8460463000228629</x:v>
      </x:c>
      <x:c r="V35" s="230" t="str">
        <x:v>0.7400011999998242</x:v>
      </x:c>
      <x:c r="W35" s="228" t="str">
        <x:v>True</x:v>
      </x:c>
      <x:c r="X35" s="228" t="str">
        <x:v>False</x:v>
      </x:c>
      <x:c r="Y35" s="228" t="str">
        <x:v>5</x:v>
      </x:c>
      <x:c r="Z35" s="228" t="str">
        <x:v>ich</x:v>
      </x:c>
      <x:c r="AA35" s="228" t="str">
        <x:v>2</x:v>
      </x:c>
      <x:c r="AB35" s="228" t="str">
        <x:v>zoomed,ich,grid,circle</x:v>
      </x:c>
      <x:c r="AC35" s="228" t="str">
        <x:v>1622893963</x:v>
      </x:c>
      <x:c r="AD35" s="228" t="str">
        <x:v>1622893963</x:v>
      </x:c>
      <x:c r="AE35" s="228" t="str">
        <x:v>entropy,collision</x:v>
      </x:c>
      <x:c r="AF35" s="228" t="str">
        <x:v>116</x:v>
      </x:c>
      <x:c r="AG35" s="228" t="str">
        <x:v>116</x:v>
      </x:c>
      <x:c r="AH35" s="230" t="str">
        <x:v>203.24568020005245</x:v>
      </x:c>
      <x:c r="AI35" s="228" t="str">
        <x:v>True</x:v>
      </x:c>
      <x:c r="AJ35" s="228" t="str">
        <x:v>fef55e11ae0604de847d707ae3e90497e8162dbe689c11050e6b25b916fc07a3</x:v>
      </x:c>
      <x:c r="AK35" s="228" t="str">
        <x:v>0</x:v>
      </x:c>
      <x:c r="AL35" s="228" t="str">
        <x:v>0</x:v>
      </x:c>
      <x:c r="AM35" s="228" t="str"/>
      <x:c r="AN35" s="230" t="str">
        <x:v>0.08698310004547238</x:v>
      </x:c>
      <x:c r="AO35" s="228" t="str">
        <x:v>116</x:v>
      </x:c>
      <x:c r="AP35" s="228" t="str">
        <x:v>0</x:v>
      </x:c>
      <x:c r="AQ35" s="228" t="str">
        <x:v>0</x:v>
      </x:c>
      <x:c r="AR35" s="228" t="str">
        <x:v>116</x:v>
      </x:c>
      <x:c r="AS35" s="228" t="str">
        <x:v>203.33266330009792</x:v>
      </x:c>
      <x:c r="AT35" s="228" t="str">
        <x:v>True</x:v>
      </x:c>
      <x:c r="AU35" s="228" t="str">
        <x:v>fef55e11ae0604de847d707ae3e90497e8162dbe689c11050e6b25b916fc07a3</x:v>
      </x:c>
      <x:c r="AV35" s="228" t="str">
        <x:v>0</x:v>
      </x:c>
      <x:c r="AW35" s="228" t="str">
        <x:v>116</x:v>
      </x:c>
      <x:c r="AX35" s="228" t="str">
        <x:v>3</x:v>
      </x:c>
      <x:c r="AY35" s="230" t="str">
        <x:v>0.25822179997339845</x:v>
      </x:c>
      <x:c r="AZ35" s="228" t="str">
        <x:v>False</x:v>
      </x:c>
      <x:c r="BA35" s="228" t="str">
        <x:v>113</x:v>
      </x:c>
      <x:c r="BB35" s="230" t="str">
        <x:v>203.59088510007132</x:v>
      </x:c>
      <x:c r="BC35" s="228" t="str">
        <x:v>True</x:v>
      </x:c>
      <x:c r="BD35" s="228" t="str">
        <x:v>0bb94f387fc73787d63614fea54e57cb7dde9cff6aede98281d0bb617595dc66</x:v>
      </x:c>
      <x:c r="BE35" s="228" t="str">
        <x:v>-3</x:v>
      </x:c>
      <x:c r="BF35" s="228" t="str">
        <x:v>0</x:v>
      </x:c>
      <x:c r="BG35" s="228" t="str">
        <x:v>1</x:v>
      </x:c>
      <x:c r="BH35" s="228" t="str">
        <x:v>118</x:v>
      </x:c>
      <x:c r="BI35" s="228" t="str">
        <x:v>118</x:v>
      </x:c>
      <x:c r="BJ35" s="230" t="str">
        <x:v>198.22569089999888</x:v>
      </x:c>
      <x:c r="BK35" s="228" t="str">
        <x:v>True</x:v>
      </x:c>
      <x:c r="BL35" s="228" t="str">
        <x:v>8b16257407dea03450c9d00cb314cfdb26ce04b48c667fcdb9fa3c23c4e97cc1</x:v>
      </x:c>
      <x:c r="BM35" s="228" t="str">
        <x:v>0</x:v>
      </x:c>
      <x:c r="BN35" s="228" t="str">
        <x:v>0</x:v>
      </x:c>
      <x:c r="BO35" s="228" t="str"/>
      <x:c r="BP35" s="230" t="str">
        <x:v>0.09831440006382763</x:v>
      </x:c>
      <x:c r="BQ35" s="228" t="str">
        <x:v>118</x:v>
      </x:c>
      <x:c r="BR35" s="228" t="str">
        <x:v>0</x:v>
      </x:c>
      <x:c r="BS35" s="228" t="str">
        <x:v>0</x:v>
      </x:c>
      <x:c r="BT35" s="228" t="str">
        <x:v>118</x:v>
      </x:c>
      <x:c r="BU35" s="228" t="str">
        <x:v>198.3240053000627</x:v>
      </x:c>
      <x:c r="BV35" s="228" t="str">
        <x:v>True</x:v>
      </x:c>
      <x:c r="BW35" s="228" t="str">
        <x:v>8b16257407dea03450c9d00cb314cfdb26ce04b48c667fcdb9fa3c23c4e97cc1</x:v>
      </x:c>
      <x:c r="BX35" s="228" t="str">
        <x:v>0</x:v>
      </x:c>
      <x:c r="BY35" s="228" t="str">
        <x:v>118</x:v>
      </x:c>
      <x:c r="BZ35" s="228" t="str">
        <x:v>2</x:v>
      </x:c>
      <x:c r="CA35" s="230" t="str">
        <x:v>0.18966339994221926</x:v>
      </x:c>
      <x:c r="CB35" s="228" t="str">
        <x:v>False</x:v>
      </x:c>
      <x:c r="CC35" s="228" t="str">
        <x:v>116</x:v>
      </x:c>
      <x:c r="CD35" s="230" t="str">
        <x:v>198.51366870000493</x:v>
      </x:c>
      <x:c r="CE35" s="228" t="str">
        <x:v>True</x:v>
      </x:c>
      <x:c r="CF35" s="228" t="str">
        <x:v>d11e168ec83ac169e42b51e6f6ad2abc7c9a1c3f045db35be23c09792c652138</x:v>
      </x:c>
      <x:c r="CG35" s="228" t="str">
        <x:v>-2</x:v>
      </x:c>
      <x:c r="CH35" s="228" t="str">
        <x:v>0</x:v>
      </x:c>
      <x:c r="CI35" s="228" t="str">
        <x:v>2</x:v>
      </x:c>
      <x:c r="CJ35" s="228" t="str">
        <x:v>True</x:v>
      </x:c>
      <x:c r="CK35" s="228" t="str">
        <x:v>True</x:v>
      </x:c>
      <x:c r="CL35" s="228" t="str">
        <x:v>True</x:v>
      </x:c>
      <x:c r="CM35" s="228" t="str">
        <x:v>entropy</x:v>
      </x:c>
      <x:c r="CN35" s="228" t="str">
        <x:v>3</x:v>
      </x:c>
      <x:c r="CO35" s="230" t="str">
        <x:v>-5.077216400066391</x:v>
      </x:c>
      <x:c r="CP35" s="228" t="str">
        <x:v>1.0265486725663717</x:v>
      </x:c>
      <x:c r="CQ35" s="228" t="str">
        <x:v>0.9750616713632795</x:v>
      </x:c>
      <x:c r="CR35" s="228" t="str">
        <x:v>1.0255761552003713</x:v>
      </x:c>
      <x:c r="CS35" s="228" t="str">
        <x:v>entropy</x:v>
      </x:c>
      <x:c r="CT35" s="228" t="str">
        <x:v>collision</x:v>
      </x:c>
      <x:c r="CU35" s="228" t="str">
        <x:v>tradeoff</x:v>
      </x:c>
      <x:c r="CV35" s="228" t="str">
        <x:v>neither</x:v>
      </x:c>
      <x:c r="CW35" s="228" t="str">
        <x:v>both_valid</x:v>
      </x:c>
      <x:c r="CX35" s="228" t="str">
        <x:v>none</x:v>
      </x:c>
      <x:c r="CY35" s="228" t="str">
        <x:v>none</x:v>
      </x:c>
    </x:row>
    <x:row r="36">
      <x:c r="A36" s="228" t="str">
        <x:v>final-paired-v2</x:v>
      </x:c>
      <x:c r="B36" s="228" t="str">
        <x:v>20260819</x:v>
      </x:c>
      <x:c r="C36" s="228" t="str">
        <x:v>3</x:v>
      </x:c>
      <x:c r="D36" s="228" t="str">
        <x:v>9</x:v>
      </x:c>
      <x:c r="E36" s="228" t="str">
        <x:v>n1000_r0.5_repeat1</x:v>
      </x:c>
      <x:c r="F36" s="228" t="str">
        <x:v>1000</x:v>
      </x:c>
      <x:c r="G36" s="228" t="str">
        <x:v>0.5</x:v>
      </x:c>
      <x:c r="H36" s="228" t="str">
        <x:v>1</x:v>
      </x:c>
      <x:c r="I36" s="228" t="str">
        <x:v>1198493348</x:v>
      </x:c>
      <x:c r="J36" s="228" t="str">
        <x:v>7fd60fa5b17a6b461775e7fb0d994984703efaa69c194ecdc63fe3eab71a837a</x:v>
      </x:c>
      <x:c r="K36" s="228" t="str">
        <x:v>245987</x:v>
      </x:c>
      <x:c r="L36" s="228" t="str">
        <x:v>1</x:v>
      </x:c>
      <x:c r="M36" s="228" t="str">
        <x:v>1000</x:v>
      </x:c>
      <x:c r="N36" s="228" t="str">
        <x:v>True</x:v>
      </x:c>
      <x:c r="O36" s="228" t="str">
        <x:v>0</x:v>
      </x:c>
      <x:c r="P36" s="228" t="str">
        <x:v>491.974</x:v>
      </x:c>
      <x:c r="Q36" s="228" t="str">
        <x:v>139.9889614362504</x:v>
      </x:c>
      <x:c r="R36" s="228" t="str">
        <x:v>181</x:v>
      </x:c>
      <x:c r="S36" s="228" t="str">
        <x:v>790</x:v>
      </x:c>
      <x:c r="T36" s="228" t="str">
        <x:v>0.49246646646646647</x:v>
      </x:c>
      <x:c r="U36" s="230" t="str">
        <x:v>0.8460463000228629</x:v>
      </x:c>
      <x:c r="V36" s="230" t="str">
        <x:v>0.7400011999998242</x:v>
      </x:c>
      <x:c r="W36" s="228" t="str">
        <x:v>True</x:v>
      </x:c>
      <x:c r="X36" s="228" t="str">
        <x:v>False</x:v>
      </x:c>
      <x:c r="Y36" s="228" t="str">
        <x:v>5</x:v>
      </x:c>
      <x:c r="Z36" s="228" t="str">
        <x:v>grid</x:v>
      </x:c>
      <x:c r="AA36" s="228" t="str">
        <x:v>3</x:v>
      </x:c>
      <x:c r="AB36" s="228" t="str">
        <x:v>zoomed,ich,grid,circle</x:v>
      </x:c>
      <x:c r="AC36" s="228" t="str">
        <x:v>3646486301</x:v>
      </x:c>
      <x:c r="AD36" s="228" t="str">
        <x:v>3646486301</x:v>
      </x:c>
      <x:c r="AE36" s="228" t="str">
        <x:v>entropy,collision</x:v>
      </x:c>
      <x:c r="AF36" s="228" t="str">
        <x:v>598</x:v>
      </x:c>
      <x:c r="AG36" s="228" t="str">
        <x:v>149</x:v>
      </x:c>
      <x:c r="AH36" s="230" t="str">
        <x:v>138.8062700999435</x:v>
      </x:c>
      <x:c r="AI36" s="228" t="str">
        <x:v>True</x:v>
      </x:c>
      <x:c r="AJ36" s="228" t="str">
        <x:v>384c0ec8e0cdcbf91d8b9cc3bc5537c1f3f8a716ce59e5a91d404df8b492a9b6</x:v>
      </x:c>
      <x:c r="AK36" s="228" t="str">
        <x:v>0</x:v>
      </x:c>
      <x:c r="AL36" s="228" t="str">
        <x:v>0</x:v>
      </x:c>
      <x:c r="AM36" s="228" t="str"/>
      <x:c r="AN36" s="230" t="str">
        <x:v>0.11404100002255291</x:v>
      </x:c>
      <x:c r="AO36" s="228" t="str">
        <x:v>149</x:v>
      </x:c>
      <x:c r="AP36" s="228" t="str">
        <x:v>0</x:v>
      </x:c>
      <x:c r="AQ36" s="228" t="str">
        <x:v>0</x:v>
      </x:c>
      <x:c r="AR36" s="228" t="str">
        <x:v>149</x:v>
      </x:c>
      <x:c r="AS36" s="228" t="str">
        <x:v>138.92031109996606</x:v>
      </x:c>
      <x:c r="AT36" s="228" t="str">
        <x:v>True</x:v>
      </x:c>
      <x:c r="AU36" s="228" t="str">
        <x:v>384c0ec8e0cdcbf91d8b9cc3bc5537c1f3f8a716ce59e5a91d404df8b492a9b6</x:v>
      </x:c>
      <x:c r="AV36" s="228" t="str">
        <x:v>0</x:v>
      </x:c>
      <x:c r="AW36" s="228" t="str">
        <x:v>149</x:v>
      </x:c>
      <x:c r="AX36" s="228" t="str">
        <x:v>0</x:v>
      </x:c>
      <x:c r="AY36" s="230" t="str">
        <x:v>0.13653700007125735</x:v>
      </x:c>
      <x:c r="AZ36" s="228" t="str">
        <x:v>False</x:v>
      </x:c>
      <x:c r="BA36" s="228" t="str">
        <x:v>149</x:v>
      </x:c>
      <x:c r="BB36" s="230" t="str">
        <x:v>139.0568481000373</x:v>
      </x:c>
      <x:c r="BC36" s="228" t="str">
        <x:v>True</x:v>
      </x:c>
      <x:c r="BD36" s="228" t="str">
        <x:v>384c0ec8e0cdcbf91d8b9cc3bc5537c1f3f8a716ce59e5a91d404df8b492a9b6</x:v>
      </x:c>
      <x:c r="BE36" s="228" t="str">
        <x:v>0</x:v>
      </x:c>
      <x:c r="BF36" s="228" t="str">
        <x:v>0</x:v>
      </x:c>
      <x:c r="BG36" s="228" t="str">
        <x:v>1</x:v>
      </x:c>
      <x:c r="BH36" s="228" t="str">
        <x:v>120</x:v>
      </x:c>
      <x:c r="BI36" s="228" t="str">
        <x:v>116</x:v>
      </x:c>
      <x:c r="BJ36" s="230" t="str">
        <x:v>60.66373899998143</x:v>
      </x:c>
      <x:c r="BK36" s="228" t="str">
        <x:v>True</x:v>
      </x:c>
      <x:c r="BL36" s="228" t="str">
        <x:v>ec0601ea80d95ca92c7970f60591262233a70aa1885590e691d67618756d9d27</x:v>
      </x:c>
      <x:c r="BM36" s="228" t="str">
        <x:v>0</x:v>
      </x:c>
      <x:c r="BN36" s="228" t="str">
        <x:v>0</x:v>
      </x:c>
      <x:c r="BO36" s="228" t="str"/>
      <x:c r="BP36" s="230" t="str">
        <x:v>0.07756340003106743</x:v>
      </x:c>
      <x:c r="BQ36" s="228" t="str">
        <x:v>116</x:v>
      </x:c>
      <x:c r="BR36" s="228" t="str">
        <x:v>0</x:v>
      </x:c>
      <x:c r="BS36" s="228" t="str">
        <x:v>0</x:v>
      </x:c>
      <x:c r="BT36" s="228" t="str">
        <x:v>116</x:v>
      </x:c>
      <x:c r="BU36" s="228" t="str">
        <x:v>60.7413024000125</x:v>
      </x:c>
      <x:c r="BV36" s="228" t="str">
        <x:v>True</x:v>
      </x:c>
      <x:c r="BW36" s="228" t="str">
        <x:v>ec0601ea80d95ca92c7970f60591262233a70aa1885590e691d67618756d9d27</x:v>
      </x:c>
      <x:c r="BX36" s="228" t="str">
        <x:v>0</x:v>
      </x:c>
      <x:c r="BY36" s="228" t="str">
        <x:v>116</x:v>
      </x:c>
      <x:c r="BZ36" s="228" t="str">
        <x:v>0</x:v>
      </x:c>
      <x:c r="CA36" s="230" t="str">
        <x:v>0.17009290005080402</x:v>
      </x:c>
      <x:c r="CB36" s="228" t="str">
        <x:v>False</x:v>
      </x:c>
      <x:c r="CC36" s="228" t="str">
        <x:v>116</x:v>
      </x:c>
      <x:c r="CD36" s="230" t="str">
        <x:v>60.911395300063305</x:v>
      </x:c>
      <x:c r="CE36" s="228" t="str">
        <x:v>True</x:v>
      </x:c>
      <x:c r="CF36" s="228" t="str">
        <x:v>ec0601ea80d95ca92c7970f60591262233a70aa1885590e691d67618756d9d27</x:v>
      </x:c>
      <x:c r="CG36" s="228" t="str">
        <x:v>0</x:v>
      </x:c>
      <x:c r="CH36" s="228" t="str">
        <x:v>0</x:v>
      </x:c>
      <x:c r="CI36" s="228" t="str">
        <x:v>2</x:v>
      </x:c>
      <x:c r="CJ36" s="228" t="str">
        <x:v>True</x:v>
      </x:c>
      <x:c r="CK36" s="228" t="str">
        <x:v>True</x:v>
      </x:c>
      <x:c r="CL36" s="228" t="str">
        <x:v>True</x:v>
      </x:c>
      <x:c r="CM36" s="228" t="str">
        <x:v>collision</x:v>
      </x:c>
      <x:c r="CN36" s="228" t="str">
        <x:v>-33</x:v>
      </x:c>
      <x:c r="CO36" s="230" t="str">
        <x:v>-78.14545279997401</x:v>
      </x:c>
      <x:c r="CP36" s="228" t="str">
        <x:v>0.7785234899328859</x:v>
      </x:c>
      <x:c r="CQ36" s="228" t="str">
        <x:v>0.4380323308942234</x:v>
      </x:c>
      <x:c r="CR36" s="228" t="str">
        <x:v>2.282936508267654</x:v>
      </x:c>
      <x:c r="CS36" s="228" t="str">
        <x:v>collision</x:v>
      </x:c>
      <x:c r="CT36" s="228" t="str">
        <x:v>collision</x:v>
      </x:c>
      <x:c r="CU36" s="228" t="str">
        <x:v>collision_dominates</x:v>
      </x:c>
      <x:c r="CV36" s="228" t="str">
        <x:v>neither</x:v>
      </x:c>
      <x:c r="CW36" s="228" t="str">
        <x:v>both_valid</x:v>
      </x:c>
      <x:c r="CX36" s="228" t="str">
        <x:v>entropy_much_larger</x:v>
      </x:c>
      <x:c r="CY36" s="228" t="str">
        <x:v>collision_at_least_2x_faster</x:v>
      </x:c>
    </x:row>
    <x:row r="37">
      <x:c r="A37" s="228" t="str">
        <x:v>final-paired-v2</x:v>
      </x:c>
      <x:c r="B37" s="228" t="str">
        <x:v>20260819</x:v>
      </x:c>
      <x:c r="C37" s="228" t="str">
        <x:v>3</x:v>
      </x:c>
      <x:c r="D37" s="228" t="str">
        <x:v>9</x:v>
      </x:c>
      <x:c r="E37" s="228" t="str">
        <x:v>n1000_r0.5_repeat1</x:v>
      </x:c>
      <x:c r="F37" s="228" t="str">
        <x:v>1000</x:v>
      </x:c>
      <x:c r="G37" s="228" t="str">
        <x:v>0.5</x:v>
      </x:c>
      <x:c r="H37" s="228" t="str">
        <x:v>1</x:v>
      </x:c>
      <x:c r="I37" s="228" t="str">
        <x:v>1198493348</x:v>
      </x:c>
      <x:c r="J37" s="228" t="str">
        <x:v>7fd60fa5b17a6b461775e7fb0d994984703efaa69c194ecdc63fe3eab71a837a</x:v>
      </x:c>
      <x:c r="K37" s="228" t="str">
        <x:v>245987</x:v>
      </x:c>
      <x:c r="L37" s="228" t="str">
        <x:v>1</x:v>
      </x:c>
      <x:c r="M37" s="228" t="str">
        <x:v>1000</x:v>
      </x:c>
      <x:c r="N37" s="228" t="str">
        <x:v>True</x:v>
      </x:c>
      <x:c r="O37" s="228" t="str">
        <x:v>0</x:v>
      </x:c>
      <x:c r="P37" s="228" t="str">
        <x:v>491.974</x:v>
      </x:c>
      <x:c r="Q37" s="228" t="str">
        <x:v>139.9889614362504</x:v>
      </x:c>
      <x:c r="R37" s="228" t="str">
        <x:v>181</x:v>
      </x:c>
      <x:c r="S37" s="228" t="str">
        <x:v>790</x:v>
      </x:c>
      <x:c r="T37" s="228" t="str">
        <x:v>0.49246646646646647</x:v>
      </x:c>
      <x:c r="U37" s="230" t="str">
        <x:v>0.8460463000228629</x:v>
      </x:c>
      <x:c r="V37" s="230" t="str">
        <x:v>0.7400011999998242</x:v>
      </x:c>
      <x:c r="W37" s="228" t="str">
        <x:v>True</x:v>
      </x:c>
      <x:c r="X37" s="228" t="str">
        <x:v>False</x:v>
      </x:c>
      <x:c r="Y37" s="228" t="str">
        <x:v>5</x:v>
      </x:c>
      <x:c r="Z37" s="228" t="str">
        <x:v>circle</x:v>
      </x:c>
      <x:c r="AA37" s="228" t="str">
        <x:v>4</x:v>
      </x:c>
      <x:c r="AB37" s="228" t="str">
        <x:v>zoomed,ich,grid,circle</x:v>
      </x:c>
      <x:c r="AC37" s="228" t="str">
        <x:v>3263448271</x:v>
      </x:c>
      <x:c r="AD37" s="228" t="str">
        <x:v>3263448271</x:v>
      </x:c>
      <x:c r="AE37" s="228" t="str">
        <x:v>entropy,collision</x:v>
      </x:c>
      <x:c r="AF37" s="228" t="str">
        <x:v>870</x:v>
      </x:c>
      <x:c r="AG37" s="228" t="str">
        <x:v>140</x:v>
      </x:c>
      <x:c r="AH37" s="230" t="str">
        <x:v>22.58435440005269</x:v>
      </x:c>
      <x:c r="AI37" s="228" t="str">
        <x:v>True</x:v>
      </x:c>
      <x:c r="AJ37" s="228" t="str">
        <x:v>510528c6998bdaa2324c9072984cb75df54c59a8c5598215ec2a4450fea38e9f</x:v>
      </x:c>
      <x:c r="AK37" s="228" t="str">
        <x:v>0</x:v>
      </x:c>
      <x:c r="AL37" s="228" t="str">
        <x:v>0</x:v>
      </x:c>
      <x:c r="AM37" s="228" t="str"/>
      <x:c r="AN37" s="230" t="str">
        <x:v>0.15620750002563</x:v>
      </x:c>
      <x:c r="AO37" s="228" t="str">
        <x:v>140</x:v>
      </x:c>
      <x:c r="AP37" s="228" t="str">
        <x:v>0</x:v>
      </x:c>
      <x:c r="AQ37" s="228" t="str">
        <x:v>0</x:v>
      </x:c>
      <x:c r="AR37" s="228" t="str">
        <x:v>140</x:v>
      </x:c>
      <x:c r="AS37" s="228" t="str">
        <x:v>22.74056190007832</x:v>
      </x:c>
      <x:c r="AT37" s="228" t="str">
        <x:v>True</x:v>
      </x:c>
      <x:c r="AU37" s="228" t="str">
        <x:v>510528c6998bdaa2324c9072984cb75df54c59a8c5598215ec2a4450fea38e9f</x:v>
      </x:c>
      <x:c r="AV37" s="228" t="str">
        <x:v>0</x:v>
      </x:c>
      <x:c r="AW37" s="228" t="str">
        <x:v>140</x:v>
      </x:c>
      <x:c r="AX37" s="228" t="str">
        <x:v>0</x:v>
      </x:c>
      <x:c r="AY37" s="230" t="str">
        <x:v>0.18271840002853423</x:v>
      </x:c>
      <x:c r="AZ37" s="228" t="str">
        <x:v>False</x:v>
      </x:c>
      <x:c r="BA37" s="228" t="str">
        <x:v>140</x:v>
      </x:c>
      <x:c r="BB37" s="230" t="str">
        <x:v>22.923280300106853</x:v>
      </x:c>
      <x:c r="BC37" s="228" t="str">
        <x:v>True</x:v>
      </x:c>
      <x:c r="BD37" s="228" t="str">
        <x:v>510528c6998bdaa2324c9072984cb75df54c59a8c5598215ec2a4450fea38e9f</x:v>
      </x:c>
      <x:c r="BE37" s="228" t="str">
        <x:v>0</x:v>
      </x:c>
      <x:c r="BF37" s="228" t="str">
        <x:v>0</x:v>
      </x:c>
      <x:c r="BG37" s="228" t="str">
        <x:v>1</x:v>
      </x:c>
      <x:c r="BH37" s="228" t="str">
        <x:v>860</x:v>
      </x:c>
      <x:c r="BI37" s="228" t="str">
        <x:v>139</x:v>
      </x:c>
      <x:c r="BJ37" s="230" t="str">
        <x:v>23.660112699959427</x:v>
      </x:c>
      <x:c r="BK37" s="228" t="str">
        <x:v>True</x:v>
      </x:c>
      <x:c r="BL37" s="228" t="str">
        <x:v>53fce7f6ef483f0322d152f1a456c736fc6f35762dd3bf05209852ee368baec3</x:v>
      </x:c>
      <x:c r="BM37" s="228" t="str">
        <x:v>0</x:v>
      </x:c>
      <x:c r="BN37" s="228" t="str">
        <x:v>0</x:v>
      </x:c>
      <x:c r="BO37" s="228" t="str"/>
      <x:c r="BP37" s="230" t="str">
        <x:v>0.08421120001003146</x:v>
      </x:c>
      <x:c r="BQ37" s="228" t="str">
        <x:v>139</x:v>
      </x:c>
      <x:c r="BR37" s="228" t="str">
        <x:v>0</x:v>
      </x:c>
      <x:c r="BS37" s="228" t="str">
        <x:v>0</x:v>
      </x:c>
      <x:c r="BT37" s="228" t="str">
        <x:v>139</x:v>
      </x:c>
      <x:c r="BU37" s="228" t="str">
        <x:v>23.74432389996946</x:v>
      </x:c>
      <x:c r="BV37" s="228" t="str">
        <x:v>True</x:v>
      </x:c>
      <x:c r="BW37" s="228" t="str">
        <x:v>53fce7f6ef483f0322d152f1a456c736fc6f35762dd3bf05209852ee368baec3</x:v>
      </x:c>
      <x:c r="BX37" s="228" t="str">
        <x:v>0</x:v>
      </x:c>
      <x:c r="BY37" s="228" t="str">
        <x:v>139</x:v>
      </x:c>
      <x:c r="BZ37" s="228" t="str">
        <x:v>0</x:v>
      </x:c>
      <x:c r="CA37" s="230" t="str">
        <x:v>0.1337412999710068</x:v>
      </x:c>
      <x:c r="CB37" s="228" t="str">
        <x:v>False</x:v>
      </x:c>
      <x:c r="CC37" s="228" t="str">
        <x:v>139</x:v>
      </x:c>
      <x:c r="CD37" s="230" t="str">
        <x:v>23.878065199940465</x:v>
      </x:c>
      <x:c r="CE37" s="228" t="str">
        <x:v>True</x:v>
      </x:c>
      <x:c r="CF37" s="228" t="str">
        <x:v>53fce7f6ef483f0322d152f1a456c736fc6f35762dd3bf05209852ee368baec3</x:v>
      </x:c>
      <x:c r="CG37" s="228" t="str">
        <x:v>0</x:v>
      </x:c>
      <x:c r="CH37" s="228" t="str">
        <x:v>0</x:v>
      </x:c>
      <x:c r="CI37" s="228" t="str">
        <x:v>2</x:v>
      </x:c>
      <x:c r="CJ37" s="228" t="str">
        <x:v>True</x:v>
      </x:c>
      <x:c r="CK37" s="228" t="str">
        <x:v>True</x:v>
      </x:c>
      <x:c r="CL37" s="228" t="str">
        <x:v>True</x:v>
      </x:c>
      <x:c r="CM37" s="228" t="str">
        <x:v>collision</x:v>
      </x:c>
      <x:c r="CN37" s="228" t="str">
        <x:v>-1</x:v>
      </x:c>
      <x:c r="CO37" s="230" t="str">
        <x:v>0.9547848998336121</x:v>
      </x:c>
      <x:c r="CP37" s="228" t="str">
        <x:v>0.9928571428571429</x:v>
      </x:c>
      <x:c r="CQ37" s="228" t="str">
        <x:v>1.0416513207243363</x:v>
      </x:c>
      <x:c r="CR37" s="228" t="str">
        <x:v>0.9600141430288082</x:v>
      </x:c>
      <x:c r="CS37" s="228" t="str">
        <x:v>collision</x:v>
      </x:c>
      <x:c r="CT37" s="228" t="str">
        <x:v>entropy</x:v>
      </x:c>
      <x:c r="CU37" s="228" t="str">
        <x:v>tradeoff</x:v>
      </x:c>
      <x:c r="CV37" s="228" t="str">
        <x:v>neither</x:v>
      </x:c>
      <x:c r="CW37" s="228" t="str">
        <x:v>both_valid</x:v>
      </x:c>
      <x:c r="CX37" s="228" t="str">
        <x:v>none</x:v>
      </x:c>
      <x:c r="CY37" s="228" t="str">
        <x:v>none</x:v>
      </x:c>
    </x:row>
    <x:row r="38">
      <x:c r="A38" s="228" t="str">
        <x:v>final-paired-v2</x:v>
      </x:c>
      <x:c r="B38" s="228" t="str">
        <x:v>20260819</x:v>
      </x:c>
      <x:c r="C38" s="228" t="str">
        <x:v>3</x:v>
      </x:c>
      <x:c r="D38" s="228" t="str">
        <x:v>10</x:v>
      </x:c>
      <x:c r="E38" s="228" t="str">
        <x:v>n1000_r0.5_repeat2</x:v>
      </x:c>
      <x:c r="F38" s="228" t="str">
        <x:v>1000</x:v>
      </x:c>
      <x:c r="G38" s="228" t="str">
        <x:v>0.5</x:v>
      </x:c>
      <x:c r="H38" s="228" t="str">
        <x:v>2</x:v>
      </x:c>
      <x:c r="I38" s="228" t="str">
        <x:v>842229832</x:v>
      </x:c>
      <x:c r="J38" s="228" t="str">
        <x:v>95c56b1d7c050bc3b27241a742a0ba8d7c320b898e7b80878958c7232414cb9f</x:v>
      </x:c>
      <x:c r="K38" s="228" t="str">
        <x:v>239250</x:v>
      </x:c>
      <x:c r="L38" s="228" t="str">
        <x:v>1</x:v>
      </x:c>
      <x:c r="M38" s="228" t="str">
        <x:v>1000</x:v>
      </x:c>
      <x:c r="N38" s="228" t="str">
        <x:v>True</x:v>
      </x:c>
      <x:c r="O38" s="228" t="str">
        <x:v>0</x:v>
      </x:c>
      <x:c r="P38" s="228" t="str">
        <x:v>478.5</x:v>
      </x:c>
      <x:c r="Q38" s="228" t="str">
        <x:v>133.64095929018168</x:v>
      </x:c>
      <x:c r="R38" s="228" t="str">
        <x:v>181</x:v>
      </x:c>
      <x:c r="S38" s="228" t="str">
        <x:v>786</x:v>
      </x:c>
      <x:c r="T38" s="228" t="str">
        <x:v>0.47897897897897895</x:v>
      </x:c>
      <x:c r="U38" s="230" t="str">
        <x:v>0.9814169000601396</x:v>
      </x:c>
      <x:c r="V38" s="230" t="str">
        <x:v>0.8945404998958111</x:v>
      </x:c>
      <x:c r="W38" s="228" t="str">
        <x:v>True</x:v>
      </x:c>
      <x:c r="X38" s="228" t="str">
        <x:v>False</x:v>
      </x:c>
      <x:c r="Y38" s="228" t="str">
        <x:v>5</x:v>
      </x:c>
      <x:c r="Z38" s="228" t="str">
        <x:v>ich</x:v>
      </x:c>
      <x:c r="AA38" s="228" t="str">
        <x:v>1</x:v>
      </x:c>
      <x:c r="AB38" s="228" t="str">
        <x:v>ich,grid,circle,zoomed</x:v>
      </x:c>
      <x:c r="AC38" s="228" t="str">
        <x:v>367493991</x:v>
      </x:c>
      <x:c r="AD38" s="228" t="str">
        <x:v>367493991</x:v>
      </x:c>
      <x:c r="AE38" s="228" t="str">
        <x:v>collision,entropy</x:v>
      </x:c>
      <x:c r="AF38" s="228" t="str">
        <x:v>121</x:v>
      </x:c>
      <x:c r="AG38" s="228" t="str">
        <x:v>121</x:v>
      </x:c>
      <x:c r="AH38" s="230" t="str">
        <x:v>215.30900110001676</x:v>
      </x:c>
      <x:c r="AI38" s="228" t="str">
        <x:v>True</x:v>
      </x:c>
      <x:c r="AJ38" s="228" t="str">
        <x:v>79e361272fdb0a0bdbc66da8acd657b2f8ab1c7cfb67761fd996d2bf920e6fc4</x:v>
      </x:c>
      <x:c r="AK38" s="228" t="str">
        <x:v>0</x:v>
      </x:c>
      <x:c r="AL38" s="228" t="str">
        <x:v>0</x:v>
      </x:c>
      <x:c r="AM38" s="228" t="str"/>
      <x:c r="AN38" s="230" t="str">
        <x:v>0.09563120000530034</x:v>
      </x:c>
      <x:c r="AO38" s="228" t="str">
        <x:v>121</x:v>
      </x:c>
      <x:c r="AP38" s="228" t="str">
        <x:v>0</x:v>
      </x:c>
      <x:c r="AQ38" s="228" t="str">
        <x:v>0</x:v>
      </x:c>
      <x:c r="AR38" s="228" t="str">
        <x:v>121</x:v>
      </x:c>
      <x:c r="AS38" s="228" t="str">
        <x:v>215.40463230002206</x:v>
      </x:c>
      <x:c r="AT38" s="228" t="str">
        <x:v>True</x:v>
      </x:c>
      <x:c r="AU38" s="228" t="str">
        <x:v>79e361272fdb0a0bdbc66da8acd657b2f8ab1c7cfb67761fd996d2bf920e6fc4</x:v>
      </x:c>
      <x:c r="AV38" s="228" t="str">
        <x:v>0</x:v>
      </x:c>
      <x:c r="AW38" s="228" t="str">
        <x:v>121</x:v>
      </x:c>
      <x:c r="AX38" s="228" t="str">
        <x:v>3</x:v>
      </x:c>
      <x:c r="AY38" s="230" t="str">
        <x:v>0.2630216999677941</x:v>
      </x:c>
      <x:c r="AZ38" s="228" t="str">
        <x:v>False</x:v>
      </x:c>
      <x:c r="BA38" s="228" t="str">
        <x:v>118</x:v>
      </x:c>
      <x:c r="BB38" s="230" t="str">
        <x:v>215.66765399998985</x:v>
      </x:c>
      <x:c r="BC38" s="228" t="str">
        <x:v>True</x:v>
      </x:c>
      <x:c r="BD38" s="228" t="str">
        <x:v>04a39f88e97f059282ff528000f8b7941e617e51489df4c84842bddc09e650f9</x:v>
      </x:c>
      <x:c r="BE38" s="228" t="str">
        <x:v>-3</x:v>
      </x:c>
      <x:c r="BF38" s="228" t="str">
        <x:v>0</x:v>
      </x:c>
      <x:c r="BG38" s="228" t="str">
        <x:v>2</x:v>
      </x:c>
      <x:c r="BH38" s="228" t="str">
        <x:v>120</x:v>
      </x:c>
      <x:c r="BI38" s="228" t="str">
        <x:v>120</x:v>
      </x:c>
      <x:c r="BJ38" s="230" t="str">
        <x:v>230.1334099000087</x:v>
      </x:c>
      <x:c r="BK38" s="228" t="str">
        <x:v>True</x:v>
      </x:c>
      <x:c r="BL38" s="228" t="str">
        <x:v>02b2586d879095cde65ddbec485a1dd33ccd47ed8aefb57688602d48656c828a</x:v>
      </x:c>
      <x:c r="BM38" s="228" t="str">
        <x:v>0</x:v>
      </x:c>
      <x:c r="BN38" s="228" t="str">
        <x:v>0</x:v>
      </x:c>
      <x:c r="BO38" s="228" t="str"/>
      <x:c r="BP38" s="230" t="str">
        <x:v>0.12990479997824878</x:v>
      </x:c>
      <x:c r="BQ38" s="228" t="str">
        <x:v>120</x:v>
      </x:c>
      <x:c r="BR38" s="228" t="str">
        <x:v>0</x:v>
      </x:c>
      <x:c r="BS38" s="228" t="str">
        <x:v>0</x:v>
      </x:c>
      <x:c r="BT38" s="228" t="str">
        <x:v>120</x:v>
      </x:c>
      <x:c r="BU38" s="228" t="str">
        <x:v>230.26331469998695</x:v>
      </x:c>
      <x:c r="BV38" s="228" t="str">
        <x:v>True</x:v>
      </x:c>
      <x:c r="BW38" s="228" t="str">
        <x:v>02b2586d879095cde65ddbec485a1dd33ccd47ed8aefb57688602d48656c828a</x:v>
      </x:c>
      <x:c r="BX38" s="228" t="str">
        <x:v>0</x:v>
      </x:c>
      <x:c r="BY38" s="228" t="str">
        <x:v>120</x:v>
      </x:c>
      <x:c r="BZ38" s="228" t="str">
        <x:v>4</x:v>
      </x:c>
      <x:c r="CA38" s="230" t="str">
        <x:v>0.22714540001470596</x:v>
      </x:c>
      <x:c r="CB38" s="228" t="str">
        <x:v>False</x:v>
      </x:c>
      <x:c r="CC38" s="228" t="str">
        <x:v>116</x:v>
      </x:c>
      <x:c r="CD38" s="230" t="str">
        <x:v>230.49046010000166</x:v>
      </x:c>
      <x:c r="CE38" s="228" t="str">
        <x:v>True</x:v>
      </x:c>
      <x:c r="CF38" s="228" t="str">
        <x:v>c088e73df957955cf62409ebdc0adaf2e8c3323fdefdb1531f10f47226df283e</x:v>
      </x:c>
      <x:c r="CG38" s="228" t="str">
        <x:v>-4</x:v>
      </x:c>
      <x:c r="CH38" s="228" t="str">
        <x:v>0</x:v>
      </x:c>
      <x:c r="CI38" s="228" t="str">
        <x:v>1</x:v>
      </x:c>
      <x:c r="CJ38" s="228" t="str">
        <x:v>True</x:v>
      </x:c>
      <x:c r="CK38" s="228" t="str">
        <x:v>True</x:v>
      </x:c>
      <x:c r="CL38" s="228" t="str">
        <x:v>True</x:v>
      </x:c>
      <x:c r="CM38" s="228" t="str">
        <x:v>collision</x:v>
      </x:c>
      <x:c r="CN38" s="228" t="str">
        <x:v>-2</x:v>
      </x:c>
      <x:c r="CO38" s="230" t="str">
        <x:v>14.822806100011803</x:v>
      </x:c>
      <x:c r="CP38" s="228" t="str">
        <x:v>0.9830508474576272</x:v>
      </x:c>
      <x:c r="CQ38" s="228" t="str">
        <x:v>1.0687298527391247</x:v>
      </x:c>
      <x:c r="CR38" s="228" t="str">
        <x:v>0.9356901535378918</x:v>
      </x:c>
      <x:c r="CS38" s="228" t="str">
        <x:v>collision</x:v>
      </x:c>
      <x:c r="CT38" s="228" t="str">
        <x:v>entropy</x:v>
      </x:c>
      <x:c r="CU38" s="228" t="str">
        <x:v>tradeoff</x:v>
      </x:c>
      <x:c r="CV38" s="228" t="str">
        <x:v>neither</x:v>
      </x:c>
      <x:c r="CW38" s="228" t="str">
        <x:v>both_valid</x:v>
      </x:c>
      <x:c r="CX38" s="228" t="str">
        <x:v>none</x:v>
      </x:c>
      <x:c r="CY38" s="228" t="str">
        <x:v>none</x:v>
      </x:c>
    </x:row>
    <x:row r="39">
      <x:c r="A39" s="228" t="str">
        <x:v>final-paired-v2</x:v>
      </x:c>
      <x:c r="B39" s="228" t="str">
        <x:v>20260819</x:v>
      </x:c>
      <x:c r="C39" s="228" t="str">
        <x:v>3</x:v>
      </x:c>
      <x:c r="D39" s="228" t="str">
        <x:v>10</x:v>
      </x:c>
      <x:c r="E39" s="228" t="str">
        <x:v>n1000_r0.5_repeat2</x:v>
      </x:c>
      <x:c r="F39" s="228" t="str">
        <x:v>1000</x:v>
      </x:c>
      <x:c r="G39" s="228" t="str">
        <x:v>0.5</x:v>
      </x:c>
      <x:c r="H39" s="228" t="str">
        <x:v>2</x:v>
      </x:c>
      <x:c r="I39" s="228" t="str">
        <x:v>842229832</x:v>
      </x:c>
      <x:c r="J39" s="228" t="str">
        <x:v>95c56b1d7c050bc3b27241a742a0ba8d7c320b898e7b80878958c7232414cb9f</x:v>
      </x:c>
      <x:c r="K39" s="228" t="str">
        <x:v>239250</x:v>
      </x:c>
      <x:c r="L39" s="228" t="str">
        <x:v>1</x:v>
      </x:c>
      <x:c r="M39" s="228" t="str">
        <x:v>1000</x:v>
      </x:c>
      <x:c r="N39" s="228" t="str">
        <x:v>True</x:v>
      </x:c>
      <x:c r="O39" s="228" t="str">
        <x:v>0</x:v>
      </x:c>
      <x:c r="P39" s="228" t="str">
        <x:v>478.5</x:v>
      </x:c>
      <x:c r="Q39" s="228" t="str">
        <x:v>133.64095929018168</x:v>
      </x:c>
      <x:c r="R39" s="228" t="str">
        <x:v>181</x:v>
      </x:c>
      <x:c r="S39" s="228" t="str">
        <x:v>786</x:v>
      </x:c>
      <x:c r="T39" s="228" t="str">
        <x:v>0.47897897897897895</x:v>
      </x:c>
      <x:c r="U39" s="230" t="str">
        <x:v>0.9814169000601396</x:v>
      </x:c>
      <x:c r="V39" s="230" t="str">
        <x:v>0.8945404998958111</x:v>
      </x:c>
      <x:c r="W39" s="228" t="str">
        <x:v>True</x:v>
      </x:c>
      <x:c r="X39" s="228" t="str">
        <x:v>False</x:v>
      </x:c>
      <x:c r="Y39" s="228" t="str">
        <x:v>5</x:v>
      </x:c>
      <x:c r="Z39" s="228" t="str">
        <x:v>grid</x:v>
      </x:c>
      <x:c r="AA39" s="228" t="str">
        <x:v>2</x:v>
      </x:c>
      <x:c r="AB39" s="228" t="str">
        <x:v>ich,grid,circle,zoomed</x:v>
      </x:c>
      <x:c r="AC39" s="228" t="str">
        <x:v>2885947889</x:v>
      </x:c>
      <x:c r="AD39" s="228" t="str">
        <x:v>2885947889</x:v>
      </x:c>
      <x:c r="AE39" s="228" t="str">
        <x:v>collision,entropy</x:v>
      </x:c>
      <x:c r="AF39" s="228" t="str">
        <x:v>695</x:v>
      </x:c>
      <x:c r="AG39" s="228" t="str">
        <x:v>148</x:v>
      </x:c>
      <x:c r="AH39" s="230" t="str">
        <x:v>154.96456519991625</x:v>
      </x:c>
      <x:c r="AI39" s="228" t="str">
        <x:v>True</x:v>
      </x:c>
      <x:c r="AJ39" s="228" t="str">
        <x:v>c88d5a670ba1a4f82aece3f699f16e474bec163a959c29447fc5f474b9f2c962</x:v>
      </x:c>
      <x:c r="AK39" s="228" t="str">
        <x:v>0</x:v>
      </x:c>
      <x:c r="AL39" s="228" t="str">
        <x:v>0</x:v>
      </x:c>
      <x:c r="AM39" s="228" t="str"/>
      <x:c r="AN39" s="230" t="str">
        <x:v>0.10296709998510778</x:v>
      </x:c>
      <x:c r="AO39" s="228" t="str">
        <x:v>148</x:v>
      </x:c>
      <x:c r="AP39" s="228" t="str">
        <x:v>0</x:v>
      </x:c>
      <x:c r="AQ39" s="228" t="str">
        <x:v>0</x:v>
      </x:c>
      <x:c r="AR39" s="228" t="str">
        <x:v>148</x:v>
      </x:c>
      <x:c r="AS39" s="228" t="str">
        <x:v>155.06753229990136</x:v>
      </x:c>
      <x:c r="AT39" s="228" t="str">
        <x:v>True</x:v>
      </x:c>
      <x:c r="AU39" s="228" t="str">
        <x:v>c88d5a670ba1a4f82aece3f699f16e474bec163a959c29447fc5f474b9f2c962</x:v>
      </x:c>
      <x:c r="AV39" s="228" t="str">
        <x:v>0</x:v>
      </x:c>
      <x:c r="AW39" s="228" t="str">
        <x:v>148</x:v>
      </x:c>
      <x:c r="AX39" s="228" t="str">
        <x:v>0</x:v>
      </x:c>
      <x:c r="AY39" s="230" t="str">
        <x:v>0.1495002000592649</x:v>
      </x:c>
      <x:c r="AZ39" s="228" t="str">
        <x:v>False</x:v>
      </x:c>
      <x:c r="BA39" s="228" t="str">
        <x:v>148</x:v>
      </x:c>
      <x:c r="BB39" s="230" t="str">
        <x:v>155.21703249996062</x:v>
      </x:c>
      <x:c r="BC39" s="228" t="str">
        <x:v>True</x:v>
      </x:c>
      <x:c r="BD39" s="228" t="str">
        <x:v>c88d5a670ba1a4f82aece3f699f16e474bec163a959c29447fc5f474b9f2c962</x:v>
      </x:c>
      <x:c r="BE39" s="228" t="str">
        <x:v>0</x:v>
      </x:c>
      <x:c r="BF39" s="228" t="str">
        <x:v>0</x:v>
      </x:c>
      <x:c r="BG39" s="228" t="str">
        <x:v>2</x:v>
      </x:c>
      <x:c r="BH39" s="228" t="str">
        <x:v>119</x:v>
      </x:c>
      <x:c r="BI39" s="228" t="str">
        <x:v>116</x:v>
      </x:c>
      <x:c r="BJ39" s="230" t="str">
        <x:v>69.06489179993514</x:v>
      </x:c>
      <x:c r="BK39" s="228" t="str">
        <x:v>True</x:v>
      </x:c>
      <x:c r="BL39" s="228" t="str">
        <x:v>4617fa45304b1f1db3510a2e2bc4647913d211c47cd430f4f1fecdfe588d0040</x:v>
      </x:c>
      <x:c r="BM39" s="228" t="str">
        <x:v>0</x:v>
      </x:c>
      <x:c r="BN39" s="228" t="str">
        <x:v>0</x:v>
      </x:c>
      <x:c r="BO39" s="228" t="str"/>
      <x:c r="BP39" s="230" t="str">
        <x:v>0.0955985999898985</x:v>
      </x:c>
      <x:c r="BQ39" s="228" t="str">
        <x:v>116</x:v>
      </x:c>
      <x:c r="BR39" s="228" t="str">
        <x:v>0</x:v>
      </x:c>
      <x:c r="BS39" s="228" t="str">
        <x:v>0</x:v>
      </x:c>
      <x:c r="BT39" s="228" t="str">
        <x:v>116</x:v>
      </x:c>
      <x:c r="BU39" s="228" t="str">
        <x:v>69.16049039992504</x:v>
      </x:c>
      <x:c r="BV39" s="228" t="str">
        <x:v>True</x:v>
      </x:c>
      <x:c r="BW39" s="228" t="str">
        <x:v>4617fa45304b1f1db3510a2e2bc4647913d211c47cd430f4f1fecdfe588d0040</x:v>
      </x:c>
      <x:c r="BX39" s="228" t="str">
        <x:v>0</x:v>
      </x:c>
      <x:c r="BY39" s="228" t="str">
        <x:v>116</x:v>
      </x:c>
      <x:c r="BZ39" s="228" t="str">
        <x:v>0</x:v>
      </x:c>
      <x:c r="CA39" s="230" t="str">
        <x:v>0.11965899995993823</x:v>
      </x:c>
      <x:c r="CB39" s="228" t="str">
        <x:v>False</x:v>
      </x:c>
      <x:c r="CC39" s="228" t="str">
        <x:v>116</x:v>
      </x:c>
      <x:c r="CD39" s="230" t="str">
        <x:v>69.28014939988498</x:v>
      </x:c>
      <x:c r="CE39" s="228" t="str">
        <x:v>True</x:v>
      </x:c>
      <x:c r="CF39" s="228" t="str">
        <x:v>4617fa45304b1f1db3510a2e2bc4647913d211c47cd430f4f1fecdfe588d0040</x:v>
      </x:c>
      <x:c r="CG39" s="228" t="str">
        <x:v>0</x:v>
      </x:c>
      <x:c r="CH39" s="228" t="str">
        <x:v>0</x:v>
      </x:c>
      <x:c r="CI39" s="228" t="str">
        <x:v>1</x:v>
      </x:c>
      <x:c r="CJ39" s="228" t="str">
        <x:v>True</x:v>
      </x:c>
      <x:c r="CK39" s="228" t="str">
        <x:v>True</x:v>
      </x:c>
      <x:c r="CL39" s="228" t="str">
        <x:v>True</x:v>
      </x:c>
      <x:c r="CM39" s="228" t="str">
        <x:v>collision</x:v>
      </x:c>
      <x:c r="CN39" s="228" t="str">
        <x:v>-32</x:v>
      </x:c>
      <x:c r="CO39" s="230" t="str">
        <x:v>-85.93688310007565</x:v>
      </x:c>
      <x:c r="CP39" s="228" t="str">
        <x:v>0.7837837837837838</x:v>
      </x:c>
      <x:c r="CQ39" s="228" t="str">
        <x:v>0.44634373099422936</x:v>
      </x:c>
      <x:c r="CR39" s="228" t="str">
        <x:v>2.2404257762789745</x:v>
      </x:c>
      <x:c r="CS39" s="228" t="str">
        <x:v>collision</x:v>
      </x:c>
      <x:c r="CT39" s="228" t="str">
        <x:v>collision</x:v>
      </x:c>
      <x:c r="CU39" s="228" t="str">
        <x:v>collision_dominates</x:v>
      </x:c>
      <x:c r="CV39" s="228" t="str">
        <x:v>neither</x:v>
      </x:c>
      <x:c r="CW39" s="228" t="str">
        <x:v>both_valid</x:v>
      </x:c>
      <x:c r="CX39" s="228" t="str">
        <x:v>entropy_much_larger</x:v>
      </x:c>
      <x:c r="CY39" s="228" t="str">
        <x:v>collision_at_least_2x_faster</x:v>
      </x:c>
    </x:row>
    <x:row r="40">
      <x:c r="A40" s="228" t="str">
        <x:v>final-paired-v2</x:v>
      </x:c>
      <x:c r="B40" s="228" t="str">
        <x:v>20260819</x:v>
      </x:c>
      <x:c r="C40" s="228" t="str">
        <x:v>3</x:v>
      </x:c>
      <x:c r="D40" s="228" t="str">
        <x:v>10</x:v>
      </x:c>
      <x:c r="E40" s="228" t="str">
        <x:v>n1000_r0.5_repeat2</x:v>
      </x:c>
      <x:c r="F40" s="228" t="str">
        <x:v>1000</x:v>
      </x:c>
      <x:c r="G40" s="228" t="str">
        <x:v>0.5</x:v>
      </x:c>
      <x:c r="H40" s="228" t="str">
        <x:v>2</x:v>
      </x:c>
      <x:c r="I40" s="228" t="str">
        <x:v>842229832</x:v>
      </x:c>
      <x:c r="J40" s="228" t="str">
        <x:v>95c56b1d7c050bc3b27241a742a0ba8d7c320b898e7b80878958c7232414cb9f</x:v>
      </x:c>
      <x:c r="K40" s="228" t="str">
        <x:v>239250</x:v>
      </x:c>
      <x:c r="L40" s="228" t="str">
        <x:v>1</x:v>
      </x:c>
      <x:c r="M40" s="228" t="str">
        <x:v>1000</x:v>
      </x:c>
      <x:c r="N40" s="228" t="str">
        <x:v>True</x:v>
      </x:c>
      <x:c r="O40" s="228" t="str">
        <x:v>0</x:v>
      </x:c>
      <x:c r="P40" s="228" t="str">
        <x:v>478.5</x:v>
      </x:c>
      <x:c r="Q40" s="228" t="str">
        <x:v>133.64095929018168</x:v>
      </x:c>
      <x:c r="R40" s="228" t="str">
        <x:v>181</x:v>
      </x:c>
      <x:c r="S40" s="228" t="str">
        <x:v>786</x:v>
      </x:c>
      <x:c r="T40" s="228" t="str">
        <x:v>0.47897897897897895</x:v>
      </x:c>
      <x:c r="U40" s="230" t="str">
        <x:v>0.9814169000601396</x:v>
      </x:c>
      <x:c r="V40" s="230" t="str">
        <x:v>0.8945404998958111</x:v>
      </x:c>
      <x:c r="W40" s="228" t="str">
        <x:v>True</x:v>
      </x:c>
      <x:c r="X40" s="228" t="str">
        <x:v>False</x:v>
      </x:c>
      <x:c r="Y40" s="228" t="str">
        <x:v>5</x:v>
      </x:c>
      <x:c r="Z40" s="228" t="str">
        <x:v>circle</x:v>
      </x:c>
      <x:c r="AA40" s="228" t="str">
        <x:v>3</x:v>
      </x:c>
      <x:c r="AB40" s="228" t="str">
        <x:v>ich,grid,circle,zoomed</x:v>
      </x:c>
      <x:c r="AC40" s="228" t="str">
        <x:v>3084427811</x:v>
      </x:c>
      <x:c r="AD40" s="228" t="str">
        <x:v>3084427811</x:v>
      </x:c>
      <x:c r="AE40" s="228" t="str">
        <x:v>collision,entropy</x:v>
      </x:c>
      <x:c r="AF40" s="228" t="str">
        <x:v>986</x:v>
      </x:c>
      <x:c r="AG40" s="228" t="str">
        <x:v>138</x:v>
      </x:c>
      <x:c r="AH40" s="230" t="str">
        <x:v>19.922780100023374</x:v>
      </x:c>
      <x:c r="AI40" s="228" t="str">
        <x:v>True</x:v>
      </x:c>
      <x:c r="AJ40" s="228" t="str">
        <x:v>ff8b664f3ef42593b1979ba1adfe2dd8ec7922303166a5049f05edc1f8513557</x:v>
      </x:c>
      <x:c r="AK40" s="228" t="str">
        <x:v>0</x:v>
      </x:c>
      <x:c r="AL40" s="228" t="str">
        <x:v>0</x:v>
      </x:c>
      <x:c r="AM40" s="228" t="str"/>
      <x:c r="AN40" s="230" t="str">
        <x:v>0.10460930003318936</x:v>
      </x:c>
      <x:c r="AO40" s="228" t="str">
        <x:v>138</x:v>
      </x:c>
      <x:c r="AP40" s="228" t="str">
        <x:v>0</x:v>
      </x:c>
      <x:c r="AQ40" s="228" t="str">
        <x:v>0</x:v>
      </x:c>
      <x:c r="AR40" s="228" t="str">
        <x:v>138</x:v>
      </x:c>
      <x:c r="AS40" s="228" t="str">
        <x:v>20.027389400056563</x:v>
      </x:c>
      <x:c r="AT40" s="228" t="str">
        <x:v>True</x:v>
      </x:c>
      <x:c r="AU40" s="228" t="str">
        <x:v>ff8b664f3ef42593b1979ba1adfe2dd8ec7922303166a5049f05edc1f8513557</x:v>
      </x:c>
      <x:c r="AV40" s="228" t="str">
        <x:v>0</x:v>
      </x:c>
      <x:c r="AW40" s="228" t="str">
        <x:v>138</x:v>
      </x:c>
      <x:c r="AX40" s="228" t="str">
        <x:v>0</x:v>
      </x:c>
      <x:c r="AY40" s="230" t="str">
        <x:v>0.1319365999661386</x:v>
      </x:c>
      <x:c r="AZ40" s="228" t="str">
        <x:v>False</x:v>
      </x:c>
      <x:c r="BA40" s="228" t="str">
        <x:v>138</x:v>
      </x:c>
      <x:c r="BB40" s="230" t="str">
        <x:v>20.159326000022702</x:v>
      </x:c>
      <x:c r="BC40" s="228" t="str">
        <x:v>True</x:v>
      </x:c>
      <x:c r="BD40" s="228" t="str">
        <x:v>ff8b664f3ef42593b1979ba1adfe2dd8ec7922303166a5049f05edc1f8513557</x:v>
      </x:c>
      <x:c r="BE40" s="228" t="str">
        <x:v>0</x:v>
      </x:c>
      <x:c r="BF40" s="228" t="str">
        <x:v>0</x:v>
      </x:c>
      <x:c r="BG40" s="228" t="str">
        <x:v>2</x:v>
      </x:c>
      <x:c r="BH40" s="228" t="str">
        <x:v>972</x:v>
      </x:c>
      <x:c r="BI40" s="228" t="str">
        <x:v>138</x:v>
      </x:c>
      <x:c r="BJ40" s="230" t="str">
        <x:v>19.25398859998677</x:v>
      </x:c>
      <x:c r="BK40" s="228" t="str">
        <x:v>True</x:v>
      </x:c>
      <x:c r="BL40" s="228" t="str">
        <x:v>1a9438148472931eecc0e5b7feb5dadaa44a71cd3ad4362152975f85df3fe505</x:v>
      </x:c>
      <x:c r="BM40" s="228" t="str">
        <x:v>0</x:v>
      </x:c>
      <x:c r="BN40" s="228" t="str">
        <x:v>0</x:v>
      </x:c>
      <x:c r="BO40" s="228" t="str"/>
      <x:c r="BP40" s="230" t="str">
        <x:v>0.1046067998977378</x:v>
      </x:c>
      <x:c r="BQ40" s="228" t="str">
        <x:v>138</x:v>
      </x:c>
      <x:c r="BR40" s="228" t="str">
        <x:v>0</x:v>
      </x:c>
      <x:c r="BS40" s="228" t="str">
        <x:v>0</x:v>
      </x:c>
      <x:c r="BT40" s="228" t="str">
        <x:v>138</x:v>
      </x:c>
      <x:c r="BU40" s="228" t="str">
        <x:v>19.358595399884507</x:v>
      </x:c>
      <x:c r="BV40" s="228" t="str">
        <x:v>True</x:v>
      </x:c>
      <x:c r="BW40" s="228" t="str">
        <x:v>1a9438148472931eecc0e5b7feb5dadaa44a71cd3ad4362152975f85df3fe505</x:v>
      </x:c>
      <x:c r="BX40" s="228" t="str">
        <x:v>0</x:v>
      </x:c>
      <x:c r="BY40" s="228" t="str">
        <x:v>138</x:v>
      </x:c>
      <x:c r="BZ40" s="228" t="str">
        <x:v>0</x:v>
      </x:c>
      <x:c r="CA40" s="230" t="str">
        <x:v>0.1251376000000164</x:v>
      </x:c>
      <x:c r="CB40" s="228" t="str">
        <x:v>False</x:v>
      </x:c>
      <x:c r="CC40" s="228" t="str">
        <x:v>138</x:v>
      </x:c>
      <x:c r="CD40" s="230" t="str">
        <x:v>19.483732999884523</x:v>
      </x:c>
      <x:c r="CE40" s="228" t="str">
        <x:v>True</x:v>
      </x:c>
      <x:c r="CF40" s="228" t="str">
        <x:v>1a9438148472931eecc0e5b7feb5dadaa44a71cd3ad4362152975f85df3fe505</x:v>
      </x:c>
      <x:c r="CG40" s="228" t="str">
        <x:v>0</x:v>
      </x:c>
      <x:c r="CH40" s="228" t="str">
        <x:v>0</x:v>
      </x:c>
      <x:c r="CI40" s="228" t="str">
        <x:v>1</x:v>
      </x:c>
      <x:c r="CJ40" s="228" t="str">
        <x:v>True</x:v>
      </x:c>
      <x:c r="CK40" s="228" t="str">
        <x:v>True</x:v>
      </x:c>
      <x:c r="CL40" s="228" t="str">
        <x:v>True</x:v>
      </x:c>
      <x:c r="CM40" s="228" t="str">
        <x:v>tie</x:v>
      </x:c>
      <x:c r="CN40" s="228" t="str">
        <x:v>0</x:v>
      </x:c>
      <x:c r="CO40" s="230" t="str">
        <x:v>-0.6755930001381785</x:v>
      </x:c>
      <x:c r="CP40" s="228" t="str">
        <x:v>1.0</x:v>
      </x:c>
      <x:c r="CQ40" s="228" t="str">
        <x:v>0.9664873220395653</x:v>
      </x:c>
      <x:c r="CR40" s="228" t="str">
        <x:v>1.0346747207089209</x:v>
      </x:c>
      <x:c r="CS40" s="228" t="str">
        <x:v>tie</x:v>
      </x:c>
      <x:c r="CT40" s="228" t="str">
        <x:v>collision</x:v>
      </x:c>
      <x:c r="CU40" s="228" t="str">
        <x:v>collision_dominates</x:v>
      </x:c>
      <x:c r="CV40" s="228" t="str">
        <x:v>neither</x:v>
      </x:c>
      <x:c r="CW40" s="228" t="str">
        <x:v>both_valid</x:v>
      </x:c>
      <x:c r="CX40" s="228" t="str">
        <x:v>none</x:v>
      </x:c>
      <x:c r="CY40" s="228" t="str">
        <x:v>none</x:v>
      </x:c>
    </x:row>
    <x:row r="41">
      <x:c r="A41" s="228" t="str">
        <x:v>final-paired-v2</x:v>
      </x:c>
      <x:c r="B41" s="228" t="str">
        <x:v>20260819</x:v>
      </x:c>
      <x:c r="C41" s="228" t="str">
        <x:v>3</x:v>
      </x:c>
      <x:c r="D41" s="228" t="str">
        <x:v>10</x:v>
      </x:c>
      <x:c r="E41" s="228" t="str">
        <x:v>n1000_r0.5_repeat2</x:v>
      </x:c>
      <x:c r="F41" s="228" t="str">
        <x:v>1000</x:v>
      </x:c>
      <x:c r="G41" s="228" t="str">
        <x:v>0.5</x:v>
      </x:c>
      <x:c r="H41" s="228" t="str">
        <x:v>2</x:v>
      </x:c>
      <x:c r="I41" s="228" t="str">
        <x:v>842229832</x:v>
      </x:c>
      <x:c r="J41" s="228" t="str">
        <x:v>95c56b1d7c050bc3b27241a742a0ba8d7c320b898e7b80878958c7232414cb9f</x:v>
      </x:c>
      <x:c r="K41" s="228" t="str">
        <x:v>239250</x:v>
      </x:c>
      <x:c r="L41" s="228" t="str">
        <x:v>1</x:v>
      </x:c>
      <x:c r="M41" s="228" t="str">
        <x:v>1000</x:v>
      </x:c>
      <x:c r="N41" s="228" t="str">
        <x:v>True</x:v>
      </x:c>
      <x:c r="O41" s="228" t="str">
        <x:v>0</x:v>
      </x:c>
      <x:c r="P41" s="228" t="str">
        <x:v>478.5</x:v>
      </x:c>
      <x:c r="Q41" s="228" t="str">
        <x:v>133.64095929018168</x:v>
      </x:c>
      <x:c r="R41" s="228" t="str">
        <x:v>181</x:v>
      </x:c>
      <x:c r="S41" s="228" t="str">
        <x:v>786</x:v>
      </x:c>
      <x:c r="T41" s="228" t="str">
        <x:v>0.47897897897897895</x:v>
      </x:c>
      <x:c r="U41" s="230" t="str">
        <x:v>0.9814169000601396</x:v>
      </x:c>
      <x:c r="V41" s="230" t="str">
        <x:v>0.8945404998958111</x:v>
      </x:c>
      <x:c r="W41" s="228" t="str">
        <x:v>True</x:v>
      </x:c>
      <x:c r="X41" s="228" t="str">
        <x:v>False</x:v>
      </x:c>
      <x:c r="Y41" s="228" t="str">
        <x:v>5</x:v>
      </x:c>
      <x:c r="Z41" s="228" t="str">
        <x:v>zoomed</x:v>
      </x:c>
      <x:c r="AA41" s="228" t="str">
        <x:v>4</x:v>
      </x:c>
      <x:c r="AB41" s="228" t="str">
        <x:v>ich,grid,circle,zoomed</x:v>
      </x:c>
      <x:c r="AC41" s="228" t="str">
        <x:v>4035036797</x:v>
      </x:c>
      <x:c r="AD41" s="228" t="str">
        <x:v>4035036797</x:v>
      </x:c>
      <x:c r="AE41" s="228" t="str">
        <x:v>collision,entropy</x:v>
      </x:c>
      <x:c r="AF41" s="228" t="str">
        <x:v>828</x:v>
      </x:c>
      <x:c r="AG41" s="228" t="str">
        <x:v>142</x:v>
      </x:c>
      <x:c r="AH41" s="230" t="str">
        <x:v>34.34102409996558</x:v>
      </x:c>
      <x:c r="AI41" s="228" t="str">
        <x:v>True</x:v>
      </x:c>
      <x:c r="AJ41" s="228" t="str">
        <x:v>5552cf84974fa9e8d2eefb42f3c7e715c41d33d3561fd20e7a1ebd52b59191e7</x:v>
      </x:c>
      <x:c r="AK41" s="228" t="str">
        <x:v>0</x:v>
      </x:c>
      <x:c r="AL41" s="228" t="str">
        <x:v>0</x:v>
      </x:c>
      <x:c r="AM41" s="228" t="str"/>
      <x:c r="AN41" s="230" t="str">
        <x:v>0.16936099994927645</x:v>
      </x:c>
      <x:c r="AO41" s="228" t="str">
        <x:v>142</x:v>
      </x:c>
      <x:c r="AP41" s="228" t="str">
        <x:v>0</x:v>
      </x:c>
      <x:c r="AQ41" s="228" t="str">
        <x:v>0</x:v>
      </x:c>
      <x:c r="AR41" s="228" t="str">
        <x:v>142</x:v>
      </x:c>
      <x:c r="AS41" s="228" t="str">
        <x:v>34.510385099914856</x:v>
      </x:c>
      <x:c r="AT41" s="228" t="str">
        <x:v>True</x:v>
      </x:c>
      <x:c r="AU41" s="228" t="str">
        <x:v>5552cf84974fa9e8d2eefb42f3c7e715c41d33d3561fd20e7a1ebd52b59191e7</x:v>
      </x:c>
      <x:c r="AV41" s="228" t="str">
        <x:v>0</x:v>
      </x:c>
      <x:c r="AW41" s="228" t="str">
        <x:v>142</x:v>
      </x:c>
      <x:c r="AX41" s="228" t="str">
        <x:v>0</x:v>
      </x:c>
      <x:c r="AY41" s="230" t="str">
        <x:v>0.1510703000240028</x:v>
      </x:c>
      <x:c r="AZ41" s="228" t="str">
        <x:v>False</x:v>
      </x:c>
      <x:c r="BA41" s="228" t="str">
        <x:v>142</x:v>
      </x:c>
      <x:c r="BB41" s="230" t="str">
        <x:v>34.66145539993886</x:v>
      </x:c>
      <x:c r="BC41" s="228" t="str">
        <x:v>True</x:v>
      </x:c>
      <x:c r="BD41" s="228" t="str">
        <x:v>5552cf84974fa9e8d2eefb42f3c7e715c41d33d3561fd20e7a1ebd52b59191e7</x:v>
      </x:c>
      <x:c r="BE41" s="228" t="str">
        <x:v>0</x:v>
      </x:c>
      <x:c r="BF41" s="228" t="str">
        <x:v>0</x:v>
      </x:c>
      <x:c r="BG41" s="228" t="str">
        <x:v>2</x:v>
      </x:c>
      <x:c r="BH41" s="228" t="str">
        <x:v>381</x:v>
      </x:c>
      <x:c r="BI41" s="228" t="str">
        <x:v>134</x:v>
      </x:c>
      <x:c r="BJ41" s="230" t="str">
        <x:v>27.658772900002077</x:v>
      </x:c>
      <x:c r="BK41" s="228" t="str">
        <x:v>True</x:v>
      </x:c>
      <x:c r="BL41" s="228" t="str">
        <x:v>870e956647d8c26b9930c22f9dd5cc0995992a9819a6fb2f6924429a346df948</x:v>
      </x:c>
      <x:c r="BM41" s="228" t="str">
        <x:v>0</x:v>
      </x:c>
      <x:c r="BN41" s="228" t="str">
        <x:v>0</x:v>
      </x:c>
      <x:c r="BO41" s="228" t="str"/>
      <x:c r="BP41" s="230" t="str">
        <x:v>0.15652790002059191</x:v>
      </x:c>
      <x:c r="BQ41" s="228" t="str">
        <x:v>134</x:v>
      </x:c>
      <x:c r="BR41" s="228" t="str">
        <x:v>0</x:v>
      </x:c>
      <x:c r="BS41" s="228" t="str">
        <x:v>0</x:v>
      </x:c>
      <x:c r="BT41" s="228" t="str">
        <x:v>134</x:v>
      </x:c>
      <x:c r="BU41" s="228" t="str">
        <x:v>27.81530080002267</x:v>
      </x:c>
      <x:c r="BV41" s="228" t="str">
        <x:v>True</x:v>
      </x:c>
      <x:c r="BW41" s="228" t="str">
        <x:v>870e956647d8c26b9930c22f9dd5cc0995992a9819a6fb2f6924429a346df948</x:v>
      </x:c>
      <x:c r="BX41" s="228" t="str">
        <x:v>0</x:v>
      </x:c>
      <x:c r="BY41" s="228" t="str">
        <x:v>134</x:v>
      </x:c>
      <x:c r="BZ41" s="228" t="str">
        <x:v>0</x:v>
      </x:c>
      <x:c r="CA41" s="230" t="str">
        <x:v>0.17681980004999787</x:v>
      </x:c>
      <x:c r="CB41" s="228" t="str">
        <x:v>False</x:v>
      </x:c>
      <x:c r="CC41" s="228" t="str">
        <x:v>134</x:v>
      </x:c>
      <x:c r="CD41" s="230" t="str">
        <x:v>27.992120600072667</x:v>
      </x:c>
      <x:c r="CE41" s="228" t="str">
        <x:v>True</x:v>
      </x:c>
      <x:c r="CF41" s="228" t="str">
        <x:v>870e956647d8c26b9930c22f9dd5cc0995992a9819a6fb2f6924429a346df948</x:v>
      </x:c>
      <x:c r="CG41" s="228" t="str">
        <x:v>0</x:v>
      </x:c>
      <x:c r="CH41" s="228" t="str">
        <x:v>0</x:v>
      </x:c>
      <x:c r="CI41" s="228" t="str">
        <x:v>1</x:v>
      </x:c>
      <x:c r="CJ41" s="228" t="str">
        <x:v>True</x:v>
      </x:c>
      <x:c r="CK41" s="228" t="str">
        <x:v>True</x:v>
      </x:c>
      <x:c r="CL41" s="228" t="str">
        <x:v>True</x:v>
      </x:c>
      <x:c r="CM41" s="228" t="str">
        <x:v>collision</x:v>
      </x:c>
      <x:c r="CN41" s="228" t="str">
        <x:v>-8</x:v>
      </x:c>
      <x:c r="CO41" s="230" t="str">
        <x:v>-6.669334799866192</x:v>
      </x:c>
      <x:c r="CP41" s="228" t="str">
        <x:v>0.9436619718309859</x:v>
      </x:c>
      <x:c r="CQ41" s="228" t="str">
        <x:v>0.8075864177394595</x:v>
      </x:c>
      <x:c r="CR41" s="228" t="str">
        <x:v>1.2382575759497434</x:v>
      </x:c>
      <x:c r="CS41" s="228" t="str">
        <x:v>collision</x:v>
      </x:c>
      <x:c r="CT41" s="228" t="str">
        <x:v>collision</x:v>
      </x:c>
      <x:c r="CU41" s="228" t="str">
        <x:v>collision_dominates</x:v>
      </x:c>
      <x:c r="CV41" s="228" t="str">
        <x:v>neither</x:v>
      </x:c>
      <x:c r="CW41" s="228" t="str">
        <x:v>both_valid</x:v>
      </x:c>
      <x:c r="CX41" s="228" t="str">
        <x:v>none</x:v>
      </x:c>
      <x:c r="CY41" s="228" t="str">
        <x:v>none</x:v>
      </x:c>
    </x:row>
    <x:row r="42">
      <x:c r="A42" s="228" t="str">
        <x:v>final-paired-v2</x:v>
      </x:c>
      <x:c r="B42" s="228" t="str">
        <x:v>20260819</x:v>
      </x:c>
      <x:c r="C42" s="228" t="str">
        <x:v>3</x:v>
      </x:c>
      <x:c r="D42" s="228" t="str">
        <x:v>11</x:v>
      </x:c>
      <x:c r="E42" s="228" t="str">
        <x:v>n1000_r0.5_repeat3</x:v>
      </x:c>
      <x:c r="F42" s="228" t="str">
        <x:v>1000</x:v>
      </x:c>
      <x:c r="G42" s="228" t="str">
        <x:v>0.5</x:v>
      </x:c>
      <x:c r="H42" s="228" t="str">
        <x:v>3</x:v>
      </x:c>
      <x:c r="I42" s="228" t="str">
        <x:v>26220989</x:v>
      </x:c>
      <x:c r="J42" s="228" t="str">
        <x:v>7270085285bcc177170e77d2e9df4f7c3f4181a8291d78d4a3151d3818b3f483</x:v>
      </x:c>
      <x:c r="K42" s="228" t="str">
        <x:v>238107</x:v>
      </x:c>
      <x:c r="L42" s="228" t="str">
        <x:v>1</x:v>
      </x:c>
      <x:c r="M42" s="228" t="str">
        <x:v>1000</x:v>
      </x:c>
      <x:c r="N42" s="228" t="str">
        <x:v>True</x:v>
      </x:c>
      <x:c r="O42" s="228" t="str">
        <x:v>0</x:v>
      </x:c>
      <x:c r="P42" s="228" t="str">
        <x:v>476.214</x:v>
      </x:c>
      <x:c r="Q42" s="228" t="str">
        <x:v>129.16542960095785</x:v>
      </x:c>
      <x:c r="R42" s="228" t="str">
        <x:v>208</x:v>
      </x:c>
      <x:c r="S42" s="228" t="str">
        <x:v>789</x:v>
      </x:c>
      <x:c r="T42" s="228" t="str">
        <x:v>0.4766906906906907</x:v>
      </x:c>
      <x:c r="U42" s="230" t="str">
        <x:v>1.0221915999427438</x:v>
      </x:c>
      <x:c r="V42" s="230" t="str">
        <x:v>0.7642634999938309</x:v>
      </x:c>
      <x:c r="W42" s="228" t="str">
        <x:v>True</x:v>
      </x:c>
      <x:c r="X42" s="228" t="str">
        <x:v>False</x:v>
      </x:c>
      <x:c r="Y42" s="228" t="str">
        <x:v>5</x:v>
      </x:c>
      <x:c r="Z42" s="228" t="str">
        <x:v>grid</x:v>
      </x:c>
      <x:c r="AA42" s="228" t="str">
        <x:v>1</x:v>
      </x:c>
      <x:c r="AB42" s="228" t="str">
        <x:v>grid,circle,zoomed,ich</x:v>
      </x:c>
      <x:c r="AC42" s="228" t="str">
        <x:v>2678546436</x:v>
      </x:c>
      <x:c r="AD42" s="228" t="str">
        <x:v>2678546436</x:v>
      </x:c>
      <x:c r="AE42" s="228" t="str">
        <x:v>entropy,collision</x:v>
      </x:c>
      <x:c r="AF42" s="228" t="str">
        <x:v>924</x:v>
      </x:c>
      <x:c r="AG42" s="228" t="str">
        <x:v>146</x:v>
      </x:c>
      <x:c r="AH42" s="230" t="str">
        <x:v>170.31857869995292</x:v>
      </x:c>
      <x:c r="AI42" s="228" t="str">
        <x:v>True</x:v>
      </x:c>
      <x:c r="AJ42" s="228" t="str">
        <x:v>df74dd8e9cfdd677c8d6abfc891f435decd539b3ee6ea0ec6de3430f48609c6c</x:v>
      </x:c>
      <x:c r="AK42" s="228" t="str">
        <x:v>0</x:v>
      </x:c>
      <x:c r="AL42" s="228" t="str">
        <x:v>0</x:v>
      </x:c>
      <x:c r="AM42" s="228" t="str"/>
      <x:c r="AN42" s="230" t="str">
        <x:v>0.16188799997325987</x:v>
      </x:c>
      <x:c r="AO42" s="228" t="str">
        <x:v>146</x:v>
      </x:c>
      <x:c r="AP42" s="228" t="str">
        <x:v>0</x:v>
      </x:c>
      <x:c r="AQ42" s="228" t="str">
        <x:v>0</x:v>
      </x:c>
      <x:c r="AR42" s="228" t="str">
        <x:v>146</x:v>
      </x:c>
      <x:c r="AS42" s="228" t="str">
        <x:v>170.48046669992618</x:v>
      </x:c>
      <x:c r="AT42" s="228" t="str">
        <x:v>True</x:v>
      </x:c>
      <x:c r="AU42" s="228" t="str">
        <x:v>df74dd8e9cfdd677c8d6abfc891f435decd539b3ee6ea0ec6de3430f48609c6c</x:v>
      </x:c>
      <x:c r="AV42" s="228" t="str">
        <x:v>0</x:v>
      </x:c>
      <x:c r="AW42" s="228" t="str">
        <x:v>146</x:v>
      </x:c>
      <x:c r="AX42" s="228" t="str">
        <x:v>0</x:v>
      </x:c>
      <x:c r="AY42" s="230" t="str">
        <x:v>0.1554492999566719</x:v>
      </x:c>
      <x:c r="AZ42" s="228" t="str">
        <x:v>False</x:v>
      </x:c>
      <x:c r="BA42" s="228" t="str">
        <x:v>146</x:v>
      </x:c>
      <x:c r="BB42" s="230" t="str">
        <x:v>170.63591599988285</x:v>
      </x:c>
      <x:c r="BC42" s="228" t="str">
        <x:v>True</x:v>
      </x:c>
      <x:c r="BD42" s="228" t="str">
        <x:v>df74dd8e9cfdd677c8d6abfc891f435decd539b3ee6ea0ec6de3430f48609c6c</x:v>
      </x:c>
      <x:c r="BE42" s="228" t="str">
        <x:v>0</x:v>
      </x:c>
      <x:c r="BF42" s="228" t="str">
        <x:v>0</x:v>
      </x:c>
      <x:c r="BG42" s="228" t="str">
        <x:v>1</x:v>
      </x:c>
      <x:c r="BH42" s="228" t="str">
        <x:v>125</x:v>
      </x:c>
      <x:c r="BI42" s="228" t="str">
        <x:v>119</x:v>
      </x:c>
      <x:c r="BJ42" s="230" t="str">
        <x:v>74.85513709997758</x:v>
      </x:c>
      <x:c r="BK42" s="228" t="str">
        <x:v>True</x:v>
      </x:c>
      <x:c r="BL42" s="228" t="str">
        <x:v>4809ab72e30a845bbe1c6272735fa0482d249c76d2f2aa414ceb5f2210875c8d</x:v>
      </x:c>
      <x:c r="BM42" s="228" t="str">
        <x:v>0</x:v>
      </x:c>
      <x:c r="BN42" s="228" t="str">
        <x:v>0</x:v>
      </x:c>
      <x:c r="BO42" s="228" t="str"/>
      <x:c r="BP42" s="230" t="str">
        <x:v>0.1269203000701964</x:v>
      </x:c>
      <x:c r="BQ42" s="228" t="str">
        <x:v>119</x:v>
      </x:c>
      <x:c r="BR42" s="228" t="str">
        <x:v>0</x:v>
      </x:c>
      <x:c r="BS42" s="228" t="str">
        <x:v>0</x:v>
      </x:c>
      <x:c r="BT42" s="228" t="str">
        <x:v>119</x:v>
      </x:c>
      <x:c r="BU42" s="228" t="str">
        <x:v>74.98205740004778</x:v>
      </x:c>
      <x:c r="BV42" s="228" t="str">
        <x:v>True</x:v>
      </x:c>
      <x:c r="BW42" s="228" t="str">
        <x:v>4809ab72e30a845bbe1c6272735fa0482d249c76d2f2aa414ceb5f2210875c8d</x:v>
      </x:c>
      <x:c r="BX42" s="228" t="str">
        <x:v>0</x:v>
      </x:c>
      <x:c r="BY42" s="228" t="str">
        <x:v>119</x:v>
      </x:c>
      <x:c r="BZ42" s="228" t="str">
        <x:v>0</x:v>
      </x:c>
      <x:c r="CA42" s="230" t="str">
        <x:v>0.14221149997320026</x:v>
      </x:c>
      <x:c r="CB42" s="228" t="str">
        <x:v>False</x:v>
      </x:c>
      <x:c r="CC42" s="228" t="str">
        <x:v>119</x:v>
      </x:c>
      <x:c r="CD42" s="230" t="str">
        <x:v>75.12426890002098</x:v>
      </x:c>
      <x:c r="CE42" s="228" t="str">
        <x:v>True</x:v>
      </x:c>
      <x:c r="CF42" s="228" t="str">
        <x:v>4809ab72e30a845bbe1c6272735fa0482d249c76d2f2aa414ceb5f2210875c8d</x:v>
      </x:c>
      <x:c r="CG42" s="228" t="str">
        <x:v>0</x:v>
      </x:c>
      <x:c r="CH42" s="228" t="str">
        <x:v>0</x:v>
      </x:c>
      <x:c r="CI42" s="228" t="str">
        <x:v>2</x:v>
      </x:c>
      <x:c r="CJ42" s="228" t="str">
        <x:v>True</x:v>
      </x:c>
      <x:c r="CK42" s="228" t="str">
        <x:v>True</x:v>
      </x:c>
      <x:c r="CL42" s="228" t="str">
        <x:v>True</x:v>
      </x:c>
      <x:c r="CM42" s="228" t="str">
        <x:v>collision</x:v>
      </x:c>
      <x:c r="CN42" s="228" t="str">
        <x:v>-27</x:v>
      </x:c>
      <x:c r="CO42" s="230" t="str">
        <x:v>-95.51164709986188</x:v>
      </x:c>
      <x:c r="CP42" s="228" t="str">
        <x:v>0.815068493150685</x:v>
      </x:c>
      <x:c r="CQ42" s="228" t="str">
        <x:v>0.44026058910172555</x:v>
      </x:c>
      <x:c r="CR42" s="228" t="str">
        <x:v>2.271382051344465</x:v>
      </x:c>
      <x:c r="CS42" s="228" t="str">
        <x:v>collision</x:v>
      </x:c>
      <x:c r="CT42" s="228" t="str">
        <x:v>collision</x:v>
      </x:c>
      <x:c r="CU42" s="228" t="str">
        <x:v>collision_dominates</x:v>
      </x:c>
      <x:c r="CV42" s="228" t="str">
        <x:v>neither</x:v>
      </x:c>
      <x:c r="CW42" s="228" t="str">
        <x:v>both_valid</x:v>
      </x:c>
      <x:c r="CX42" s="228" t="str">
        <x:v>none</x:v>
      </x:c>
      <x:c r="CY42" s="228" t="str">
        <x:v>collision_at_least_2x_faster</x:v>
      </x:c>
    </x:row>
    <x:row r="43">
      <x:c r="A43" s="228" t="str">
        <x:v>final-paired-v2</x:v>
      </x:c>
      <x:c r="B43" s="228" t="str">
        <x:v>20260819</x:v>
      </x:c>
      <x:c r="C43" s="228" t="str">
        <x:v>3</x:v>
      </x:c>
      <x:c r="D43" s="228" t="str">
        <x:v>11</x:v>
      </x:c>
      <x:c r="E43" s="228" t="str">
        <x:v>n1000_r0.5_repeat3</x:v>
      </x:c>
      <x:c r="F43" s="228" t="str">
        <x:v>1000</x:v>
      </x:c>
      <x:c r="G43" s="228" t="str">
        <x:v>0.5</x:v>
      </x:c>
      <x:c r="H43" s="228" t="str">
        <x:v>3</x:v>
      </x:c>
      <x:c r="I43" s="228" t="str">
        <x:v>26220989</x:v>
      </x:c>
      <x:c r="J43" s="228" t="str">
        <x:v>7270085285bcc177170e77d2e9df4f7c3f4181a8291d78d4a3151d3818b3f483</x:v>
      </x:c>
      <x:c r="K43" s="228" t="str">
        <x:v>238107</x:v>
      </x:c>
      <x:c r="L43" s="228" t="str">
        <x:v>1</x:v>
      </x:c>
      <x:c r="M43" s="228" t="str">
        <x:v>1000</x:v>
      </x:c>
      <x:c r="N43" s="228" t="str">
        <x:v>True</x:v>
      </x:c>
      <x:c r="O43" s="228" t="str">
        <x:v>0</x:v>
      </x:c>
      <x:c r="P43" s="228" t="str">
        <x:v>476.214</x:v>
      </x:c>
      <x:c r="Q43" s="228" t="str">
        <x:v>129.16542960095785</x:v>
      </x:c>
      <x:c r="R43" s="228" t="str">
        <x:v>208</x:v>
      </x:c>
      <x:c r="S43" s="228" t="str">
        <x:v>789</x:v>
      </x:c>
      <x:c r="T43" s="228" t="str">
        <x:v>0.4766906906906907</x:v>
      </x:c>
      <x:c r="U43" s="230" t="str">
        <x:v>1.0221915999427438</x:v>
      </x:c>
      <x:c r="V43" s="230" t="str">
        <x:v>0.7642634999938309</x:v>
      </x:c>
      <x:c r="W43" s="228" t="str">
        <x:v>True</x:v>
      </x:c>
      <x:c r="X43" s="228" t="str">
        <x:v>False</x:v>
      </x:c>
      <x:c r="Y43" s="228" t="str">
        <x:v>5</x:v>
      </x:c>
      <x:c r="Z43" s="228" t="str">
        <x:v>circle</x:v>
      </x:c>
      <x:c r="AA43" s="228" t="str">
        <x:v>2</x:v>
      </x:c>
      <x:c r="AB43" s="228" t="str">
        <x:v>grid,circle,zoomed,ich</x:v>
      </x:c>
      <x:c r="AC43" s="228" t="str">
        <x:v>2222707670</x:v>
      </x:c>
      <x:c r="AD43" s="228" t="str">
        <x:v>2222707670</x:v>
      </x:c>
      <x:c r="AE43" s="228" t="str">
        <x:v>entropy,collision</x:v>
      </x:c>
      <x:c r="AF43" s="228" t="str">
        <x:v>879</x:v>
      </x:c>
      <x:c r="AG43" s="228" t="str">
        <x:v>137</x:v>
      </x:c>
      <x:c r="AH43" s="230" t="str">
        <x:v>30.335597199969925</x:v>
      </x:c>
      <x:c r="AI43" s="228" t="str">
        <x:v>True</x:v>
      </x:c>
      <x:c r="AJ43" s="228" t="str">
        <x:v>0f2f24ae16d2bf131074466fee9cecd256e8eea09bf59cc60e152b556e90a2f5</x:v>
      </x:c>
      <x:c r="AK43" s="228" t="str">
        <x:v>0</x:v>
      </x:c>
      <x:c r="AL43" s="228" t="str">
        <x:v>0</x:v>
      </x:c>
      <x:c r="AM43" s="228" t="str"/>
      <x:c r="AN43" s="230" t="str">
        <x:v>0.1368326999945566</x:v>
      </x:c>
      <x:c r="AO43" s="228" t="str">
        <x:v>137</x:v>
      </x:c>
      <x:c r="AP43" s="228" t="str">
        <x:v>0</x:v>
      </x:c>
      <x:c r="AQ43" s="228" t="str">
        <x:v>0</x:v>
      </x:c>
      <x:c r="AR43" s="228" t="str">
        <x:v>137</x:v>
      </x:c>
      <x:c r="AS43" s="228" t="str">
        <x:v>30.47242989996448</x:v>
      </x:c>
      <x:c r="AT43" s="228" t="str">
        <x:v>True</x:v>
      </x:c>
      <x:c r="AU43" s="228" t="str">
        <x:v>0f2f24ae16d2bf131074466fee9cecd256e8eea09bf59cc60e152b556e90a2f5</x:v>
      </x:c>
      <x:c r="AV43" s="228" t="str">
        <x:v>0</x:v>
      </x:c>
      <x:c r="AW43" s="228" t="str">
        <x:v>137</x:v>
      </x:c>
      <x:c r="AX43" s="228" t="str">
        <x:v>0</x:v>
      </x:c>
      <x:c r="AY43" s="230" t="str">
        <x:v>0.2267842999426648</x:v>
      </x:c>
      <x:c r="AZ43" s="228" t="str">
        <x:v>False</x:v>
      </x:c>
      <x:c r="BA43" s="228" t="str">
        <x:v>137</x:v>
      </x:c>
      <x:c r="BB43" s="230" t="str">
        <x:v>30.699214199907146</x:v>
      </x:c>
      <x:c r="BC43" s="228" t="str">
        <x:v>True</x:v>
      </x:c>
      <x:c r="BD43" s="228" t="str">
        <x:v>0f2f24ae16d2bf131074466fee9cecd256e8eea09bf59cc60e152b556e90a2f5</x:v>
      </x:c>
      <x:c r="BE43" s="228" t="str">
        <x:v>0</x:v>
      </x:c>
      <x:c r="BF43" s="228" t="str">
        <x:v>0</x:v>
      </x:c>
      <x:c r="BG43" s="228" t="str">
        <x:v>1</x:v>
      </x:c>
      <x:c r="BH43" s="228" t="str">
        <x:v>847</x:v>
      </x:c>
      <x:c r="BI43" s="228" t="str">
        <x:v>137</x:v>
      </x:c>
      <x:c r="BJ43" s="230" t="str">
        <x:v>26.42719009995926</x:v>
      </x:c>
      <x:c r="BK43" s="228" t="str">
        <x:v>True</x:v>
      </x:c>
      <x:c r="BL43" s="228" t="str">
        <x:v>3aa6ce551bf1d6e37550f1a57615bb8f5dd4de398e8c6ef1bd10d5469d428e59</x:v>
      </x:c>
      <x:c r="BM43" s="228" t="str">
        <x:v>0</x:v>
      </x:c>
      <x:c r="BN43" s="228" t="str">
        <x:v>0</x:v>
      </x:c>
      <x:c r="BO43" s="228" t="str"/>
      <x:c r="BP43" s="230" t="str">
        <x:v>0.11204850010108203</x:v>
      </x:c>
      <x:c r="BQ43" s="228" t="str">
        <x:v>137</x:v>
      </x:c>
      <x:c r="BR43" s="228" t="str">
        <x:v>0</x:v>
      </x:c>
      <x:c r="BS43" s="228" t="str">
        <x:v>0</x:v>
      </x:c>
      <x:c r="BT43" s="228" t="str">
        <x:v>137</x:v>
      </x:c>
      <x:c r="BU43" s="228" t="str">
        <x:v>26.539238600060344</x:v>
      </x:c>
      <x:c r="BV43" s="228" t="str">
        <x:v>True</x:v>
      </x:c>
      <x:c r="BW43" s="228" t="str">
        <x:v>3aa6ce551bf1d6e37550f1a57615bb8f5dd4de398e8c6ef1bd10d5469d428e59</x:v>
      </x:c>
      <x:c r="BX43" s="228" t="str">
        <x:v>0</x:v>
      </x:c>
      <x:c r="BY43" s="228" t="str">
        <x:v>137</x:v>
      </x:c>
      <x:c r="BZ43" s="228" t="str">
        <x:v>0</x:v>
      </x:c>
      <x:c r="CA43" s="230" t="str">
        <x:v>0.1489589000120759</x:v>
      </x:c>
      <x:c r="CB43" s="228" t="str">
        <x:v>False</x:v>
      </x:c>
      <x:c r="CC43" s="228" t="str">
        <x:v>137</x:v>
      </x:c>
      <x:c r="CD43" s="230" t="str">
        <x:v>26.68819750007242</x:v>
      </x:c>
      <x:c r="CE43" s="228" t="str">
        <x:v>True</x:v>
      </x:c>
      <x:c r="CF43" s="228" t="str">
        <x:v>3aa6ce551bf1d6e37550f1a57615bb8f5dd4de398e8c6ef1bd10d5469d428e59</x:v>
      </x:c>
      <x:c r="CG43" s="228" t="str">
        <x:v>0</x:v>
      </x:c>
      <x:c r="CH43" s="228" t="str">
        <x:v>0</x:v>
      </x:c>
      <x:c r="CI43" s="228" t="str">
        <x:v>2</x:v>
      </x:c>
      <x:c r="CJ43" s="228" t="str">
        <x:v>True</x:v>
      </x:c>
      <x:c r="CK43" s="228" t="str">
        <x:v>True</x:v>
      </x:c>
      <x:c r="CL43" s="228" t="str">
        <x:v>True</x:v>
      </x:c>
      <x:c r="CM43" s="228" t="str">
        <x:v>tie</x:v>
      </x:c>
      <x:c r="CN43" s="228" t="str">
        <x:v>0</x:v>
      </x:c>
      <x:c r="CO43" s="230" t="str">
        <x:v>-4.011016699834727</x:v>
      </x:c>
      <x:c r="CP43" s="228" t="str">
        <x:v>1.0</x:v>
      </x:c>
      <x:c r="CQ43" s="228" t="str">
        <x:v>0.8693446459666431</x:v>
      </x:c>
      <x:c r="CR43" s="228" t="str">
        <x:v>1.1502917797211236</x:v>
      </x:c>
      <x:c r="CS43" s="228" t="str">
        <x:v>tie</x:v>
      </x:c>
      <x:c r="CT43" s="228" t="str">
        <x:v>collision</x:v>
      </x:c>
      <x:c r="CU43" s="228" t="str">
        <x:v>collision_dominates</x:v>
      </x:c>
      <x:c r="CV43" s="228" t="str">
        <x:v>neither</x:v>
      </x:c>
      <x:c r="CW43" s="228" t="str">
        <x:v>both_valid</x:v>
      </x:c>
      <x:c r="CX43" s="228" t="str">
        <x:v>none</x:v>
      </x:c>
      <x:c r="CY43" s="228" t="str">
        <x:v>none</x:v>
      </x:c>
    </x:row>
    <x:row r="44">
      <x:c r="A44" s="228" t="str">
        <x:v>final-paired-v2</x:v>
      </x:c>
      <x:c r="B44" s="228" t="str">
        <x:v>20260819</x:v>
      </x:c>
      <x:c r="C44" s="228" t="str">
        <x:v>3</x:v>
      </x:c>
      <x:c r="D44" s="228" t="str">
        <x:v>11</x:v>
      </x:c>
      <x:c r="E44" s="228" t="str">
        <x:v>n1000_r0.5_repeat3</x:v>
      </x:c>
      <x:c r="F44" s="228" t="str">
        <x:v>1000</x:v>
      </x:c>
      <x:c r="G44" s="228" t="str">
        <x:v>0.5</x:v>
      </x:c>
      <x:c r="H44" s="228" t="str">
        <x:v>3</x:v>
      </x:c>
      <x:c r="I44" s="228" t="str">
        <x:v>26220989</x:v>
      </x:c>
      <x:c r="J44" s="228" t="str">
        <x:v>7270085285bcc177170e77d2e9df4f7c3f4181a8291d78d4a3151d3818b3f483</x:v>
      </x:c>
      <x:c r="K44" s="228" t="str">
        <x:v>238107</x:v>
      </x:c>
      <x:c r="L44" s="228" t="str">
        <x:v>1</x:v>
      </x:c>
      <x:c r="M44" s="228" t="str">
        <x:v>1000</x:v>
      </x:c>
      <x:c r="N44" s="228" t="str">
        <x:v>True</x:v>
      </x:c>
      <x:c r="O44" s="228" t="str">
        <x:v>0</x:v>
      </x:c>
      <x:c r="P44" s="228" t="str">
        <x:v>476.214</x:v>
      </x:c>
      <x:c r="Q44" s="228" t="str">
        <x:v>129.16542960095785</x:v>
      </x:c>
      <x:c r="R44" s="228" t="str">
        <x:v>208</x:v>
      </x:c>
      <x:c r="S44" s="228" t="str">
        <x:v>789</x:v>
      </x:c>
      <x:c r="T44" s="228" t="str">
        <x:v>0.4766906906906907</x:v>
      </x:c>
      <x:c r="U44" s="230" t="str">
        <x:v>1.0221915999427438</x:v>
      </x:c>
      <x:c r="V44" s="230" t="str">
        <x:v>0.7642634999938309</x:v>
      </x:c>
      <x:c r="W44" s="228" t="str">
        <x:v>True</x:v>
      </x:c>
      <x:c r="X44" s="228" t="str">
        <x:v>False</x:v>
      </x:c>
      <x:c r="Y44" s="228" t="str">
        <x:v>5</x:v>
      </x:c>
      <x:c r="Z44" s="228" t="str">
        <x:v>zoomed</x:v>
      </x:c>
      <x:c r="AA44" s="228" t="str">
        <x:v>3</x:v>
      </x:c>
      <x:c r="AB44" s="228" t="str">
        <x:v>grid,circle,zoomed,ich</x:v>
      </x:c>
      <x:c r="AC44" s="228" t="str">
        <x:v>3273832328</x:v>
      </x:c>
      <x:c r="AD44" s="228" t="str">
        <x:v>3273832328</x:v>
      </x:c>
      <x:c r="AE44" s="228" t="str">
        <x:v>entropy,collision</x:v>
      </x:c>
      <x:c r="AF44" s="228" t="str">
        <x:v>913</x:v>
      </x:c>
      <x:c r="AG44" s="228" t="str">
        <x:v>143</x:v>
      </x:c>
      <x:c r="AH44" s="230" t="str">
        <x:v>52.956921600038186</x:v>
      </x:c>
      <x:c r="AI44" s="228" t="str">
        <x:v>True</x:v>
      </x:c>
      <x:c r="AJ44" s="228" t="str">
        <x:v>2e56b4689896a28fe7be4dbd36c6c5fe40ef694023d4ebac9174f3aa116d5acb</x:v>
      </x:c>
      <x:c r="AK44" s="228" t="str">
        <x:v>0</x:v>
      </x:c>
      <x:c r="AL44" s="228" t="str">
        <x:v>0</x:v>
      </x:c>
      <x:c r="AM44" s="228" t="str"/>
      <x:c r="AN44" s="230" t="str">
        <x:v>0.14864279993344098</x:v>
      </x:c>
      <x:c r="AO44" s="228" t="str">
        <x:v>143</x:v>
      </x:c>
      <x:c r="AP44" s="228" t="str">
        <x:v>0</x:v>
      </x:c>
      <x:c r="AQ44" s="228" t="str">
        <x:v>0</x:v>
      </x:c>
      <x:c r="AR44" s="228" t="str">
        <x:v>143</x:v>
      </x:c>
      <x:c r="AS44" s="228" t="str">
        <x:v>53.10556439997163</x:v>
      </x:c>
      <x:c r="AT44" s="228" t="str">
        <x:v>True</x:v>
      </x:c>
      <x:c r="AU44" s="228" t="str">
        <x:v>2e56b4689896a28fe7be4dbd36c6c5fe40ef694023d4ebac9174f3aa116d5acb</x:v>
      </x:c>
      <x:c r="AV44" s="228" t="str">
        <x:v>0</x:v>
      </x:c>
      <x:c r="AW44" s="228" t="str">
        <x:v>143</x:v>
      </x:c>
      <x:c r="AX44" s="228" t="str">
        <x:v>0</x:v>
      </x:c>
      <x:c r="AY44" s="230" t="str">
        <x:v>0.16736500000115484</x:v>
      </x:c>
      <x:c r="AZ44" s="228" t="str">
        <x:v>False</x:v>
      </x:c>
      <x:c r="BA44" s="228" t="str">
        <x:v>143</x:v>
      </x:c>
      <x:c r="BB44" s="230" t="str">
        <x:v>53.27292939997278</x:v>
      </x:c>
      <x:c r="BC44" s="228" t="str">
        <x:v>True</x:v>
      </x:c>
      <x:c r="BD44" s="228" t="str">
        <x:v>2e56b4689896a28fe7be4dbd36c6c5fe40ef694023d4ebac9174f3aa116d5acb</x:v>
      </x:c>
      <x:c r="BE44" s="228" t="str">
        <x:v>0</x:v>
      </x:c>
      <x:c r="BF44" s="228" t="str">
        <x:v>0</x:v>
      </x:c>
      <x:c r="BG44" s="228" t="str">
        <x:v>1</x:v>
      </x:c>
      <x:c r="BH44" s="228" t="str">
        <x:v>374</x:v>
      </x:c>
      <x:c r="BI44" s="228" t="str">
        <x:v>139</x:v>
      </x:c>
      <x:c r="BJ44" s="230" t="str">
        <x:v>30.870817499933764</x:v>
      </x:c>
      <x:c r="BK44" s="228" t="str">
        <x:v>True</x:v>
      </x:c>
      <x:c r="BL44" s="228" t="str">
        <x:v>4bc9ca143eed019cd23228d8923ae4f997f155dd9be0c4dfc66cbeeb7164cee3</x:v>
      </x:c>
      <x:c r="BM44" s="228" t="str">
        <x:v>0</x:v>
      </x:c>
      <x:c r="BN44" s="228" t="str">
        <x:v>0</x:v>
      </x:c>
      <x:c r="BO44" s="228" t="str"/>
      <x:c r="BP44" s="230" t="str">
        <x:v>0.12420249998103827</x:v>
      </x:c>
      <x:c r="BQ44" s="228" t="str">
        <x:v>139</x:v>
      </x:c>
      <x:c r="BR44" s="228" t="str">
        <x:v>0</x:v>
      </x:c>
      <x:c r="BS44" s="228" t="str">
        <x:v>0</x:v>
      </x:c>
      <x:c r="BT44" s="228" t="str">
        <x:v>139</x:v>
      </x:c>
      <x:c r="BU44" s="228" t="str">
        <x:v>30.995019999914803</x:v>
      </x:c>
      <x:c r="BV44" s="228" t="str">
        <x:v>True</x:v>
      </x:c>
      <x:c r="BW44" s="228" t="str">
        <x:v>4bc9ca143eed019cd23228d8923ae4f997f155dd9be0c4dfc66cbeeb7164cee3</x:v>
      </x:c>
      <x:c r="BX44" s="228" t="str">
        <x:v>0</x:v>
      </x:c>
      <x:c r="BY44" s="228" t="str">
        <x:v>139</x:v>
      </x:c>
      <x:c r="BZ44" s="228" t="str">
        <x:v>0</x:v>
      </x:c>
      <x:c r="CA44" s="230" t="str">
        <x:v>0.17724039999302477</x:v>
      </x:c>
      <x:c r="CB44" s="228" t="str">
        <x:v>False</x:v>
      </x:c>
      <x:c r="CC44" s="228" t="str">
        <x:v>139</x:v>
      </x:c>
      <x:c r="CD44" s="230" t="str">
        <x:v>31.172260399907827</x:v>
      </x:c>
      <x:c r="CE44" s="228" t="str">
        <x:v>True</x:v>
      </x:c>
      <x:c r="CF44" s="228" t="str">
        <x:v>4bc9ca143eed019cd23228d8923ae4f997f155dd9be0c4dfc66cbeeb7164cee3</x:v>
      </x:c>
      <x:c r="CG44" s="228" t="str">
        <x:v>0</x:v>
      </x:c>
      <x:c r="CH44" s="228" t="str">
        <x:v>0</x:v>
      </x:c>
      <x:c r="CI44" s="228" t="str">
        <x:v>2</x:v>
      </x:c>
      <x:c r="CJ44" s="228" t="str">
        <x:v>True</x:v>
      </x:c>
      <x:c r="CK44" s="228" t="str">
        <x:v>True</x:v>
      </x:c>
      <x:c r="CL44" s="228" t="str">
        <x:v>True</x:v>
      </x:c>
      <x:c r="CM44" s="228" t="str">
        <x:v>collision</x:v>
      </x:c>
      <x:c r="CN44" s="228" t="str">
        <x:v>-4</x:v>
      </x:c>
      <x:c r="CO44" s="230" t="str">
        <x:v>-22.100669000064954</x:v>
      </x:c>
      <x:c r="CP44" s="228" t="str">
        <x:v>0.972027972027972</x:v>
      </x:c>
      <x:c r="CQ44" s="228" t="str">
        <x:v>0.5851425996469373</x:v>
      </x:c>
      <x:c r="CR44" s="228" t="str">
        <x:v>1.7089851270500198</x:v>
      </x:c>
      <x:c r="CS44" s="228" t="str">
        <x:v>collision</x:v>
      </x:c>
      <x:c r="CT44" s="228" t="str">
        <x:v>collision</x:v>
      </x:c>
      <x:c r="CU44" s="228" t="str">
        <x:v>collision_dominates</x:v>
      </x:c>
      <x:c r="CV44" s="228" t="str">
        <x:v>neither</x:v>
      </x:c>
      <x:c r="CW44" s="228" t="str">
        <x:v>both_valid</x:v>
      </x:c>
      <x:c r="CX44" s="228" t="str">
        <x:v>none</x:v>
      </x:c>
      <x:c r="CY44" s="228" t="str">
        <x:v>none</x:v>
      </x:c>
    </x:row>
    <x:row r="45">
      <x:c r="A45" s="228" t="str">
        <x:v>final-paired-v2</x:v>
      </x:c>
      <x:c r="B45" s="228" t="str">
        <x:v>20260819</x:v>
      </x:c>
      <x:c r="C45" s="228" t="str">
        <x:v>3</x:v>
      </x:c>
      <x:c r="D45" s="228" t="str">
        <x:v>11</x:v>
      </x:c>
      <x:c r="E45" s="228" t="str">
        <x:v>n1000_r0.5_repeat3</x:v>
      </x:c>
      <x:c r="F45" s="228" t="str">
        <x:v>1000</x:v>
      </x:c>
      <x:c r="G45" s="228" t="str">
        <x:v>0.5</x:v>
      </x:c>
      <x:c r="H45" s="228" t="str">
        <x:v>3</x:v>
      </x:c>
      <x:c r="I45" s="228" t="str">
        <x:v>26220989</x:v>
      </x:c>
      <x:c r="J45" s="228" t="str">
        <x:v>7270085285bcc177170e77d2e9df4f7c3f4181a8291d78d4a3151d3818b3f483</x:v>
      </x:c>
      <x:c r="K45" s="228" t="str">
        <x:v>238107</x:v>
      </x:c>
      <x:c r="L45" s="228" t="str">
        <x:v>1</x:v>
      </x:c>
      <x:c r="M45" s="228" t="str">
        <x:v>1000</x:v>
      </x:c>
      <x:c r="N45" s="228" t="str">
        <x:v>True</x:v>
      </x:c>
      <x:c r="O45" s="228" t="str">
        <x:v>0</x:v>
      </x:c>
      <x:c r="P45" s="228" t="str">
        <x:v>476.214</x:v>
      </x:c>
      <x:c r="Q45" s="228" t="str">
        <x:v>129.16542960095785</x:v>
      </x:c>
      <x:c r="R45" s="228" t="str">
        <x:v>208</x:v>
      </x:c>
      <x:c r="S45" s="228" t="str">
        <x:v>789</x:v>
      </x:c>
      <x:c r="T45" s="228" t="str">
        <x:v>0.4766906906906907</x:v>
      </x:c>
      <x:c r="U45" s="230" t="str">
        <x:v>1.0221915999427438</x:v>
      </x:c>
      <x:c r="V45" s="230" t="str">
        <x:v>0.7642634999938309</x:v>
      </x:c>
      <x:c r="W45" s="228" t="str">
        <x:v>True</x:v>
      </x:c>
      <x:c r="X45" s="228" t="str">
        <x:v>False</x:v>
      </x:c>
      <x:c r="Y45" s="228" t="str">
        <x:v>5</x:v>
      </x:c>
      <x:c r="Z45" s="228" t="str">
        <x:v>ich</x:v>
      </x:c>
      <x:c r="AA45" s="228" t="str">
        <x:v>4</x:v>
      </x:c>
      <x:c r="AB45" s="228" t="str">
        <x:v>grid,circle,zoomed,ich</x:v>
      </x:c>
      <x:c r="AC45" s="228" t="str">
        <x:v>642052754</x:v>
      </x:c>
      <x:c r="AD45" s="228" t="str">
        <x:v>642052754</x:v>
      </x:c>
      <x:c r="AE45" s="228" t="str">
        <x:v>entropy,collision</x:v>
      </x:c>
      <x:c r="AF45" s="228" t="str">
        <x:v>119</x:v>
      </x:c>
      <x:c r="AG45" s="228" t="str">
        <x:v>119</x:v>
      </x:c>
      <x:c r="AH45" s="230" t="str">
        <x:v>198.23895130003802</x:v>
      </x:c>
      <x:c r="AI45" s="228" t="str">
        <x:v>True</x:v>
      </x:c>
      <x:c r="AJ45" s="228" t="str">
        <x:v>e523e4e8385d463759636ccd6481a8fe4ef9d62c10639cb015d987cf32522363</x:v>
      </x:c>
      <x:c r="AK45" s="228" t="str">
        <x:v>0</x:v>
      </x:c>
      <x:c r="AL45" s="228" t="str">
        <x:v>0</x:v>
      </x:c>
      <x:c r="AM45" s="228" t="str"/>
      <x:c r="AN45" s="230" t="str">
        <x:v>0.13958479999564588</x:v>
      </x:c>
      <x:c r="AO45" s="228" t="str">
        <x:v>119</x:v>
      </x:c>
      <x:c r="AP45" s="228" t="str">
        <x:v>0</x:v>
      </x:c>
      <x:c r="AQ45" s="228" t="str">
        <x:v>0</x:v>
      </x:c>
      <x:c r="AR45" s="228" t="str">
        <x:v>119</x:v>
      </x:c>
      <x:c r="AS45" s="228" t="str">
        <x:v>198.37853610003367</x:v>
      </x:c>
      <x:c r="AT45" s="228" t="str">
        <x:v>True</x:v>
      </x:c>
      <x:c r="AU45" s="228" t="str">
        <x:v>e523e4e8385d463759636ccd6481a8fe4ef9d62c10639cb015d987cf32522363</x:v>
      </x:c>
      <x:c r="AV45" s="228" t="str">
        <x:v>0</x:v>
      </x:c>
      <x:c r="AW45" s="228" t="str">
        <x:v>119</x:v>
      </x:c>
      <x:c r="AX45" s="228" t="str">
        <x:v>2</x:v>
      </x:c>
      <x:c r="AY45" s="230" t="str">
        <x:v>0.2646917999954894</x:v>
      </x:c>
      <x:c r="AZ45" s="228" t="str">
        <x:v>False</x:v>
      </x:c>
      <x:c r="BA45" s="228" t="str">
        <x:v>117</x:v>
      </x:c>
      <x:c r="BB45" s="230" t="str">
        <x:v>198.64322790002916</x:v>
      </x:c>
      <x:c r="BC45" s="228" t="str">
        <x:v>True</x:v>
      </x:c>
      <x:c r="BD45" s="228" t="str">
        <x:v>8183cfc02c53752c98e652e28652f6eb791b376fc100a2cd4cbd1fa86e82a861</x:v>
      </x:c>
      <x:c r="BE45" s="228" t="str">
        <x:v>-2</x:v>
      </x:c>
      <x:c r="BF45" s="228" t="str">
        <x:v>0</x:v>
      </x:c>
      <x:c r="BG45" s="228" t="str">
        <x:v>1</x:v>
      </x:c>
      <x:c r="BH45" s="228" t="str">
        <x:v>126</x:v>
      </x:c>
      <x:c r="BI45" s="228" t="str">
        <x:v>126</x:v>
      </x:c>
      <x:c r="BJ45" s="230" t="str">
        <x:v>223.1328833999578</x:v>
      </x:c>
      <x:c r="BK45" s="228" t="str">
        <x:v>True</x:v>
      </x:c>
      <x:c r="BL45" s="228" t="str">
        <x:v>6e290186a713cca5d284465f62550e196b5f1a0a9dc2d6c568766783679dec3b</x:v>
      </x:c>
      <x:c r="BM45" s="228" t="str">
        <x:v>0</x:v>
      </x:c>
      <x:c r="BN45" s="228" t="str">
        <x:v>0</x:v>
      </x:c>
      <x:c r="BO45" s="228" t="str"/>
      <x:c r="BP45" s="230" t="str">
        <x:v>0.15223789995070547</x:v>
      </x:c>
      <x:c r="BQ45" s="228" t="str">
        <x:v>126</x:v>
      </x:c>
      <x:c r="BR45" s="228" t="str">
        <x:v>0</x:v>
      </x:c>
      <x:c r="BS45" s="228" t="str">
        <x:v>0</x:v>
      </x:c>
      <x:c r="BT45" s="228" t="str">
        <x:v>126</x:v>
      </x:c>
      <x:c r="BU45" s="228" t="str">
        <x:v>223.2851212999085</x:v>
      </x:c>
      <x:c r="BV45" s="228" t="str">
        <x:v>True</x:v>
      </x:c>
      <x:c r="BW45" s="228" t="str">
        <x:v>6e290186a713cca5d284465f62550e196b5f1a0a9dc2d6c568766783679dec3b</x:v>
      </x:c>
      <x:c r="BX45" s="228" t="str">
        <x:v>0</x:v>
      </x:c>
      <x:c r="BY45" s="228" t="str">
        <x:v>126</x:v>
      </x:c>
      <x:c r="BZ45" s="228" t="str">
        <x:v>5</x:v>
      </x:c>
      <x:c r="CA45" s="230" t="str">
        <x:v>0.34808089991565794</x:v>
      </x:c>
      <x:c r="CB45" s="228" t="str">
        <x:v>False</x:v>
      </x:c>
      <x:c r="CC45" s="228" t="str">
        <x:v>121</x:v>
      </x:c>
      <x:c r="CD45" s="230" t="str">
        <x:v>223.63320219982415</x:v>
      </x:c>
      <x:c r="CE45" s="228" t="str">
        <x:v>True</x:v>
      </x:c>
      <x:c r="CF45" s="228" t="str">
        <x:v>79ced95442bb4323d724d88d1ba670f129a8ffc6d16ae302d3fb9a4fba114bc0</x:v>
      </x:c>
      <x:c r="CG45" s="228" t="str">
        <x:v>-5</x:v>
      </x:c>
      <x:c r="CH45" s="228" t="str">
        <x:v>0</x:v>
      </x:c>
      <x:c r="CI45" s="228" t="str">
        <x:v>2</x:v>
      </x:c>
      <x:c r="CJ45" s="228" t="str">
        <x:v>True</x:v>
      </x:c>
      <x:c r="CK45" s="228" t="str">
        <x:v>True</x:v>
      </x:c>
      <x:c r="CL45" s="228" t="str">
        <x:v>True</x:v>
      </x:c>
      <x:c r="CM45" s="228" t="str">
        <x:v>entropy</x:v>
      </x:c>
      <x:c r="CN45" s="228" t="str">
        <x:v>4</x:v>
      </x:c>
      <x:c r="CO45" s="230" t="str">
        <x:v>24.989974299794994</x:v>
      </x:c>
      <x:c r="CP45" s="228" t="str">
        <x:v>1.0341880341880343</x:v>
      </x:c>
      <x:c r="CQ45" s="228" t="str">
        <x:v>1.125803303560752</x:v>
      </x:c>
      <x:c r="CR45" s="228" t="str">
        <x:v>0.8882546327916658</x:v>
      </x:c>
      <x:c r="CS45" s="228" t="str">
        <x:v>entropy</x:v>
      </x:c>
      <x:c r="CT45" s="228" t="str">
        <x:v>entropy</x:v>
      </x:c>
      <x:c r="CU45" s="228" t="str">
        <x:v>entropy_dominates</x:v>
      </x:c>
      <x:c r="CV45" s="228" t="str">
        <x:v>neither</x:v>
      </x:c>
      <x:c r="CW45" s="228" t="str">
        <x:v>both_valid</x:v>
      </x:c>
      <x:c r="CX45" s="228" t="str">
        <x:v>none</x:v>
      </x:c>
      <x:c r="CY45" s="228" t="str">
        <x:v>none</x:v>
      </x:c>
    </x:row>
    <x:row r="46">
      <x:c r="A46" s="228" t="str">
        <x:v>final-paired-v2</x:v>
      </x:c>
      <x:c r="B46" s="228" t="str">
        <x:v>20260819</x:v>
      </x:c>
      <x:c r="C46" s="228" t="str">
        <x:v>3</x:v>
      </x:c>
      <x:c r="D46" s="228" t="str">
        <x:v>12</x:v>
      </x:c>
      <x:c r="E46" s="228" t="str">
        <x:v>n1000_r0.5_repeat4</x:v>
      </x:c>
      <x:c r="F46" s="228" t="str">
        <x:v>1000</x:v>
      </x:c>
      <x:c r="G46" s="228" t="str">
        <x:v>0.5</x:v>
      </x:c>
      <x:c r="H46" s="228" t="str">
        <x:v>4</x:v>
      </x:c>
      <x:c r="I46" s="228" t="str">
        <x:v>1311860451</x:v>
      </x:c>
      <x:c r="J46" s="228" t="str">
        <x:v>42c9af82e31fe3cbc56eccdddd4dba7e782d9598941133dd14efc9cf1d1c2d41</x:v>
      </x:c>
      <x:c r="K46" s="228" t="str">
        <x:v>236761</x:v>
      </x:c>
      <x:c r="L46" s="228" t="str">
        <x:v>1</x:v>
      </x:c>
      <x:c r="M46" s="228" t="str">
        <x:v>1000</x:v>
      </x:c>
      <x:c r="N46" s="228" t="str">
        <x:v>True</x:v>
      </x:c>
      <x:c r="O46" s="228" t="str">
        <x:v>0</x:v>
      </x:c>
      <x:c r="P46" s="228" t="str">
        <x:v>473.522</x:v>
      </x:c>
      <x:c r="Q46" s="228" t="str">
        <x:v>129.4987857703693</x:v>
      </x:c>
      <x:c r="R46" s="228" t="str">
        <x:v>210</x:v>
      </x:c>
      <x:c r="S46" s="228" t="str">
        <x:v>777</x:v>
      </x:c>
      <x:c r="T46" s="228" t="str">
        <x:v>0.473995995995996</x:v>
      </x:c>
      <x:c r="U46" s="230" t="str">
        <x:v>1.2540213000029325</x:v>
      </x:c>
      <x:c r="V46" s="230" t="str">
        <x:v>0.8739020000211895</x:v>
      </x:c>
      <x:c r="W46" s="228" t="str">
        <x:v>True</x:v>
      </x:c>
      <x:c r="X46" s="228" t="str">
        <x:v>False</x:v>
      </x:c>
      <x:c r="Y46" s="228" t="str">
        <x:v>5</x:v>
      </x:c>
      <x:c r="Z46" s="228" t="str">
        <x:v>circle</x:v>
      </x:c>
      <x:c r="AA46" s="228" t="str">
        <x:v>1</x:v>
      </x:c>
      <x:c r="AB46" s="228" t="str">
        <x:v>circle,zoomed,ich,grid</x:v>
      </x:c>
      <x:c r="AC46" s="228" t="str">
        <x:v>3420105864</x:v>
      </x:c>
      <x:c r="AD46" s="228" t="str">
        <x:v>3420105864</x:v>
      </x:c>
      <x:c r="AE46" s="228" t="str">
        <x:v>collision,entropy</x:v>
      </x:c>
      <x:c r="AF46" s="228" t="str">
        <x:v>891</x:v>
      </x:c>
      <x:c r="AG46" s="228" t="str">
        <x:v>142</x:v>
      </x:c>
      <x:c r="AH46" s="230" t="str">
        <x:v>94.24605990003329</x:v>
      </x:c>
      <x:c r="AI46" s="228" t="str">
        <x:v>True</x:v>
      </x:c>
      <x:c r="AJ46" s="228" t="str">
        <x:v>169162a370887d925e3c93fe2a50a3ea1cf1eb9b1326734d450ae928979f0f36</x:v>
      </x:c>
      <x:c r="AK46" s="228" t="str">
        <x:v>0</x:v>
      </x:c>
      <x:c r="AL46" s="228" t="str">
        <x:v>0</x:v>
      </x:c>
      <x:c r="AM46" s="228" t="str"/>
      <x:c r="AN46" s="230" t="str">
        <x:v>0.1627277999650687</x:v>
      </x:c>
      <x:c r="AO46" s="228" t="str">
        <x:v>142</x:v>
      </x:c>
      <x:c r="AP46" s="228" t="str">
        <x:v>0</x:v>
      </x:c>
      <x:c r="AQ46" s="228" t="str">
        <x:v>0</x:v>
      </x:c>
      <x:c r="AR46" s="228" t="str">
        <x:v>142</x:v>
      </x:c>
      <x:c r="AS46" s="228" t="str">
        <x:v>94.40878769999836</x:v>
      </x:c>
      <x:c r="AT46" s="228" t="str">
        <x:v>True</x:v>
      </x:c>
      <x:c r="AU46" s="228" t="str">
        <x:v>169162a370887d925e3c93fe2a50a3ea1cf1eb9b1326734d450ae928979f0f36</x:v>
      </x:c>
      <x:c r="AV46" s="228" t="str">
        <x:v>0</x:v>
      </x:c>
      <x:c r="AW46" s="228" t="str">
        <x:v>142</x:v>
      </x:c>
      <x:c r="AX46" s="228" t="str">
        <x:v>0</x:v>
      </x:c>
      <x:c r="AY46" s="230" t="str">
        <x:v>0.21399339998606592</x:v>
      </x:c>
      <x:c r="AZ46" s="228" t="str">
        <x:v>False</x:v>
      </x:c>
      <x:c r="BA46" s="228" t="str">
        <x:v>142</x:v>
      </x:c>
      <x:c r="BB46" s="230" t="str">
        <x:v>94.62278109998442</x:v>
      </x:c>
      <x:c r="BC46" s="228" t="str">
        <x:v>True</x:v>
      </x:c>
      <x:c r="BD46" s="228" t="str">
        <x:v>169162a370887d925e3c93fe2a50a3ea1cf1eb9b1326734d450ae928979f0f36</x:v>
      </x:c>
      <x:c r="BE46" s="228" t="str">
        <x:v>0</x:v>
      </x:c>
      <x:c r="BF46" s="228" t="str">
        <x:v>0</x:v>
      </x:c>
      <x:c r="BG46" s="228" t="str">
        <x:v>2</x:v>
      </x:c>
      <x:c r="BH46" s="228" t="str">
        <x:v>880</x:v>
      </x:c>
      <x:c r="BI46" s="228" t="str">
        <x:v>143</x:v>
      </x:c>
      <x:c r="BJ46" s="230" t="str">
        <x:v>84.37751000002027</x:v>
      </x:c>
      <x:c r="BK46" s="228" t="str">
        <x:v>True</x:v>
      </x:c>
      <x:c r="BL46" s="228" t="str">
        <x:v>35f06fac21d475a9fe34d81cc91984d091ec1d38925c2340d0a6e40051f42ace</x:v>
      </x:c>
      <x:c r="BM46" s="228" t="str">
        <x:v>0</x:v>
      </x:c>
      <x:c r="BN46" s="228" t="str">
        <x:v>0</x:v>
      </x:c>
      <x:c r="BO46" s="228" t="str"/>
      <x:c r="BP46" s="230" t="str">
        <x:v>0.13279060006607324</x:v>
      </x:c>
      <x:c r="BQ46" s="228" t="str">
        <x:v>143</x:v>
      </x:c>
      <x:c r="BR46" s="228" t="str">
        <x:v>0</x:v>
      </x:c>
      <x:c r="BS46" s="228" t="str">
        <x:v>0</x:v>
      </x:c>
      <x:c r="BT46" s="228" t="str">
        <x:v>143</x:v>
      </x:c>
      <x:c r="BU46" s="228" t="str">
        <x:v>84.51030060008634</x:v>
      </x:c>
      <x:c r="BV46" s="228" t="str">
        <x:v>True</x:v>
      </x:c>
      <x:c r="BW46" s="228" t="str">
        <x:v>35f06fac21d475a9fe34d81cc91984d091ec1d38925c2340d0a6e40051f42ace</x:v>
      </x:c>
      <x:c r="BX46" s="228" t="str">
        <x:v>0</x:v>
      </x:c>
      <x:c r="BY46" s="228" t="str">
        <x:v>143</x:v>
      </x:c>
      <x:c r="BZ46" s="228" t="str">
        <x:v>0</x:v>
      </x:c>
      <x:c r="CA46" s="230" t="str">
        <x:v>0.18874940008390695</x:v>
      </x:c>
      <x:c r="CB46" s="228" t="str">
        <x:v>False</x:v>
      </x:c>
      <x:c r="CC46" s="228" t="str">
        <x:v>143</x:v>
      </x:c>
      <x:c r="CD46" s="230" t="str">
        <x:v>84.69905000017025</x:v>
      </x:c>
      <x:c r="CE46" s="228" t="str">
        <x:v>True</x:v>
      </x:c>
      <x:c r="CF46" s="228" t="str">
        <x:v>35f06fac21d475a9fe34d81cc91984d091ec1d38925c2340d0a6e40051f42ace</x:v>
      </x:c>
      <x:c r="CG46" s="228" t="str">
        <x:v>0</x:v>
      </x:c>
      <x:c r="CH46" s="228" t="str">
        <x:v>0</x:v>
      </x:c>
      <x:c r="CI46" s="228" t="str">
        <x:v>1</x:v>
      </x:c>
      <x:c r="CJ46" s="228" t="str">
        <x:v>True</x:v>
      </x:c>
      <x:c r="CK46" s="228" t="str">
        <x:v>True</x:v>
      </x:c>
      <x:c r="CL46" s="228" t="str">
        <x:v>True</x:v>
      </x:c>
      <x:c r="CM46" s="228" t="str">
        <x:v>entropy</x:v>
      </x:c>
      <x:c r="CN46" s="228" t="str">
        <x:v>1</x:v>
      </x:c>
      <x:c r="CO46" s="230" t="str">
        <x:v>-9.923731099814177</x:v>
      </x:c>
      <x:c r="CP46" s="228" t="str">
        <x:v>1.0070422535211268</x:v>
      </x:c>
      <x:c r="CQ46" s="228" t="str">
        <x:v>0.8951232358164559</x:v>
      </x:c>
      <x:c r="CR46" s="228" t="str">
        <x:v>1.1171646092818541</x:v>
      </x:c>
      <x:c r="CS46" s="228" t="str">
        <x:v>entropy</x:v>
      </x:c>
      <x:c r="CT46" s="228" t="str">
        <x:v>collision</x:v>
      </x:c>
      <x:c r="CU46" s="228" t="str">
        <x:v>tradeoff</x:v>
      </x:c>
      <x:c r="CV46" s="228" t="str">
        <x:v>neither</x:v>
      </x:c>
      <x:c r="CW46" s="228" t="str">
        <x:v>both_valid</x:v>
      </x:c>
      <x:c r="CX46" s="228" t="str">
        <x:v>none</x:v>
      </x:c>
      <x:c r="CY46" s="228" t="str">
        <x:v>none</x:v>
      </x:c>
    </x:row>
    <x:row r="47">
      <x:c r="A47" s="228" t="str">
        <x:v>final-paired-v2</x:v>
      </x:c>
      <x:c r="B47" s="228" t="str">
        <x:v>20260819</x:v>
      </x:c>
      <x:c r="C47" s="228" t="str">
        <x:v>3</x:v>
      </x:c>
      <x:c r="D47" s="228" t="str">
        <x:v>12</x:v>
      </x:c>
      <x:c r="E47" s="228" t="str">
        <x:v>n1000_r0.5_repeat4</x:v>
      </x:c>
      <x:c r="F47" s="228" t="str">
        <x:v>1000</x:v>
      </x:c>
      <x:c r="G47" s="228" t="str">
        <x:v>0.5</x:v>
      </x:c>
      <x:c r="H47" s="228" t="str">
        <x:v>4</x:v>
      </x:c>
      <x:c r="I47" s="228" t="str">
        <x:v>1311860451</x:v>
      </x:c>
      <x:c r="J47" s="228" t="str">
        <x:v>42c9af82e31fe3cbc56eccdddd4dba7e782d9598941133dd14efc9cf1d1c2d41</x:v>
      </x:c>
      <x:c r="K47" s="228" t="str">
        <x:v>236761</x:v>
      </x:c>
      <x:c r="L47" s="228" t="str">
        <x:v>1</x:v>
      </x:c>
      <x:c r="M47" s="228" t="str">
        <x:v>1000</x:v>
      </x:c>
      <x:c r="N47" s="228" t="str">
        <x:v>True</x:v>
      </x:c>
      <x:c r="O47" s="228" t="str">
        <x:v>0</x:v>
      </x:c>
      <x:c r="P47" s="228" t="str">
        <x:v>473.522</x:v>
      </x:c>
      <x:c r="Q47" s="228" t="str">
        <x:v>129.4987857703693</x:v>
      </x:c>
      <x:c r="R47" s="228" t="str">
        <x:v>210</x:v>
      </x:c>
      <x:c r="S47" s="228" t="str">
        <x:v>777</x:v>
      </x:c>
      <x:c r="T47" s="228" t="str">
        <x:v>0.473995995995996</x:v>
      </x:c>
      <x:c r="U47" s="230" t="str">
        <x:v>1.2540213000029325</x:v>
      </x:c>
      <x:c r="V47" s="230" t="str">
        <x:v>0.8739020000211895</x:v>
      </x:c>
      <x:c r="W47" s="228" t="str">
        <x:v>True</x:v>
      </x:c>
      <x:c r="X47" s="228" t="str">
        <x:v>False</x:v>
      </x:c>
      <x:c r="Y47" s="228" t="str">
        <x:v>5</x:v>
      </x:c>
      <x:c r="Z47" s="228" t="str">
        <x:v>zoomed</x:v>
      </x:c>
      <x:c r="AA47" s="228" t="str">
        <x:v>2</x:v>
      </x:c>
      <x:c r="AB47" s="228" t="str">
        <x:v>circle,zoomed,ich,grid</x:v>
      </x:c>
      <x:c r="AC47" s="228" t="str">
        <x:v>2357446870</x:v>
      </x:c>
      <x:c r="AD47" s="228" t="str">
        <x:v>2357446870</x:v>
      </x:c>
      <x:c r="AE47" s="228" t="str">
        <x:v>collision,entropy</x:v>
      </x:c>
      <x:c r="AF47" s="228" t="str">
        <x:v>677</x:v>
      </x:c>
      <x:c r="AG47" s="228" t="str">
        <x:v>152</x:v>
      </x:c>
      <x:c r="AH47" s="230" t="str">
        <x:v>29.91003449994605</x:v>
      </x:c>
      <x:c r="AI47" s="228" t="str">
        <x:v>True</x:v>
      </x:c>
      <x:c r="AJ47" s="228" t="str">
        <x:v>afad69c79192b7e970bd2d0f3339b0e2de5e6275ad0464f9a99e03900aca2578</x:v>
      </x:c>
      <x:c r="AK47" s="228" t="str">
        <x:v>0</x:v>
      </x:c>
      <x:c r="AL47" s="228" t="str">
        <x:v>0</x:v>
      </x:c>
      <x:c r="AM47" s="228" t="str"/>
      <x:c r="AN47" s="230" t="str">
        <x:v>0.14519499999005347</x:v>
      </x:c>
      <x:c r="AO47" s="228" t="str">
        <x:v>152</x:v>
      </x:c>
      <x:c r="AP47" s="228" t="str">
        <x:v>0</x:v>
      </x:c>
      <x:c r="AQ47" s="228" t="str">
        <x:v>0</x:v>
      </x:c>
      <x:c r="AR47" s="228" t="str">
        <x:v>152</x:v>
      </x:c>
      <x:c r="AS47" s="228" t="str">
        <x:v>30.055229499936104</x:v>
      </x:c>
      <x:c r="AT47" s="228" t="str">
        <x:v>True</x:v>
      </x:c>
      <x:c r="AU47" s="228" t="str">
        <x:v>afad69c79192b7e970bd2d0f3339b0e2de5e6275ad0464f9a99e03900aca2578</x:v>
      </x:c>
      <x:c r="AV47" s="228" t="str">
        <x:v>0</x:v>
      </x:c>
      <x:c r="AW47" s="228" t="str">
        <x:v>152</x:v>
      </x:c>
      <x:c r="AX47" s="228" t="str">
        <x:v>0</x:v>
      </x:c>
      <x:c r="AY47" s="230" t="str">
        <x:v>0.2158157000085339</x:v>
      </x:c>
      <x:c r="AZ47" s="228" t="str">
        <x:v>False</x:v>
      </x:c>
      <x:c r="BA47" s="228" t="str">
        <x:v>152</x:v>
      </x:c>
      <x:c r="BB47" s="230" t="str">
        <x:v>30.271045199944638</x:v>
      </x:c>
      <x:c r="BC47" s="228" t="str">
        <x:v>True</x:v>
      </x:c>
      <x:c r="BD47" s="228" t="str">
        <x:v>afad69c79192b7e970bd2d0f3339b0e2de5e6275ad0464f9a99e03900aca2578</x:v>
      </x:c>
      <x:c r="BE47" s="228" t="str">
        <x:v>0</x:v>
      </x:c>
      <x:c r="BF47" s="228" t="str">
        <x:v>0</x:v>
      </x:c>
      <x:c r="BG47" s="228" t="str">
        <x:v>2</x:v>
      </x:c>
      <x:c r="BH47" s="228" t="str">
        <x:v>382</x:v>
      </x:c>
      <x:c r="BI47" s="228" t="str">
        <x:v>151</x:v>
      </x:c>
      <x:c r="BJ47" s="230" t="str">
        <x:v>29.12589319993276</x:v>
      </x:c>
      <x:c r="BK47" s="228" t="str">
        <x:v>True</x:v>
      </x:c>
      <x:c r="BL47" s="228" t="str">
        <x:v>167cabb3849cb9d7eb5a02aca7ffcc5754ff878eb3ef72cc46b367d27b20ccbc</x:v>
      </x:c>
      <x:c r="BM47" s="228" t="str">
        <x:v>0</x:v>
      </x:c>
      <x:c r="BN47" s="228" t="str">
        <x:v>0</x:v>
      </x:c>
      <x:c r="BO47" s="228" t="str"/>
      <x:c r="BP47" s="230" t="str">
        <x:v>0.16937880008481443</x:v>
      </x:c>
      <x:c r="BQ47" s="228" t="str">
        <x:v>151</x:v>
      </x:c>
      <x:c r="BR47" s="228" t="str">
        <x:v>0</x:v>
      </x:c>
      <x:c r="BS47" s="228" t="str">
        <x:v>0</x:v>
      </x:c>
      <x:c r="BT47" s="228" t="str">
        <x:v>151</x:v>
      </x:c>
      <x:c r="BU47" s="228" t="str">
        <x:v>29.295272000017576</x:v>
      </x:c>
      <x:c r="BV47" s="228" t="str">
        <x:v>True</x:v>
      </x:c>
      <x:c r="BW47" s="228" t="str">
        <x:v>167cabb3849cb9d7eb5a02aca7ffcc5754ff878eb3ef72cc46b367d27b20ccbc</x:v>
      </x:c>
      <x:c r="BX47" s="228" t="str">
        <x:v>0</x:v>
      </x:c>
      <x:c r="BY47" s="228" t="str">
        <x:v>151</x:v>
      </x:c>
      <x:c r="BZ47" s="228" t="str">
        <x:v>0</x:v>
      </x:c>
      <x:c r="CA47" s="230" t="str">
        <x:v>0.21998950000852346</x:v>
      </x:c>
      <x:c r="CB47" s="228" t="str">
        <x:v>False</x:v>
      </x:c>
      <x:c r="CC47" s="228" t="str">
        <x:v>151</x:v>
      </x:c>
      <x:c r="CD47" s="230" t="str">
        <x:v>29.5152615000261</x:v>
      </x:c>
      <x:c r="CE47" s="228" t="str">
        <x:v>True</x:v>
      </x:c>
      <x:c r="CF47" s="228" t="str">
        <x:v>167cabb3849cb9d7eb5a02aca7ffcc5754ff878eb3ef72cc46b367d27b20ccbc</x:v>
      </x:c>
      <x:c r="CG47" s="228" t="str">
        <x:v>0</x:v>
      </x:c>
      <x:c r="CH47" s="228" t="str">
        <x:v>0</x:v>
      </x:c>
      <x:c r="CI47" s="228" t="str">
        <x:v>1</x:v>
      </x:c>
      <x:c r="CJ47" s="228" t="str">
        <x:v>True</x:v>
      </x:c>
      <x:c r="CK47" s="228" t="str">
        <x:v>True</x:v>
      </x:c>
      <x:c r="CL47" s="228" t="str">
        <x:v>True</x:v>
      </x:c>
      <x:c r="CM47" s="228" t="str">
        <x:v>collision</x:v>
      </x:c>
      <x:c r="CN47" s="228" t="str">
        <x:v>-1</x:v>
      </x:c>
      <x:c r="CO47" s="230" t="str">
        <x:v>-0.7557836999185383</x:v>
      </x:c>
      <x:c r="CP47" s="228" t="str">
        <x:v>0.993421052631579</x:v>
      </x:c>
      <x:c r="CQ47" s="228" t="str">
        <x:v>0.9750327847972715</x:v>
      </x:c>
      <x:c r="CR47" s="228" t="str">
        <x:v>1.0256065391769567</x:v>
      </x:c>
      <x:c r="CS47" s="228" t="str">
        <x:v>collision</x:v>
      </x:c>
      <x:c r="CT47" s="228" t="str">
        <x:v>collision</x:v>
      </x:c>
      <x:c r="CU47" s="228" t="str">
        <x:v>collision_dominates</x:v>
      </x:c>
      <x:c r="CV47" s="228" t="str">
        <x:v>neither</x:v>
      </x:c>
      <x:c r="CW47" s="228" t="str">
        <x:v>both_valid</x:v>
      </x:c>
      <x:c r="CX47" s="228" t="str">
        <x:v>none</x:v>
      </x:c>
      <x:c r="CY47" s="228" t="str">
        <x:v>none</x:v>
      </x:c>
    </x:row>
    <x:row r="48">
      <x:c r="A48" s="228" t="str">
        <x:v>final-paired-v2</x:v>
      </x:c>
      <x:c r="B48" s="228" t="str">
        <x:v>20260819</x:v>
      </x:c>
      <x:c r="C48" s="228" t="str">
        <x:v>3</x:v>
      </x:c>
      <x:c r="D48" s="228" t="str">
        <x:v>12</x:v>
      </x:c>
      <x:c r="E48" s="228" t="str">
        <x:v>n1000_r0.5_repeat4</x:v>
      </x:c>
      <x:c r="F48" s="228" t="str">
        <x:v>1000</x:v>
      </x:c>
      <x:c r="G48" s="228" t="str">
        <x:v>0.5</x:v>
      </x:c>
      <x:c r="H48" s="228" t="str">
        <x:v>4</x:v>
      </x:c>
      <x:c r="I48" s="228" t="str">
        <x:v>1311860451</x:v>
      </x:c>
      <x:c r="J48" s="228" t="str">
        <x:v>42c9af82e31fe3cbc56eccdddd4dba7e782d9598941133dd14efc9cf1d1c2d41</x:v>
      </x:c>
      <x:c r="K48" s="228" t="str">
        <x:v>236761</x:v>
      </x:c>
      <x:c r="L48" s="228" t="str">
        <x:v>1</x:v>
      </x:c>
      <x:c r="M48" s="228" t="str">
        <x:v>1000</x:v>
      </x:c>
      <x:c r="N48" s="228" t="str">
        <x:v>True</x:v>
      </x:c>
      <x:c r="O48" s="228" t="str">
        <x:v>0</x:v>
      </x:c>
      <x:c r="P48" s="228" t="str">
        <x:v>473.522</x:v>
      </x:c>
      <x:c r="Q48" s="228" t="str">
        <x:v>129.4987857703693</x:v>
      </x:c>
      <x:c r="R48" s="228" t="str">
        <x:v>210</x:v>
      </x:c>
      <x:c r="S48" s="228" t="str">
        <x:v>777</x:v>
      </x:c>
      <x:c r="T48" s="228" t="str">
        <x:v>0.473995995995996</x:v>
      </x:c>
      <x:c r="U48" s="230" t="str">
        <x:v>1.2540213000029325</x:v>
      </x:c>
      <x:c r="V48" s="230" t="str">
        <x:v>0.8739020000211895</x:v>
      </x:c>
      <x:c r="W48" s="228" t="str">
        <x:v>True</x:v>
      </x:c>
      <x:c r="X48" s="228" t="str">
        <x:v>False</x:v>
      </x:c>
      <x:c r="Y48" s="228" t="str">
        <x:v>5</x:v>
      </x:c>
      <x:c r="Z48" s="228" t="str">
        <x:v>ich</x:v>
      </x:c>
      <x:c r="AA48" s="228" t="str">
        <x:v>3</x:v>
      </x:c>
      <x:c r="AB48" s="228" t="str">
        <x:v>circle,zoomed,ich,grid</x:v>
      </x:c>
      <x:c r="AC48" s="228" t="str">
        <x:v>1776651724</x:v>
      </x:c>
      <x:c r="AD48" s="228" t="str">
        <x:v>1776651724</x:v>
      </x:c>
      <x:c r="AE48" s="228" t="str">
        <x:v>collision,entropy</x:v>
      </x:c>
      <x:c r="AF48" s="228" t="str">
        <x:v>121</x:v>
      </x:c>
      <x:c r="AG48" s="228" t="str">
        <x:v>121</x:v>
      </x:c>
      <x:c r="AH48" s="230" t="str">
        <x:v>227.82545539992861</x:v>
      </x:c>
      <x:c r="AI48" s="228" t="str">
        <x:v>True</x:v>
      </x:c>
      <x:c r="AJ48" s="228" t="str">
        <x:v>a4648d146365d2d5dff4aada8ea407fe06aea4a0072c6293c74829e712a65876</x:v>
      </x:c>
      <x:c r="AK48" s="228" t="str">
        <x:v>0</x:v>
      </x:c>
      <x:c r="AL48" s="228" t="str">
        <x:v>0</x:v>
      </x:c>
      <x:c r="AM48" s="228" t="str"/>
      <x:c r="AN48" s="230" t="str">
        <x:v>0.12710929999593645</x:v>
      </x:c>
      <x:c r="AO48" s="228" t="str">
        <x:v>121</x:v>
      </x:c>
      <x:c r="AP48" s="228" t="str">
        <x:v>0</x:v>
      </x:c>
      <x:c r="AQ48" s="228" t="str">
        <x:v>0</x:v>
      </x:c>
      <x:c r="AR48" s="228" t="str">
        <x:v>121</x:v>
      </x:c>
      <x:c r="AS48" s="228" t="str">
        <x:v>227.95256469992455</x:v>
      </x:c>
      <x:c r="AT48" s="228" t="str">
        <x:v>True</x:v>
      </x:c>
      <x:c r="AU48" s="228" t="str">
        <x:v>a4648d146365d2d5dff4aada8ea407fe06aea4a0072c6293c74829e712a65876</x:v>
      </x:c>
      <x:c r="AV48" s="228" t="str">
        <x:v>0</x:v>
      </x:c>
      <x:c r="AW48" s="228" t="str">
        <x:v>121</x:v>
      </x:c>
      <x:c r="AX48" s="228" t="str">
        <x:v>2</x:v>
      </x:c>
      <x:c r="AY48" s="230" t="str">
        <x:v>0.2437909001018852</x:v>
      </x:c>
      <x:c r="AZ48" s="228" t="str">
        <x:v>False</x:v>
      </x:c>
      <x:c r="BA48" s="228" t="str">
        <x:v>119</x:v>
      </x:c>
      <x:c r="BB48" s="230" t="str">
        <x:v>228.19635560002644</x:v>
      </x:c>
      <x:c r="BC48" s="228" t="str">
        <x:v>True</x:v>
      </x:c>
      <x:c r="BD48" s="228" t="str">
        <x:v>8d131c346ab86c6fdc0b96da76c377add2660b36890625812b2845bb7a39c649</x:v>
      </x:c>
      <x:c r="BE48" s="228" t="str">
        <x:v>-2</x:v>
      </x:c>
      <x:c r="BF48" s="228" t="str">
        <x:v>0</x:v>
      </x:c>
      <x:c r="BG48" s="228" t="str">
        <x:v>2</x:v>
      </x:c>
      <x:c r="BH48" s="228" t="str">
        <x:v>124</x:v>
      </x:c>
      <x:c r="BI48" s="228" t="str">
        <x:v>124</x:v>
      </x:c>
      <x:c r="BJ48" s="230" t="str">
        <x:v>220.3149706000695</x:v>
      </x:c>
      <x:c r="BK48" s="228" t="str">
        <x:v>True</x:v>
      </x:c>
      <x:c r="BL48" s="228" t="str">
        <x:v>73d54d265903f06185db614c08a606df46140390ac22dcadcf565637ec5b1f1a</x:v>
      </x:c>
      <x:c r="BM48" s="228" t="str">
        <x:v>0</x:v>
      </x:c>
      <x:c r="BN48" s="228" t="str">
        <x:v>0</x:v>
      </x:c>
      <x:c r="BO48" s="228" t="str"/>
      <x:c r="BP48" s="230" t="str">
        <x:v>0.13426090008579195</x:v>
      </x:c>
      <x:c r="BQ48" s="228" t="str">
        <x:v>124</x:v>
      </x:c>
      <x:c r="BR48" s="228" t="str">
        <x:v>0</x:v>
      </x:c>
      <x:c r="BS48" s="228" t="str">
        <x:v>0</x:v>
      </x:c>
      <x:c r="BT48" s="228" t="str">
        <x:v>124</x:v>
      </x:c>
      <x:c r="BU48" s="228" t="str">
        <x:v>220.4492315001553</x:v>
      </x:c>
      <x:c r="BV48" s="228" t="str">
        <x:v>True</x:v>
      </x:c>
      <x:c r="BW48" s="228" t="str">
        <x:v>73d54d265903f06185db614c08a606df46140390ac22dcadcf565637ec5b1f1a</x:v>
      </x:c>
      <x:c r="BX48" s="228" t="str">
        <x:v>0</x:v>
      </x:c>
      <x:c r="BY48" s="228" t="str">
        <x:v>124</x:v>
      </x:c>
      <x:c r="BZ48" s="228" t="str">
        <x:v>5</x:v>
      </x:c>
      <x:c r="CA48" s="230" t="str">
        <x:v>0.2955093999626115</x:v>
      </x:c>
      <x:c r="CB48" s="228" t="str">
        <x:v>False</x:v>
      </x:c>
      <x:c r="CC48" s="228" t="str">
        <x:v>119</x:v>
      </x:c>
      <x:c r="CD48" s="230" t="str">
        <x:v>220.7447409001179</x:v>
      </x:c>
      <x:c r="CE48" s="228" t="str">
        <x:v>True</x:v>
      </x:c>
      <x:c r="CF48" s="228" t="str">
        <x:v>a782e725cf889bd2482b9ee205c6d10e30659761f78243c217ba7b44161b9c36</x:v>
      </x:c>
      <x:c r="CG48" s="228" t="str">
        <x:v>-5</x:v>
      </x:c>
      <x:c r="CH48" s="228" t="str">
        <x:v>0</x:v>
      </x:c>
      <x:c r="CI48" s="228" t="str">
        <x:v>1</x:v>
      </x:c>
      <x:c r="CJ48" s="228" t="str">
        <x:v>True</x:v>
      </x:c>
      <x:c r="CK48" s="228" t="str">
        <x:v>True</x:v>
      </x:c>
      <x:c r="CL48" s="228" t="str">
        <x:v>True</x:v>
      </x:c>
      <x:c r="CM48" s="228" t="str">
        <x:v>entropy</x:v>
      </x:c>
      <x:c r="CN48" s="228" t="str">
        <x:v>0</x:v>
      </x:c>
      <x:c r="CO48" s="230" t="str">
        <x:v>-7.451614699908532</x:v>
      </x:c>
      <x:c r="CP48" s="228" t="str">
        <x:v>1.0</x:v>
      </x:c>
      <x:c r="CQ48" s="228" t="str">
        <x:v>0.9673456016406791</x:v>
      </x:c>
      <x:c r="CR48" s="228" t="str">
        <x:v>1.0337567031926718</x:v>
      </x:c>
      <x:c r="CS48" s="228" t="str">
        <x:v>tie</x:v>
      </x:c>
      <x:c r="CT48" s="228" t="str">
        <x:v>collision</x:v>
      </x:c>
      <x:c r="CU48" s="228" t="str">
        <x:v>collision_dominates</x:v>
      </x:c>
      <x:c r="CV48" s="228" t="str">
        <x:v>neither</x:v>
      </x:c>
      <x:c r="CW48" s="228" t="str">
        <x:v>both_valid</x:v>
      </x:c>
      <x:c r="CX48" s="228" t="str">
        <x:v>none</x:v>
      </x:c>
      <x:c r="CY48" s="228" t="str">
        <x:v>none</x:v>
      </x:c>
    </x:row>
    <x:row r="49">
      <x:c r="A49" s="228" t="str">
        <x:v>final-paired-v2</x:v>
      </x:c>
      <x:c r="B49" s="228" t="str">
        <x:v>20260819</x:v>
      </x:c>
      <x:c r="C49" s="228" t="str">
        <x:v>3</x:v>
      </x:c>
      <x:c r="D49" s="228" t="str">
        <x:v>12</x:v>
      </x:c>
      <x:c r="E49" s="228" t="str">
        <x:v>n1000_r0.5_repeat4</x:v>
      </x:c>
      <x:c r="F49" s="228" t="str">
        <x:v>1000</x:v>
      </x:c>
      <x:c r="G49" s="228" t="str">
        <x:v>0.5</x:v>
      </x:c>
      <x:c r="H49" s="228" t="str">
        <x:v>4</x:v>
      </x:c>
      <x:c r="I49" s="228" t="str">
        <x:v>1311860451</x:v>
      </x:c>
      <x:c r="J49" s="228" t="str">
        <x:v>42c9af82e31fe3cbc56eccdddd4dba7e782d9598941133dd14efc9cf1d1c2d41</x:v>
      </x:c>
      <x:c r="K49" s="228" t="str">
        <x:v>236761</x:v>
      </x:c>
      <x:c r="L49" s="228" t="str">
        <x:v>1</x:v>
      </x:c>
      <x:c r="M49" s="228" t="str">
        <x:v>1000</x:v>
      </x:c>
      <x:c r="N49" s="228" t="str">
        <x:v>True</x:v>
      </x:c>
      <x:c r="O49" s="228" t="str">
        <x:v>0</x:v>
      </x:c>
      <x:c r="P49" s="228" t="str">
        <x:v>473.522</x:v>
      </x:c>
      <x:c r="Q49" s="228" t="str">
        <x:v>129.4987857703693</x:v>
      </x:c>
      <x:c r="R49" s="228" t="str">
        <x:v>210</x:v>
      </x:c>
      <x:c r="S49" s="228" t="str">
        <x:v>777</x:v>
      </x:c>
      <x:c r="T49" s="228" t="str">
        <x:v>0.473995995995996</x:v>
      </x:c>
      <x:c r="U49" s="230" t="str">
        <x:v>1.2540213000029325</x:v>
      </x:c>
      <x:c r="V49" s="230" t="str">
        <x:v>0.8739020000211895</x:v>
      </x:c>
      <x:c r="W49" s="228" t="str">
        <x:v>True</x:v>
      </x:c>
      <x:c r="X49" s="228" t="str">
        <x:v>False</x:v>
      </x:c>
      <x:c r="Y49" s="228" t="str">
        <x:v>5</x:v>
      </x:c>
      <x:c r="Z49" s="228" t="str">
        <x:v>grid</x:v>
      </x:c>
      <x:c r="AA49" s="228" t="str">
        <x:v>4</x:v>
      </x:c>
      <x:c r="AB49" s="228" t="str">
        <x:v>circle,zoomed,ich,grid</x:v>
      </x:c>
      <x:c r="AC49" s="228" t="str">
        <x:v>3490062170</x:v>
      </x:c>
      <x:c r="AD49" s="228" t="str">
        <x:v>3490062170</x:v>
      </x:c>
      <x:c r="AE49" s="228" t="str">
        <x:v>collision,entropy</x:v>
      </x:c>
      <x:c r="AF49" s="228" t="str">
        <x:v>764</x:v>
      </x:c>
      <x:c r="AG49" s="228" t="str">
        <x:v>142</x:v>
      </x:c>
      <x:c r="AH49" s="230" t="str">
        <x:v>177.57843380002305</x:v>
      </x:c>
      <x:c r="AI49" s="228" t="str">
        <x:v>True</x:v>
      </x:c>
      <x:c r="AJ49" s="228" t="str">
        <x:v>95c9e5bca1388704de641c3a251a95c73d44e396bd474157fa5ca6ac281c5230</x:v>
      </x:c>
      <x:c r="AK49" s="228" t="str">
        <x:v>0</x:v>
      </x:c>
      <x:c r="AL49" s="228" t="str">
        <x:v>0</x:v>
      </x:c>
      <x:c r="AM49" s="228" t="str"/>
      <x:c r="AN49" s="230" t="str">
        <x:v>0.13511170004494488</x:v>
      </x:c>
      <x:c r="AO49" s="228" t="str">
        <x:v>142</x:v>
      </x:c>
      <x:c r="AP49" s="228" t="str">
        <x:v>0</x:v>
      </x:c>
      <x:c r="AQ49" s="228" t="str">
        <x:v>0</x:v>
      </x:c>
      <x:c r="AR49" s="228" t="str">
        <x:v>142</x:v>
      </x:c>
      <x:c r="AS49" s="228" t="str">
        <x:v>177.713545500068</x:v>
      </x:c>
      <x:c r="AT49" s="228" t="str">
        <x:v>True</x:v>
      </x:c>
      <x:c r="AU49" s="228" t="str">
        <x:v>95c9e5bca1388704de641c3a251a95c73d44e396bd474157fa5ca6ac281c5230</x:v>
      </x:c>
      <x:c r="AV49" s="228" t="str">
        <x:v>0</x:v>
      </x:c>
      <x:c r="AW49" s="228" t="str">
        <x:v>142</x:v>
      </x:c>
      <x:c r="AX49" s="228" t="str">
        <x:v>0</x:v>
      </x:c>
      <x:c r="AY49" s="230" t="str">
        <x:v>0.17852249997667968</x:v>
      </x:c>
      <x:c r="AZ49" s="228" t="str">
        <x:v>False</x:v>
      </x:c>
      <x:c r="BA49" s="228" t="str">
        <x:v>142</x:v>
      </x:c>
      <x:c r="BB49" s="230" t="str">
        <x:v>177.89206800004467</x:v>
      </x:c>
      <x:c r="BC49" s="228" t="str">
        <x:v>True</x:v>
      </x:c>
      <x:c r="BD49" s="228" t="str">
        <x:v>95c9e5bca1388704de641c3a251a95c73d44e396bd474157fa5ca6ac281c5230</x:v>
      </x:c>
      <x:c r="BE49" s="228" t="str">
        <x:v>0</x:v>
      </x:c>
      <x:c r="BF49" s="228" t="str">
        <x:v>0</x:v>
      </x:c>
      <x:c r="BG49" s="228" t="str">
        <x:v>2</x:v>
      </x:c>
      <x:c r="BH49" s="228" t="str">
        <x:v>128</x:v>
      </x:c>
      <x:c r="BI49" s="228" t="str">
        <x:v>124</x:v>
      </x:c>
      <x:c r="BJ49" s="230" t="str">
        <x:v>77.6932683000341</x:v>
      </x:c>
      <x:c r="BK49" s="228" t="str">
        <x:v>True</x:v>
      </x:c>
      <x:c r="BL49" s="228" t="str">
        <x:v>466ce2bf62dcb68e011c565d07076d0519bcf08369f5127a9a361f5bb51081a9</x:v>
      </x:c>
      <x:c r="BM49" s="228" t="str">
        <x:v>0</x:v>
      </x:c>
      <x:c r="BN49" s="228" t="str">
        <x:v>0</x:v>
      </x:c>
      <x:c r="BO49" s="228" t="str"/>
      <x:c r="BP49" s="230" t="str">
        <x:v>0.14449829992372543</x:v>
      </x:c>
      <x:c r="BQ49" s="228" t="str">
        <x:v>124</x:v>
      </x:c>
      <x:c r="BR49" s="228" t="str">
        <x:v>0</x:v>
      </x:c>
      <x:c r="BS49" s="228" t="str">
        <x:v>0</x:v>
      </x:c>
      <x:c r="BT49" s="228" t="str">
        <x:v>124</x:v>
      </x:c>
      <x:c r="BU49" s="228" t="str">
        <x:v>77.83776659995783</x:v>
      </x:c>
      <x:c r="BV49" s="228" t="str">
        <x:v>True</x:v>
      </x:c>
      <x:c r="BW49" s="228" t="str">
        <x:v>466ce2bf62dcb68e011c565d07076d0519bcf08369f5127a9a361f5bb51081a9</x:v>
      </x:c>
      <x:c r="BX49" s="228" t="str">
        <x:v>0</x:v>
      </x:c>
      <x:c r="BY49" s="228" t="str">
        <x:v>124</x:v>
      </x:c>
      <x:c r="BZ49" s="228" t="str">
        <x:v>0</x:v>
      </x:c>
      <x:c r="CA49" s="230" t="str">
        <x:v>0.15432810003403574</x:v>
      </x:c>
      <x:c r="CB49" s="228" t="str">
        <x:v>False</x:v>
      </x:c>
      <x:c r="CC49" s="228" t="str">
        <x:v>124</x:v>
      </x:c>
      <x:c r="CD49" s="230" t="str">
        <x:v>77.99209469999187</x:v>
      </x:c>
      <x:c r="CE49" s="228" t="str">
        <x:v>True</x:v>
      </x:c>
      <x:c r="CF49" s="228" t="str">
        <x:v>466ce2bf62dcb68e011c565d07076d0519bcf08369f5127a9a361f5bb51081a9</x:v>
      </x:c>
      <x:c r="CG49" s="228" t="str">
        <x:v>0</x:v>
      </x:c>
      <x:c r="CH49" s="228" t="str">
        <x:v>0</x:v>
      </x:c>
      <x:c r="CI49" s="228" t="str">
        <x:v>1</x:v>
      </x:c>
      <x:c r="CJ49" s="228" t="str">
        <x:v>True</x:v>
      </x:c>
      <x:c r="CK49" s="228" t="str">
        <x:v>True</x:v>
      </x:c>
      <x:c r="CL49" s="228" t="str">
        <x:v>True</x:v>
      </x:c>
      <x:c r="CM49" s="228" t="str">
        <x:v>collision</x:v>
      </x:c>
      <x:c r="CN49" s="228" t="str">
        <x:v>-18</x:v>
      </x:c>
      <x:c r="CO49" s="230" t="str">
        <x:v>-99.8999733000528</x:v>
      </x:c>
      <x:c r="CP49" s="228" t="str">
        <x:v>0.8732394366197183</x:v>
      </x:c>
      <x:c r="CQ49" s="228" t="str">
        <x:v>0.4384236777773154</x:v>
      </x:c>
      <x:c r="CR49" s="228" t="str">
        <x:v>2.280898707546359</x:v>
      </x:c>
      <x:c r="CS49" s="228" t="str">
        <x:v>collision</x:v>
      </x:c>
      <x:c r="CT49" s="228" t="str">
        <x:v>collision</x:v>
      </x:c>
      <x:c r="CU49" s="228" t="str">
        <x:v>collision_dominates</x:v>
      </x:c>
      <x:c r="CV49" s="228" t="str">
        <x:v>neither</x:v>
      </x:c>
      <x:c r="CW49" s="228" t="str">
        <x:v>both_valid</x:v>
      </x:c>
      <x:c r="CX49" s="228" t="str">
        <x:v>none</x:v>
      </x:c>
      <x:c r="CY49" s="228" t="str">
        <x:v>collision_at_least_2x_faster</x:v>
      </x:c>
    </x:row>
    <x:row r="50">
      <x:c r="A50" s="228" t="str">
        <x:v>final-paired-v2</x:v>
      </x:c>
      <x:c r="B50" s="228" t="str">
        <x:v>20260819</x:v>
      </x:c>
      <x:c r="C50" s="228" t="str">
        <x:v>4</x:v>
      </x:c>
      <x:c r="D50" s="228" t="str">
        <x:v>13</x:v>
      </x:c>
      <x:c r="E50" s="228" t="str">
        <x:v>n1000_r0.7_repeat1</x:v>
      </x:c>
      <x:c r="F50" s="228" t="str">
        <x:v>1000</x:v>
      </x:c>
      <x:c r="G50" s="228" t="str">
        <x:v>0.7</x:v>
      </x:c>
      <x:c r="H50" s="228" t="str">
        <x:v>1</x:v>
      </x:c>
      <x:c r="I50" s="228" t="str">
        <x:v>1268313100</x:v>
      </x:c>
      <x:c r="J50" s="228" t="str">
        <x:v>ac8ed04425b99b07748f1cce2cefa370ed30673edc7474a55242e99441b012c3</x:v>
      </x:c>
      <x:c r="K50" s="228" t="str">
        <x:v>370389</x:v>
      </x:c>
      <x:c r="L50" s="228" t="str">
        <x:v>1</x:v>
      </x:c>
      <x:c r="M50" s="228" t="str">
        <x:v>1000</x:v>
      </x:c>
      <x:c r="N50" s="228" t="str">
        <x:v>True</x:v>
      </x:c>
      <x:c r="O50" s="228" t="str">
        <x:v>0</x:v>
      </x:c>
      <x:c r="P50" s="228" t="str">
        <x:v>740.778</x:v>
      </x:c>
      <x:c r="Q50" s="228" t="str">
        <x:v>145.68554051792512</x:v>
      </x:c>
      <x:c r="R50" s="228" t="str">
        <x:v>378</x:v>
      </x:c>
      <x:c r="S50" s="228" t="str">
        <x:v>998</x:v>
      </x:c>
      <x:c r="T50" s="228" t="str">
        <x:v>0.7415195195195196</x:v>
      </x:c>
      <x:c r="U50" s="230" t="str">
        <x:v>2.053558100014925</x:v>
      </x:c>
      <x:c r="V50" s="230" t="str">
        <x:v>1.4427998999599367</x:v>
      </x:c>
      <x:c r="W50" s="228" t="str">
        <x:v>True</x:v>
      </x:c>
      <x:c r="X50" s="228" t="str">
        <x:v>False</x:v>
      </x:c>
      <x:c r="Y50" s="228" t="str">
        <x:v>5</x:v>
      </x:c>
      <x:c r="Z50" s="228" t="str">
        <x:v>ich</x:v>
      </x:c>
      <x:c r="AA50" s="228" t="str">
        <x:v>1</x:v>
      </x:c>
      <x:c r="AB50" s="228" t="str">
        <x:v>ich,grid,circle,zoomed</x:v>
      </x:c>
      <x:c r="AC50" s="228" t="str">
        <x:v>1816921891</x:v>
      </x:c>
      <x:c r="AD50" s="228" t="str">
        <x:v>1816921891</x:v>
      </x:c>
      <x:c r="AE50" s="228" t="str">
        <x:v>collision,entropy</x:v>
      </x:c>
      <x:c r="AF50" s="228" t="str">
        <x:v>168</x:v>
      </x:c>
      <x:c r="AG50" s="228" t="str">
        <x:v>168</x:v>
      </x:c>
      <x:c r="AH50" s="230" t="str">
        <x:v>258.82804209995084</x:v>
      </x:c>
      <x:c r="AI50" s="228" t="str">
        <x:v>True</x:v>
      </x:c>
      <x:c r="AJ50" s="228" t="str">
        <x:v>d3933a99fbbb5d7f83606ce1f245495a64edf342dc8f1a2e5397da528af62c0f</x:v>
      </x:c>
      <x:c r="AK50" s="228" t="str">
        <x:v>0</x:v>
      </x:c>
      <x:c r="AL50" s="228" t="str">
        <x:v>0</x:v>
      </x:c>
      <x:c r="AM50" s="228" t="str"/>
      <x:c r="AN50" s="230" t="str">
        <x:v>0.152694100048393</x:v>
      </x:c>
      <x:c r="AO50" s="228" t="str">
        <x:v>168</x:v>
      </x:c>
      <x:c r="AP50" s="228" t="str">
        <x:v>0</x:v>
      </x:c>
      <x:c r="AQ50" s="228" t="str">
        <x:v>0</x:v>
      </x:c>
      <x:c r="AR50" s="228" t="str">
        <x:v>168</x:v>
      </x:c>
      <x:c r="AS50" s="228" t="str">
        <x:v>258.9807361999992</x:v>
      </x:c>
      <x:c r="AT50" s="228" t="str">
        <x:v>True</x:v>
      </x:c>
      <x:c r="AU50" s="228" t="str">
        <x:v>d3933a99fbbb5d7f83606ce1f245495a64edf342dc8f1a2e5397da528af62c0f</x:v>
      </x:c>
      <x:c r="AV50" s="228" t="str">
        <x:v>0</x:v>
      </x:c>
      <x:c r="AW50" s="228" t="str">
        <x:v>168</x:v>
      </x:c>
      <x:c r="AX50" s="228" t="str">
        <x:v>6</x:v>
      </x:c>
      <x:c r="AY50" s="230" t="str">
        <x:v>0.46355889993719757</x:v>
      </x:c>
      <x:c r="AZ50" s="228" t="str">
        <x:v>False</x:v>
      </x:c>
      <x:c r="BA50" s="228" t="str">
        <x:v>162</x:v>
      </x:c>
      <x:c r="BB50" s="230" t="str">
        <x:v>259.4442950999364</x:v>
      </x:c>
      <x:c r="BC50" s="228" t="str">
        <x:v>True</x:v>
      </x:c>
      <x:c r="BD50" s="228" t="str">
        <x:v>7d06bfb76e8e061d006ed092019a098c3c064125866c2c7061a4cad41793836f</x:v>
      </x:c>
      <x:c r="BE50" s="228" t="str">
        <x:v>-6</x:v>
      </x:c>
      <x:c r="BF50" s="228" t="str">
        <x:v>0</x:v>
      </x:c>
      <x:c r="BG50" s="228" t="str">
        <x:v>2</x:v>
      </x:c>
      <x:c r="BH50" s="228" t="str">
        <x:v>167</x:v>
      </x:c>
      <x:c r="BI50" s="228" t="str">
        <x:v>167</x:v>
      </x:c>
      <x:c r="BJ50" s="230" t="str">
        <x:v>256.63620009995066</x:v>
      </x:c>
      <x:c r="BK50" s="228" t="str">
        <x:v>True</x:v>
      </x:c>
      <x:c r="BL50" s="228" t="str">
        <x:v>094351cf3f93d5fae0134862828551cdc4c086b83c49d01a7cc935bd7e2c4d1f</x:v>
      </x:c>
      <x:c r="BM50" s="228" t="str">
        <x:v>0</x:v>
      </x:c>
      <x:c r="BN50" s="228" t="str">
        <x:v>0</x:v>
      </x:c>
      <x:c r="BO50" s="228" t="str"/>
      <x:c r="BP50" s="230" t="str">
        <x:v>0.15455020009540021</x:v>
      </x:c>
      <x:c r="BQ50" s="228" t="str">
        <x:v>167</x:v>
      </x:c>
      <x:c r="BR50" s="228" t="str">
        <x:v>0</x:v>
      </x:c>
      <x:c r="BS50" s="228" t="str">
        <x:v>0</x:v>
      </x:c>
      <x:c r="BT50" s="228" t="str">
        <x:v>167</x:v>
      </x:c>
      <x:c r="BU50" s="228" t="str">
        <x:v>256.79075030004606</x:v>
      </x:c>
      <x:c r="BV50" s="228" t="str">
        <x:v>True</x:v>
      </x:c>
      <x:c r="BW50" s="228" t="str">
        <x:v>094351cf3f93d5fae0134862828551cdc4c086b83c49d01a7cc935bd7e2c4d1f</x:v>
      </x:c>
      <x:c r="BX50" s="228" t="str">
        <x:v>0</x:v>
      </x:c>
      <x:c r="BY50" s="228" t="str">
        <x:v>167</x:v>
      </x:c>
      <x:c r="BZ50" s="228" t="str">
        <x:v>7</x:v>
      </x:c>
      <x:c r="CA50" s="230" t="str">
        <x:v>0.6652814999688417</x:v>
      </x:c>
      <x:c r="CB50" s="228" t="str">
        <x:v>False</x:v>
      </x:c>
      <x:c r="CC50" s="228" t="str">
        <x:v>160</x:v>
      </x:c>
      <x:c r="CD50" s="230" t="str">
        <x:v>257.4560318000149</x:v>
      </x:c>
      <x:c r="CE50" s="228" t="str">
        <x:v>True</x:v>
      </x:c>
      <x:c r="CF50" s="228" t="str">
        <x:v>214d49d70c1dd997990044368a87cac5a92c6763b2a01a1eae3899b5d8d60063</x:v>
      </x:c>
      <x:c r="CG50" s="228" t="str">
        <x:v>-7</x:v>
      </x:c>
      <x:c r="CH50" s="228" t="str">
        <x:v>0</x:v>
      </x:c>
      <x:c r="CI50" s="228" t="str">
        <x:v>1</x:v>
      </x:c>
      <x:c r="CJ50" s="228" t="str">
        <x:v>True</x:v>
      </x:c>
      <x:c r="CK50" s="228" t="str">
        <x:v>True</x:v>
      </x:c>
      <x:c r="CL50" s="228" t="str">
        <x:v>True</x:v>
      </x:c>
      <x:c r="CM50" s="228" t="str">
        <x:v>collision</x:v>
      </x:c>
      <x:c r="CN50" s="228" t="str">
        <x:v>-2</x:v>
      </x:c>
      <x:c r="CO50" s="230" t="str">
        <x:v>-1.9882632999215275</x:v>
      </x:c>
      <x:c r="CP50" s="228" t="str">
        <x:v>0.9876543209876543</x:v>
      </x:c>
      <x:c r="CQ50" s="228" t="str">
        <x:v>0.9923364539615116</x:v>
      </x:c>
      <x:c r="CR50" s="228" t="str">
        <x:v>1.007722729531798</x:v>
      </x:c>
      <x:c r="CS50" s="228" t="str">
        <x:v>collision</x:v>
      </x:c>
      <x:c r="CT50" s="228" t="str">
        <x:v>collision</x:v>
      </x:c>
      <x:c r="CU50" s="228" t="str">
        <x:v>collision_dominates</x:v>
      </x:c>
      <x:c r="CV50" s="228" t="str">
        <x:v>neither</x:v>
      </x:c>
      <x:c r="CW50" s="228" t="str">
        <x:v>both_valid</x:v>
      </x:c>
      <x:c r="CX50" s="228" t="str">
        <x:v>none</x:v>
      </x:c>
      <x:c r="CY50" s="228" t="str">
        <x:v>none</x:v>
      </x:c>
    </x:row>
    <x:row r="51">
      <x:c r="A51" s="228" t="str">
        <x:v>final-paired-v2</x:v>
      </x:c>
      <x:c r="B51" s="228" t="str">
        <x:v>20260819</x:v>
      </x:c>
      <x:c r="C51" s="228" t="str">
        <x:v>4</x:v>
      </x:c>
      <x:c r="D51" s="228" t="str">
        <x:v>13</x:v>
      </x:c>
      <x:c r="E51" s="228" t="str">
        <x:v>n1000_r0.7_repeat1</x:v>
      </x:c>
      <x:c r="F51" s="228" t="str">
        <x:v>1000</x:v>
      </x:c>
      <x:c r="G51" s="228" t="str">
        <x:v>0.7</x:v>
      </x:c>
      <x:c r="H51" s="228" t="str">
        <x:v>1</x:v>
      </x:c>
      <x:c r="I51" s="228" t="str">
        <x:v>1268313100</x:v>
      </x:c>
      <x:c r="J51" s="228" t="str">
        <x:v>ac8ed04425b99b07748f1cce2cefa370ed30673edc7474a55242e99441b012c3</x:v>
      </x:c>
      <x:c r="K51" s="228" t="str">
        <x:v>370389</x:v>
      </x:c>
      <x:c r="L51" s="228" t="str">
        <x:v>1</x:v>
      </x:c>
      <x:c r="M51" s="228" t="str">
        <x:v>1000</x:v>
      </x:c>
      <x:c r="N51" s="228" t="str">
        <x:v>True</x:v>
      </x:c>
      <x:c r="O51" s="228" t="str">
        <x:v>0</x:v>
      </x:c>
      <x:c r="P51" s="228" t="str">
        <x:v>740.778</x:v>
      </x:c>
      <x:c r="Q51" s="228" t="str">
        <x:v>145.68554051792512</x:v>
      </x:c>
      <x:c r="R51" s="228" t="str">
        <x:v>378</x:v>
      </x:c>
      <x:c r="S51" s="228" t="str">
        <x:v>998</x:v>
      </x:c>
      <x:c r="T51" s="228" t="str">
        <x:v>0.7415195195195196</x:v>
      </x:c>
      <x:c r="U51" s="230" t="str">
        <x:v>2.053558100014925</x:v>
      </x:c>
      <x:c r="V51" s="230" t="str">
        <x:v>1.4427998999599367</x:v>
      </x:c>
      <x:c r="W51" s="228" t="str">
        <x:v>True</x:v>
      </x:c>
      <x:c r="X51" s="228" t="str">
        <x:v>False</x:v>
      </x:c>
      <x:c r="Y51" s="228" t="str">
        <x:v>5</x:v>
      </x:c>
      <x:c r="Z51" s="228" t="str">
        <x:v>grid</x:v>
      </x:c>
      <x:c r="AA51" s="228" t="str">
        <x:v>2</x:v>
      </x:c>
      <x:c r="AB51" s="228" t="str">
        <x:v>ich,grid,circle,zoomed</x:v>
      </x:c>
      <x:c r="AC51" s="228" t="str">
        <x:v>3585054133</x:v>
      </x:c>
      <x:c r="AD51" s="228" t="str">
        <x:v>3585054133</x:v>
      </x:c>
      <x:c r="AE51" s="228" t="str">
        <x:v>collision,entropy</x:v>
      </x:c>
      <x:c r="AF51" s="228" t="str">
        <x:v>875</x:v>
      </x:c>
      <x:c r="AG51" s="228" t="str">
        <x:v>179</x:v>
      </x:c>
      <x:c r="AH51" s="230" t="str">
        <x:v>160.1240409000311</x:v>
      </x:c>
      <x:c r="AI51" s="228" t="str">
        <x:v>True</x:v>
      </x:c>
      <x:c r="AJ51" s="228" t="str">
        <x:v>38973d711c3ecae93f46a9f350aca58a5e76cfef856c9eed64cbf6d40b38ff2b</x:v>
      </x:c>
      <x:c r="AK51" s="228" t="str">
        <x:v>0</x:v>
      </x:c>
      <x:c r="AL51" s="228" t="str">
        <x:v>0</x:v>
      </x:c>
      <x:c r="AM51" s="228" t="str"/>
      <x:c r="AN51" s="230" t="str">
        <x:v>0.11022909998428077</x:v>
      </x:c>
      <x:c r="AO51" s="228" t="str">
        <x:v>179</x:v>
      </x:c>
      <x:c r="AP51" s="228" t="str">
        <x:v>0</x:v>
      </x:c>
      <x:c r="AQ51" s="228" t="str">
        <x:v>0</x:v>
      </x:c>
      <x:c r="AR51" s="228" t="str">
        <x:v>179</x:v>
      </x:c>
      <x:c r="AS51" s="228" t="str">
        <x:v>160.23427000001539</x:v>
      </x:c>
      <x:c r="AT51" s="228" t="str">
        <x:v>True</x:v>
      </x:c>
      <x:c r="AU51" s="228" t="str">
        <x:v>38973d711c3ecae93f46a9f350aca58a5e76cfef856c9eed64cbf6d40b38ff2b</x:v>
      </x:c>
      <x:c r="AV51" s="228" t="str">
        <x:v>0</x:v>
      </x:c>
      <x:c r="AW51" s="228" t="str">
        <x:v>179</x:v>
      </x:c>
      <x:c r="AX51" s="228" t="str">
        <x:v>0</x:v>
      </x:c>
      <x:c r="AY51" s="230" t="str">
        <x:v>0.15600740001536906</x:v>
      </x:c>
      <x:c r="AZ51" s="228" t="str">
        <x:v>False</x:v>
      </x:c>
      <x:c r="BA51" s="228" t="str">
        <x:v>179</x:v>
      </x:c>
      <x:c r="BB51" s="230" t="str">
        <x:v>160.39027740003075</x:v>
      </x:c>
      <x:c r="BC51" s="228" t="str">
        <x:v>True</x:v>
      </x:c>
      <x:c r="BD51" s="228" t="str">
        <x:v>38973d711c3ecae93f46a9f350aca58a5e76cfef856c9eed64cbf6d40b38ff2b</x:v>
      </x:c>
      <x:c r="BE51" s="228" t="str">
        <x:v>0</x:v>
      </x:c>
      <x:c r="BF51" s="228" t="str">
        <x:v>0</x:v>
      </x:c>
      <x:c r="BG51" s="228" t="str">
        <x:v>2</x:v>
      </x:c>
      <x:c r="BH51" s="228" t="str">
        <x:v>168</x:v>
      </x:c>
      <x:c r="BI51" s="228" t="str">
        <x:v>158</x:v>
      </x:c>
      <x:c r="BJ51" s="230" t="str">
        <x:v>97.53314890002366</x:v>
      </x:c>
      <x:c r="BK51" s="228" t="str">
        <x:v>True</x:v>
      </x:c>
      <x:c r="BL51" s="228" t="str">
        <x:v>f5122c4541c507e99221a67b2f87fc13d407bc186fe020a11c09d50efb4f2937</x:v>
      </x:c>
      <x:c r="BM51" s="228" t="str">
        <x:v>0</x:v>
      </x:c>
      <x:c r="BN51" s="228" t="str">
        <x:v>0</x:v>
      </x:c>
      <x:c r="BO51" s="228" t="str"/>
      <x:c r="BP51" s="230" t="str">
        <x:v>0.161146100028418</x:v>
      </x:c>
      <x:c r="BQ51" s="228" t="str">
        <x:v>158</x:v>
      </x:c>
      <x:c r="BR51" s="228" t="str">
        <x:v>0</x:v>
      </x:c>
      <x:c r="BS51" s="228" t="str">
        <x:v>0</x:v>
      </x:c>
      <x:c r="BT51" s="228" t="str">
        <x:v>158</x:v>
      </x:c>
      <x:c r="BU51" s="228" t="str">
        <x:v>97.69429500005208</x:v>
      </x:c>
      <x:c r="BV51" s="228" t="str">
        <x:v>True</x:v>
      </x:c>
      <x:c r="BW51" s="228" t="str">
        <x:v>f5122c4541c507e99221a67b2f87fc13d407bc186fe020a11c09d50efb4f2937</x:v>
      </x:c>
      <x:c r="BX51" s="228" t="str">
        <x:v>0</x:v>
      </x:c>
      <x:c r="BY51" s="228" t="str">
        <x:v>158</x:v>
      </x:c>
      <x:c r="BZ51" s="228" t="str">
        <x:v>0</x:v>
      </x:c>
      <x:c r="CA51" s="230" t="str">
        <x:v>0.19747720006853342</x:v>
      </x:c>
      <x:c r="CB51" s="228" t="str">
        <x:v>False</x:v>
      </x:c>
      <x:c r="CC51" s="228" t="str">
        <x:v>158</x:v>
      </x:c>
      <x:c r="CD51" s="230" t="str">
        <x:v>97.89177220012061</x:v>
      </x:c>
      <x:c r="CE51" s="228" t="str">
        <x:v>True</x:v>
      </x:c>
      <x:c r="CF51" s="228" t="str">
        <x:v>f5122c4541c507e99221a67b2f87fc13d407bc186fe020a11c09d50efb4f2937</x:v>
      </x:c>
      <x:c r="CG51" s="228" t="str">
        <x:v>0</x:v>
      </x:c>
      <x:c r="CH51" s="228" t="str">
        <x:v>0</x:v>
      </x:c>
      <x:c r="CI51" s="228" t="str">
        <x:v>1</x:v>
      </x:c>
      <x:c r="CJ51" s="228" t="str">
        <x:v>True</x:v>
      </x:c>
      <x:c r="CK51" s="228" t="str">
        <x:v>True</x:v>
      </x:c>
      <x:c r="CL51" s="228" t="str">
        <x:v>True</x:v>
      </x:c>
      <x:c r="CM51" s="228" t="str">
        <x:v>collision</x:v>
      </x:c>
      <x:c r="CN51" s="228" t="str">
        <x:v>-21</x:v>
      </x:c>
      <x:c r="CO51" s="230" t="str">
        <x:v>-62.49850519991014</x:v>
      </x:c>
      <x:c r="CP51" s="228" t="str">
        <x:v>0.88268156424581</x:v>
      </x:c>
      <x:c r="CQ51" s="228" t="str">
        <x:v>0.6103348269419593</x:v>
      </x:c>
      <x:c r="CR51" s="228" t="str">
        <x:v>1.6384449254033746</x:v>
      </x:c>
      <x:c r="CS51" s="228" t="str">
        <x:v>collision</x:v>
      </x:c>
      <x:c r="CT51" s="228" t="str">
        <x:v>collision</x:v>
      </x:c>
      <x:c r="CU51" s="228" t="str">
        <x:v>collision_dominates</x:v>
      </x:c>
      <x:c r="CV51" s="228" t="str">
        <x:v>neither</x:v>
      </x:c>
      <x:c r="CW51" s="228" t="str">
        <x:v>both_valid</x:v>
      </x:c>
      <x:c r="CX51" s="228" t="str">
        <x:v>none</x:v>
      </x:c>
      <x:c r="CY51" s="228" t="str">
        <x:v>none</x:v>
      </x:c>
    </x:row>
    <x:row r="52">
      <x:c r="A52" s="228" t="str">
        <x:v>final-paired-v2</x:v>
      </x:c>
      <x:c r="B52" s="228" t="str">
        <x:v>20260819</x:v>
      </x:c>
      <x:c r="C52" s="228" t="str">
        <x:v>4</x:v>
      </x:c>
      <x:c r="D52" s="228" t="str">
        <x:v>13</x:v>
      </x:c>
      <x:c r="E52" s="228" t="str">
        <x:v>n1000_r0.7_repeat1</x:v>
      </x:c>
      <x:c r="F52" s="228" t="str">
        <x:v>1000</x:v>
      </x:c>
      <x:c r="G52" s="228" t="str">
        <x:v>0.7</x:v>
      </x:c>
      <x:c r="H52" s="228" t="str">
        <x:v>1</x:v>
      </x:c>
      <x:c r="I52" s="228" t="str">
        <x:v>1268313100</x:v>
      </x:c>
      <x:c r="J52" s="228" t="str">
        <x:v>ac8ed04425b99b07748f1cce2cefa370ed30673edc7474a55242e99441b012c3</x:v>
      </x:c>
      <x:c r="K52" s="228" t="str">
        <x:v>370389</x:v>
      </x:c>
      <x:c r="L52" s="228" t="str">
        <x:v>1</x:v>
      </x:c>
      <x:c r="M52" s="228" t="str">
        <x:v>1000</x:v>
      </x:c>
      <x:c r="N52" s="228" t="str">
        <x:v>True</x:v>
      </x:c>
      <x:c r="O52" s="228" t="str">
        <x:v>0</x:v>
      </x:c>
      <x:c r="P52" s="228" t="str">
        <x:v>740.778</x:v>
      </x:c>
      <x:c r="Q52" s="228" t="str">
        <x:v>145.68554051792512</x:v>
      </x:c>
      <x:c r="R52" s="228" t="str">
        <x:v>378</x:v>
      </x:c>
      <x:c r="S52" s="228" t="str">
        <x:v>998</x:v>
      </x:c>
      <x:c r="T52" s="228" t="str">
        <x:v>0.7415195195195196</x:v>
      </x:c>
      <x:c r="U52" s="230" t="str">
        <x:v>2.053558100014925</x:v>
      </x:c>
      <x:c r="V52" s="230" t="str">
        <x:v>1.4427998999599367</x:v>
      </x:c>
      <x:c r="W52" s="228" t="str">
        <x:v>True</x:v>
      </x:c>
      <x:c r="X52" s="228" t="str">
        <x:v>False</x:v>
      </x:c>
      <x:c r="Y52" s="228" t="str">
        <x:v>5</x:v>
      </x:c>
      <x:c r="Z52" s="228" t="str">
        <x:v>circle</x:v>
      </x:c>
      <x:c r="AA52" s="228" t="str">
        <x:v>3</x:v>
      </x:c>
      <x:c r="AB52" s="228" t="str">
        <x:v>ich,grid,circle,zoomed</x:v>
      </x:c>
      <x:c r="AC52" s="228" t="str">
        <x:v>3463652967</x:v>
      </x:c>
      <x:c r="AD52" s="228" t="str">
        <x:v>3463652967</x:v>
      </x:c>
      <x:c r="AE52" s="228" t="str">
        <x:v>collision,entropy</x:v>
      </x:c>
      <x:c r="AF52" s="228" t="str">
        <x:v>806</x:v>
      </x:c>
      <x:c r="AG52" s="228" t="str">
        <x:v>257</x:v>
      </x:c>
      <x:c r="AH52" s="230" t="str">
        <x:v>98.83475260005798</x:v>
      </x:c>
      <x:c r="AI52" s="228" t="str">
        <x:v>True</x:v>
      </x:c>
      <x:c r="AJ52" s="228" t="str">
        <x:v>15cefacd11903ae4b15acfa539f7a518815bc5c3bf8049b832f67446e7f06408</x:v>
      </x:c>
      <x:c r="AK52" s="228" t="str">
        <x:v>0</x:v>
      </x:c>
      <x:c r="AL52" s="228" t="str">
        <x:v>0</x:v>
      </x:c>
      <x:c r="AM52" s="228" t="str"/>
      <x:c r="AN52" s="230" t="str">
        <x:v>0.13057250005658716</x:v>
      </x:c>
      <x:c r="AO52" s="228" t="str">
        <x:v>257</x:v>
      </x:c>
      <x:c r="AP52" s="228" t="str">
        <x:v>0</x:v>
      </x:c>
      <x:c r="AQ52" s="228" t="str">
        <x:v>0</x:v>
      </x:c>
      <x:c r="AR52" s="228" t="str">
        <x:v>257</x:v>
      </x:c>
      <x:c r="AS52" s="228" t="str">
        <x:v>98.96532510011457</x:v>
      </x:c>
      <x:c r="AT52" s="228" t="str">
        <x:v>True</x:v>
      </x:c>
      <x:c r="AU52" s="228" t="str">
        <x:v>15cefacd11903ae4b15acfa539f7a518815bc5c3bf8049b832f67446e7f06408</x:v>
      </x:c>
      <x:c r="AV52" s="228" t="str">
        <x:v>0</x:v>
      </x:c>
      <x:c r="AW52" s="228" t="str">
        <x:v>257</x:v>
      </x:c>
      <x:c r="AX52" s="228" t="str">
        <x:v>0</x:v>
      </x:c>
      <x:c r="AY52" s="230" t="str">
        <x:v>0.19882669998332858</x:v>
      </x:c>
      <x:c r="AZ52" s="228" t="str">
        <x:v>False</x:v>
      </x:c>
      <x:c r="BA52" s="228" t="str">
        <x:v>257</x:v>
      </x:c>
      <x:c r="BB52" s="230" t="str">
        <x:v>99.1641518000979</x:v>
      </x:c>
      <x:c r="BC52" s="228" t="str">
        <x:v>True</x:v>
      </x:c>
      <x:c r="BD52" s="228" t="str">
        <x:v>15cefacd11903ae4b15acfa539f7a518815bc5c3bf8049b832f67446e7f06408</x:v>
      </x:c>
      <x:c r="BE52" s="228" t="str">
        <x:v>0</x:v>
      </x:c>
      <x:c r="BF52" s="228" t="str">
        <x:v>0</x:v>
      </x:c>
      <x:c r="BG52" s="228" t="str">
        <x:v>2</x:v>
      </x:c>
      <x:c r="BH52" s="228" t="str">
        <x:v>742</x:v>
      </x:c>
      <x:c r="BI52" s="228" t="str">
        <x:v>271</x:v>
      </x:c>
      <x:c r="BJ52" s="230" t="str">
        <x:v>53.8037076999899</x:v>
      </x:c>
      <x:c r="BK52" s="228" t="str">
        <x:v>True</x:v>
      </x:c>
      <x:c r="BL52" s="228" t="str">
        <x:v>6595114a3bd46944204d0cc1dce446b3a68c66a60ebc93c5027b4db2b3736f3d</x:v>
      </x:c>
      <x:c r="BM52" s="228" t="str">
        <x:v>0</x:v>
      </x:c>
      <x:c r="BN52" s="228" t="str">
        <x:v>0</x:v>
      </x:c>
      <x:c r="BO52" s="228" t="str"/>
      <x:c r="BP52" s="230" t="str">
        <x:v>0.13703500002156943</x:v>
      </x:c>
      <x:c r="BQ52" s="228" t="str">
        <x:v>271</x:v>
      </x:c>
      <x:c r="BR52" s="228" t="str">
        <x:v>0</x:v>
      </x:c>
      <x:c r="BS52" s="228" t="str">
        <x:v>0</x:v>
      </x:c>
      <x:c r="BT52" s="228" t="str">
        <x:v>271</x:v>
      </x:c>
      <x:c r="BU52" s="228" t="str">
        <x:v>53.94074270001147</x:v>
      </x:c>
      <x:c r="BV52" s="228" t="str">
        <x:v>True</x:v>
      </x:c>
      <x:c r="BW52" s="228" t="str">
        <x:v>6595114a3bd46944204d0cc1dce446b3a68c66a60ebc93c5027b4db2b3736f3d</x:v>
      </x:c>
      <x:c r="BX52" s="228" t="str">
        <x:v>0</x:v>
      </x:c>
      <x:c r="BY52" s="228" t="str">
        <x:v>271</x:v>
      </x:c>
      <x:c r="BZ52" s="228" t="str">
        <x:v>0</x:v>
      </x:c>
      <x:c r="CA52" s="230" t="str">
        <x:v>0.20533530006650835</x:v>
      </x:c>
      <x:c r="CB52" s="228" t="str">
        <x:v>False</x:v>
      </x:c>
      <x:c r="CC52" s="228" t="str">
        <x:v>271</x:v>
      </x:c>
      <x:c r="CD52" s="230" t="str">
        <x:v>54.14607800007798</x:v>
      </x:c>
      <x:c r="CE52" s="228" t="str">
        <x:v>True</x:v>
      </x:c>
      <x:c r="CF52" s="228" t="str">
        <x:v>6595114a3bd46944204d0cc1dce446b3a68c66a60ebc93c5027b4db2b3736f3d</x:v>
      </x:c>
      <x:c r="CG52" s="228" t="str">
        <x:v>0</x:v>
      </x:c>
      <x:c r="CH52" s="228" t="str">
        <x:v>0</x:v>
      </x:c>
      <x:c r="CI52" s="228" t="str">
        <x:v>1</x:v>
      </x:c>
      <x:c r="CJ52" s="228" t="str">
        <x:v>True</x:v>
      </x:c>
      <x:c r="CK52" s="228" t="str">
        <x:v>True</x:v>
      </x:c>
      <x:c r="CL52" s="228" t="str">
        <x:v>True</x:v>
      </x:c>
      <x:c r="CM52" s="228" t="str">
        <x:v>entropy</x:v>
      </x:c>
      <x:c r="CN52" s="228" t="str">
        <x:v>14</x:v>
      </x:c>
      <x:c r="CO52" s="230" t="str">
        <x:v>-45.01807380001992</x:v>
      </x:c>
      <x:c r="CP52" s="228" t="str">
        <x:v>1.0544747081712063</x:v>
      </x:c>
      <x:c r="CQ52" s="228" t="str">
        <x:v>0.5460247177753254</x:v>
      </x:c>
      <x:c r="CR52" s="228" t="str">
        <x:v>1.8314189219753845</x:v>
      </x:c>
      <x:c r="CS52" s="228" t="str">
        <x:v>entropy</x:v>
      </x:c>
      <x:c r="CT52" s="228" t="str">
        <x:v>collision</x:v>
      </x:c>
      <x:c r="CU52" s="228" t="str">
        <x:v>tradeoff</x:v>
      </x:c>
      <x:c r="CV52" s="228" t="str">
        <x:v>neither</x:v>
      </x:c>
      <x:c r="CW52" s="228" t="str">
        <x:v>both_valid</x:v>
      </x:c>
      <x:c r="CX52" s="228" t="str">
        <x:v>none</x:v>
      </x:c>
      <x:c r="CY52" s="228" t="str">
        <x:v>none</x:v>
      </x:c>
    </x:row>
    <x:row r="53">
      <x:c r="A53" s="228" t="str">
        <x:v>final-paired-v2</x:v>
      </x:c>
      <x:c r="B53" s="228" t="str">
        <x:v>20260819</x:v>
      </x:c>
      <x:c r="C53" s="228" t="str">
        <x:v>4</x:v>
      </x:c>
      <x:c r="D53" s="228" t="str">
        <x:v>13</x:v>
      </x:c>
      <x:c r="E53" s="228" t="str">
        <x:v>n1000_r0.7_repeat1</x:v>
      </x:c>
      <x:c r="F53" s="228" t="str">
        <x:v>1000</x:v>
      </x:c>
      <x:c r="G53" s="228" t="str">
        <x:v>0.7</x:v>
      </x:c>
      <x:c r="H53" s="228" t="str">
        <x:v>1</x:v>
      </x:c>
      <x:c r="I53" s="228" t="str">
        <x:v>1268313100</x:v>
      </x:c>
      <x:c r="J53" s="228" t="str">
        <x:v>ac8ed04425b99b07748f1cce2cefa370ed30673edc7474a55242e99441b012c3</x:v>
      </x:c>
      <x:c r="K53" s="228" t="str">
        <x:v>370389</x:v>
      </x:c>
      <x:c r="L53" s="228" t="str">
        <x:v>1</x:v>
      </x:c>
      <x:c r="M53" s="228" t="str">
        <x:v>1000</x:v>
      </x:c>
      <x:c r="N53" s="228" t="str">
        <x:v>True</x:v>
      </x:c>
      <x:c r="O53" s="228" t="str">
        <x:v>0</x:v>
      </x:c>
      <x:c r="P53" s="228" t="str">
        <x:v>740.778</x:v>
      </x:c>
      <x:c r="Q53" s="228" t="str">
        <x:v>145.68554051792512</x:v>
      </x:c>
      <x:c r="R53" s="228" t="str">
        <x:v>378</x:v>
      </x:c>
      <x:c r="S53" s="228" t="str">
        <x:v>998</x:v>
      </x:c>
      <x:c r="T53" s="228" t="str">
        <x:v>0.7415195195195196</x:v>
      </x:c>
      <x:c r="U53" s="230" t="str">
        <x:v>2.053558100014925</x:v>
      </x:c>
      <x:c r="V53" s="230" t="str">
        <x:v>1.4427998999599367</x:v>
      </x:c>
      <x:c r="W53" s="228" t="str">
        <x:v>True</x:v>
      </x:c>
      <x:c r="X53" s="228" t="str">
        <x:v>False</x:v>
      </x:c>
      <x:c r="Y53" s="228" t="str">
        <x:v>5</x:v>
      </x:c>
      <x:c r="Z53" s="228" t="str">
        <x:v>zoomed</x:v>
      </x:c>
      <x:c r="AA53" s="228" t="str">
        <x:v>4</x:v>
      </x:c>
      <x:c r="AB53" s="228" t="str">
        <x:v>ich,grid,circle,zoomed</x:v>
      </x:c>
      <x:c r="AC53" s="228" t="str">
        <x:v>2301248057</x:v>
      </x:c>
      <x:c r="AD53" s="228" t="str">
        <x:v>2301248057</x:v>
      </x:c>
      <x:c r="AE53" s="228" t="str">
        <x:v>collision,entropy</x:v>
      </x:c>
      <x:c r="AF53" s="228" t="str">
        <x:v>928</x:v>
      </x:c>
      <x:c r="AG53" s="228" t="str">
        <x:v>210</x:v>
      </x:c>
      <x:c r="AH53" s="230" t="str">
        <x:v>129.21964409993961</x:v>
      </x:c>
      <x:c r="AI53" s="228" t="str">
        <x:v>True</x:v>
      </x:c>
      <x:c r="AJ53" s="228" t="str">
        <x:v>fe3ba2c4ca9678a6f350d6db2ffd1e345c0ca08415d10ea11c97ebfd87c4da18</x:v>
      </x:c>
      <x:c r="AK53" s="228" t="str">
        <x:v>0</x:v>
      </x:c>
      <x:c r="AL53" s="228" t="str">
        <x:v>0</x:v>
      </x:c>
      <x:c r="AM53" s="228" t="str"/>
      <x:c r="AN53" s="230" t="str">
        <x:v>0.17776640004012734</x:v>
      </x:c>
      <x:c r="AO53" s="228" t="str">
        <x:v>210</x:v>
      </x:c>
      <x:c r="AP53" s="228" t="str">
        <x:v>0</x:v>
      </x:c>
      <x:c r="AQ53" s="228" t="str">
        <x:v>0</x:v>
      </x:c>
      <x:c r="AR53" s="228" t="str">
        <x:v>210</x:v>
      </x:c>
      <x:c r="AS53" s="228" t="str">
        <x:v>129.39741049997974</x:v>
      </x:c>
      <x:c r="AT53" s="228" t="str">
        <x:v>True</x:v>
      </x:c>
      <x:c r="AU53" s="228" t="str">
        <x:v>fe3ba2c4ca9678a6f350d6db2ffd1e345c0ca08415d10ea11c97ebfd87c4da18</x:v>
      </x:c>
      <x:c r="AV53" s="228" t="str">
        <x:v>0</x:v>
      </x:c>
      <x:c r="AW53" s="228" t="str">
        <x:v>210</x:v>
      </x:c>
      <x:c r="AX53" s="228" t="str">
        <x:v>0</x:v>
      </x:c>
      <x:c r="AY53" s="230" t="str">
        <x:v>0.19691579998470843</x:v>
      </x:c>
      <x:c r="AZ53" s="228" t="str">
        <x:v>False</x:v>
      </x:c>
      <x:c r="BA53" s="228" t="str">
        <x:v>210</x:v>
      </x:c>
      <x:c r="BB53" s="230" t="str">
        <x:v>129.59432629996445</x:v>
      </x:c>
      <x:c r="BC53" s="228" t="str">
        <x:v>True</x:v>
      </x:c>
      <x:c r="BD53" s="228" t="str">
        <x:v>fe3ba2c4ca9678a6f350d6db2ffd1e345c0ca08415d10ea11c97ebfd87c4da18</x:v>
      </x:c>
      <x:c r="BE53" s="228" t="str">
        <x:v>0</x:v>
      </x:c>
      <x:c r="BF53" s="228" t="str">
        <x:v>0</x:v>
      </x:c>
      <x:c r="BG53" s="228" t="str">
        <x:v>2</x:v>
      </x:c>
      <x:c r="BH53" s="228" t="str">
        <x:v>215</x:v>
      </x:c>
      <x:c r="BI53" s="228" t="str">
        <x:v>160</x:v>
      </x:c>
      <x:c r="BJ53" s="230" t="str">
        <x:v>68.09949330007657</x:v>
      </x:c>
      <x:c r="BK53" s="228" t="str">
        <x:v>True</x:v>
      </x:c>
      <x:c r="BL53" s="228" t="str">
        <x:v>79db913e25599dc24785a3a378d072af6275d59d1cf0ad4197deee8bac53916b</x:v>
      </x:c>
      <x:c r="BM53" s="228" t="str">
        <x:v>0</x:v>
      </x:c>
      <x:c r="BN53" s="228" t="str">
        <x:v>0</x:v>
      </x:c>
      <x:c r="BO53" s="228" t="str"/>
      <x:c r="BP53" s="230" t="str">
        <x:v>0.12946879991795868</x:v>
      </x:c>
      <x:c r="BQ53" s="228" t="str">
        <x:v>160</x:v>
      </x:c>
      <x:c r="BR53" s="228" t="str">
        <x:v>0</x:v>
      </x:c>
      <x:c r="BS53" s="228" t="str">
        <x:v>0</x:v>
      </x:c>
      <x:c r="BT53" s="228" t="str">
        <x:v>160</x:v>
      </x:c>
      <x:c r="BU53" s="228" t="str">
        <x:v>68.22896209999453</x:v>
      </x:c>
      <x:c r="BV53" s="228" t="str">
        <x:v>True</x:v>
      </x:c>
      <x:c r="BW53" s="228" t="str">
        <x:v>79db913e25599dc24785a3a378d072af6275d59d1cf0ad4197deee8bac53916b</x:v>
      </x:c>
      <x:c r="BX53" s="228" t="str">
        <x:v>0</x:v>
      </x:c>
      <x:c r="BY53" s="228" t="str">
        <x:v>160</x:v>
      </x:c>
      <x:c r="BZ53" s="228" t="str">
        <x:v>0</x:v>
      </x:c>
      <x:c r="CA53" s="230" t="str">
        <x:v>0.147768700029701</x:v>
      </x:c>
      <x:c r="CB53" s="228" t="str">
        <x:v>False</x:v>
      </x:c>
      <x:c r="CC53" s="228" t="str">
        <x:v>160</x:v>
      </x:c>
      <x:c r="CD53" s="230" t="str">
        <x:v>68.37673080002423</x:v>
      </x:c>
      <x:c r="CE53" s="228" t="str">
        <x:v>True</x:v>
      </x:c>
      <x:c r="CF53" s="228" t="str">
        <x:v>79db913e25599dc24785a3a378d072af6275d59d1cf0ad4197deee8bac53916b</x:v>
      </x:c>
      <x:c r="CG53" s="228" t="str">
        <x:v>0</x:v>
      </x:c>
      <x:c r="CH53" s="228" t="str">
        <x:v>0</x:v>
      </x:c>
      <x:c r="CI53" s="228" t="str">
        <x:v>1</x:v>
      </x:c>
      <x:c r="CJ53" s="228" t="str">
        <x:v>True</x:v>
      </x:c>
      <x:c r="CK53" s="228" t="str">
        <x:v>True</x:v>
      </x:c>
      <x:c r="CL53" s="228" t="str">
        <x:v>True</x:v>
      </x:c>
      <x:c r="CM53" s="228" t="str">
        <x:v>collision</x:v>
      </x:c>
      <x:c r="CN53" s="228" t="str">
        <x:v>-50</x:v>
      </x:c>
      <x:c r="CO53" s="230" t="str">
        <x:v>-61.21759549994022</x:v>
      </x:c>
      <x:c r="CP53" s="228" t="str">
        <x:v>0.7619047619047619</x:v>
      </x:c>
      <x:c r="CQ53" s="228" t="str">
        <x:v>0.527621329978263</x:v>
      </x:c>
      <x:c r="CR53" s="228" t="str">
        <x:v>1.8952986605776496</x:v>
      </x:c>
      <x:c r="CS53" s="228" t="str">
        <x:v>collision</x:v>
      </x:c>
      <x:c r="CT53" s="228" t="str">
        <x:v>collision</x:v>
      </x:c>
      <x:c r="CU53" s="228" t="str">
        <x:v>collision_dominates</x:v>
      </x:c>
      <x:c r="CV53" s="228" t="str">
        <x:v>neither</x:v>
      </x:c>
      <x:c r="CW53" s="228" t="str">
        <x:v>both_valid</x:v>
      </x:c>
      <x:c r="CX53" s="228" t="str">
        <x:v>entropy_much_larger</x:v>
      </x:c>
      <x:c r="CY53" s="228" t="str">
        <x:v>none</x:v>
      </x:c>
    </x:row>
    <x:row r="54">
      <x:c r="A54" s="228" t="str">
        <x:v>final-paired-v2</x:v>
      </x:c>
      <x:c r="B54" s="228" t="str">
        <x:v>20260819</x:v>
      </x:c>
      <x:c r="C54" s="228" t="str">
        <x:v>4</x:v>
      </x:c>
      <x:c r="D54" s="228" t="str">
        <x:v>14</x:v>
      </x:c>
      <x:c r="E54" s="228" t="str">
        <x:v>n1000_r0.7_repeat2</x:v>
      </x:c>
      <x:c r="F54" s="228" t="str">
        <x:v>1000</x:v>
      </x:c>
      <x:c r="G54" s="228" t="str">
        <x:v>0.7</x:v>
      </x:c>
      <x:c r="H54" s="228" t="str">
        <x:v>2</x:v>
      </x:c>
      <x:c r="I54" s="228" t="str">
        <x:v>4059220508</x:v>
      </x:c>
      <x:c r="J54" s="228" t="str">
        <x:v>d5734157cc1f2e12765191bd9f7aa767780a0fb4cdae0512c5f08eb0cfe769ae</x:v>
      </x:c>
      <x:c r="K54" s="228" t="str">
        <x:v>371654</x:v>
      </x:c>
      <x:c r="L54" s="228" t="str">
        <x:v>1</x:v>
      </x:c>
      <x:c r="M54" s="228" t="str">
        <x:v>1000</x:v>
      </x:c>
      <x:c r="N54" s="228" t="str">
        <x:v>True</x:v>
      </x:c>
      <x:c r="O54" s="228" t="str">
        <x:v>0</x:v>
      </x:c>
      <x:c r="P54" s="228" t="str">
        <x:v>743.308</x:v>
      </x:c>
      <x:c r="Q54" s="228" t="str">
        <x:v>148.28316538299282</x:v>
      </x:c>
      <x:c r="R54" s="228" t="str">
        <x:v>411</x:v>
      </x:c>
      <x:c r="S54" s="228" t="str">
        <x:v>999</x:v>
      </x:c>
      <x:c r="T54" s="228" t="str">
        <x:v>0.744052052052052</x:v>
      </x:c>
      <x:c r="U54" s="230" t="str">
        <x:v>1.4133288000011817</x:v>
      </x:c>
      <x:c r="V54" s="230" t="str">
        <x:v>1.1765299000544474</x:v>
      </x:c>
      <x:c r="W54" s="228" t="str">
        <x:v>True</x:v>
      </x:c>
      <x:c r="X54" s="228" t="str">
        <x:v>False</x:v>
      </x:c>
      <x:c r="Y54" s="228" t="str">
        <x:v>5</x:v>
      </x:c>
      <x:c r="Z54" s="228" t="str">
        <x:v>grid</x:v>
      </x:c>
      <x:c r="AA54" s="228" t="str">
        <x:v>1</x:v>
      </x:c>
      <x:c r="AB54" s="228" t="str">
        <x:v>grid,circle,zoomed,ich</x:v>
      </x:c>
      <x:c r="AC54" s="228" t="str">
        <x:v>1875227557</x:v>
      </x:c>
      <x:c r="AD54" s="228" t="str">
        <x:v>1875227557</x:v>
      </x:c>
      <x:c r="AE54" s="228" t="str">
        <x:v>entropy,collision</x:v>
      </x:c>
      <x:c r="AF54" s="228" t="str">
        <x:v>804</x:v>
      </x:c>
      <x:c r="AG54" s="228" t="str">
        <x:v>179</x:v>
      </x:c>
      <x:c r="AH54" s="230" t="str">
        <x:v>140.91466470004525</x:v>
      </x:c>
      <x:c r="AI54" s="228" t="str">
        <x:v>True</x:v>
      </x:c>
      <x:c r="AJ54" s="228" t="str">
        <x:v>ecabd25a3d1bb4635834bb6f0ce29051639aa29325303281064b023628429872</x:v>
      </x:c>
      <x:c r="AK54" s="228" t="str">
        <x:v>0</x:v>
      </x:c>
      <x:c r="AL54" s="228" t="str">
        <x:v>0</x:v>
      </x:c>
      <x:c r="AM54" s="228" t="str"/>
      <x:c r="AN54" s="230" t="str">
        <x:v>0.12077969999518245</x:v>
      </x:c>
      <x:c r="AO54" s="228" t="str">
        <x:v>179</x:v>
      </x:c>
      <x:c r="AP54" s="228" t="str">
        <x:v>0</x:v>
      </x:c>
      <x:c r="AQ54" s="228" t="str">
        <x:v>0</x:v>
      </x:c>
      <x:c r="AR54" s="228" t="str">
        <x:v>179</x:v>
      </x:c>
      <x:c r="AS54" s="228" t="str">
        <x:v>141.03544440004043</x:v>
      </x:c>
      <x:c r="AT54" s="228" t="str">
        <x:v>True</x:v>
      </x:c>
      <x:c r="AU54" s="228" t="str">
        <x:v>ecabd25a3d1bb4635834bb6f0ce29051639aa29325303281064b023628429872</x:v>
      </x:c>
      <x:c r="AV54" s="228" t="str">
        <x:v>0</x:v>
      </x:c>
      <x:c r="AW54" s="228" t="str">
        <x:v>179</x:v>
      </x:c>
      <x:c r="AX54" s="228" t="str">
        <x:v>0</x:v>
      </x:c>
      <x:c r="AY54" s="230" t="str">
        <x:v>0.20211150008253753</x:v>
      </x:c>
      <x:c r="AZ54" s="228" t="str">
        <x:v>False</x:v>
      </x:c>
      <x:c r="BA54" s="228" t="str">
        <x:v>179</x:v>
      </x:c>
      <x:c r="BB54" s="230" t="str">
        <x:v>141.23755590012297</x:v>
      </x:c>
      <x:c r="BC54" s="228" t="str">
        <x:v>True</x:v>
      </x:c>
      <x:c r="BD54" s="228" t="str">
        <x:v>ecabd25a3d1bb4635834bb6f0ce29051639aa29325303281064b023628429872</x:v>
      </x:c>
      <x:c r="BE54" s="228" t="str">
        <x:v>0</x:v>
      </x:c>
      <x:c r="BF54" s="228" t="str">
        <x:v>0</x:v>
      </x:c>
      <x:c r="BG54" s="228" t="str">
        <x:v>1</x:v>
      </x:c>
      <x:c r="BH54" s="228" t="str">
        <x:v>161</x:v>
      </x:c>
      <x:c r="BI54" s="228" t="str">
        <x:v>154</x:v>
      </x:c>
      <x:c r="BJ54" s="230" t="str">
        <x:v>66.05903290002607</x:v>
      </x:c>
      <x:c r="BK54" s="228" t="str">
        <x:v>True</x:v>
      </x:c>
      <x:c r="BL54" s="228" t="str">
        <x:v>5b9fc976b45564377a3c476cb934098d341b705f3cf04117a49ad804f5d3ff00</x:v>
      </x:c>
      <x:c r="BM54" s="228" t="str">
        <x:v>0</x:v>
      </x:c>
      <x:c r="BN54" s="228" t="str">
        <x:v>0</x:v>
      </x:c>
      <x:c r="BO54" s="228" t="str"/>
      <x:c r="BP54" s="230" t="str">
        <x:v>0.11134220007807016</x:v>
      </x:c>
      <x:c r="BQ54" s="228" t="str">
        <x:v>154</x:v>
      </x:c>
      <x:c r="BR54" s="228" t="str">
        <x:v>0</x:v>
      </x:c>
      <x:c r="BS54" s="228" t="str">
        <x:v>0</x:v>
      </x:c>
      <x:c r="BT54" s="228" t="str">
        <x:v>154</x:v>
      </x:c>
      <x:c r="BU54" s="228" t="str">
        <x:v>66.17037510010414</x:v>
      </x:c>
      <x:c r="BV54" s="228" t="str">
        <x:v>True</x:v>
      </x:c>
      <x:c r="BW54" s="228" t="str">
        <x:v>5b9fc976b45564377a3c476cb934098d341b705f3cf04117a49ad804f5d3ff00</x:v>
      </x:c>
      <x:c r="BX54" s="228" t="str">
        <x:v>0</x:v>
      </x:c>
      <x:c r="BY54" s="228" t="str">
        <x:v>154</x:v>
      </x:c>
      <x:c r="BZ54" s="228" t="str">
        <x:v>0</x:v>
      </x:c>
      <x:c r="CA54" s="230" t="str">
        <x:v>0.13056639989372343</x:v>
      </x:c>
      <x:c r="CB54" s="228" t="str">
        <x:v>False</x:v>
      </x:c>
      <x:c r="CC54" s="228" t="str">
        <x:v>154</x:v>
      </x:c>
      <x:c r="CD54" s="230" t="str">
        <x:v>66.30094149999786</x:v>
      </x:c>
      <x:c r="CE54" s="228" t="str">
        <x:v>True</x:v>
      </x:c>
      <x:c r="CF54" s="228" t="str">
        <x:v>5b9fc976b45564377a3c476cb934098d341b705f3cf04117a49ad804f5d3ff00</x:v>
      </x:c>
      <x:c r="CG54" s="228" t="str">
        <x:v>0</x:v>
      </x:c>
      <x:c r="CH54" s="228" t="str">
        <x:v>0</x:v>
      </x:c>
      <x:c r="CI54" s="228" t="str">
        <x:v>2</x:v>
      </x:c>
      <x:c r="CJ54" s="228" t="str">
        <x:v>True</x:v>
      </x:c>
      <x:c r="CK54" s="228" t="str">
        <x:v>True</x:v>
      </x:c>
      <x:c r="CL54" s="228" t="str">
        <x:v>True</x:v>
      </x:c>
      <x:c r="CM54" s="228" t="str">
        <x:v>collision</x:v>
      </x:c>
      <x:c r="CN54" s="228" t="str">
        <x:v>-25</x:v>
      </x:c>
      <x:c r="CO54" s="230" t="str">
        <x:v>-74.93661440012511</x:v>
      </x:c>
      <x:c r="CP54" s="228" t="str">
        <x:v>0.8603351955307262</x:v>
      </x:c>
      <x:c r="CQ54" s="228" t="str">
        <x:v>0.4694285530321906</x:v>
      </x:c>
      <x:c r="CR54" s="228" t="str">
        <x:v>2.130249627000056</x:v>
      </x:c>
      <x:c r="CS54" s="228" t="str">
        <x:v>collision</x:v>
      </x:c>
      <x:c r="CT54" s="228" t="str">
        <x:v>collision</x:v>
      </x:c>
      <x:c r="CU54" s="228" t="str">
        <x:v>collision_dominates</x:v>
      </x:c>
      <x:c r="CV54" s="228" t="str">
        <x:v>neither</x:v>
      </x:c>
      <x:c r="CW54" s="228" t="str">
        <x:v>both_valid</x:v>
      </x:c>
      <x:c r="CX54" s="228" t="str">
        <x:v>none</x:v>
      </x:c>
      <x:c r="CY54" s="228" t="str">
        <x:v>collision_at_least_2x_faster</x:v>
      </x:c>
    </x:row>
    <x:row r="55">
      <x:c r="A55" s="228" t="str">
        <x:v>final-paired-v2</x:v>
      </x:c>
      <x:c r="B55" s="228" t="str">
        <x:v>20260819</x:v>
      </x:c>
      <x:c r="C55" s="228" t="str">
        <x:v>4</x:v>
      </x:c>
      <x:c r="D55" s="228" t="str">
        <x:v>14</x:v>
      </x:c>
      <x:c r="E55" s="228" t="str">
        <x:v>n1000_r0.7_repeat2</x:v>
      </x:c>
      <x:c r="F55" s="228" t="str">
        <x:v>1000</x:v>
      </x:c>
      <x:c r="G55" s="228" t="str">
        <x:v>0.7</x:v>
      </x:c>
      <x:c r="H55" s="228" t="str">
        <x:v>2</x:v>
      </x:c>
      <x:c r="I55" s="228" t="str">
        <x:v>4059220508</x:v>
      </x:c>
      <x:c r="J55" s="228" t="str">
        <x:v>d5734157cc1f2e12765191bd9f7aa767780a0fb4cdae0512c5f08eb0cfe769ae</x:v>
      </x:c>
      <x:c r="K55" s="228" t="str">
        <x:v>371654</x:v>
      </x:c>
      <x:c r="L55" s="228" t="str">
        <x:v>1</x:v>
      </x:c>
      <x:c r="M55" s="228" t="str">
        <x:v>1000</x:v>
      </x:c>
      <x:c r="N55" s="228" t="str">
        <x:v>True</x:v>
      </x:c>
      <x:c r="O55" s="228" t="str">
        <x:v>0</x:v>
      </x:c>
      <x:c r="P55" s="228" t="str">
        <x:v>743.308</x:v>
      </x:c>
      <x:c r="Q55" s="228" t="str">
        <x:v>148.28316538299282</x:v>
      </x:c>
      <x:c r="R55" s="228" t="str">
        <x:v>411</x:v>
      </x:c>
      <x:c r="S55" s="228" t="str">
        <x:v>999</x:v>
      </x:c>
      <x:c r="T55" s="228" t="str">
        <x:v>0.744052052052052</x:v>
      </x:c>
      <x:c r="U55" s="230" t="str">
        <x:v>1.4133288000011817</x:v>
      </x:c>
      <x:c r="V55" s="230" t="str">
        <x:v>1.1765299000544474</x:v>
      </x:c>
      <x:c r="W55" s="228" t="str">
        <x:v>True</x:v>
      </x:c>
      <x:c r="X55" s="228" t="str">
        <x:v>False</x:v>
      </x:c>
      <x:c r="Y55" s="228" t="str">
        <x:v>5</x:v>
      </x:c>
      <x:c r="Z55" s="228" t="str">
        <x:v>circle</x:v>
      </x:c>
      <x:c r="AA55" s="228" t="str">
        <x:v>2</x:v>
      </x:c>
      <x:c r="AB55" s="228" t="str">
        <x:v>grid,circle,zoomed,ich</x:v>
      </x:c>
      <x:c r="AC55" s="228" t="str">
        <x:v>1947795575</x:v>
      </x:c>
      <x:c r="AD55" s="228" t="str">
        <x:v>1947795575</x:v>
      </x:c>
      <x:c r="AE55" s="228" t="str">
        <x:v>entropy,collision</x:v>
      </x:c>
      <x:c r="AF55" s="228" t="str">
        <x:v>981</x:v>
      </x:c>
      <x:c r="AG55" s="228" t="str">
        <x:v>194</x:v>
      </x:c>
      <x:c r="AH55" s="230" t="str">
        <x:v>61.79066729999613</x:v>
      </x:c>
      <x:c r="AI55" s="228" t="str">
        <x:v>True</x:v>
      </x:c>
      <x:c r="AJ55" s="228" t="str">
        <x:v>a121f35a38b7da7697ba692392f9db2646c4f45665c9c018fda8aeca32abf4d1</x:v>
      </x:c>
      <x:c r="AK55" s="228" t="str">
        <x:v>0</x:v>
      </x:c>
      <x:c r="AL55" s="228" t="str">
        <x:v>0</x:v>
      </x:c>
      <x:c r="AM55" s="228" t="str"/>
      <x:c r="AN55" s="230" t="str">
        <x:v>0.12113640003371984</x:v>
      </x:c>
      <x:c r="AO55" s="228" t="str">
        <x:v>194</x:v>
      </x:c>
      <x:c r="AP55" s="228" t="str">
        <x:v>0</x:v>
      </x:c>
      <x:c r="AQ55" s="228" t="str">
        <x:v>0</x:v>
      </x:c>
      <x:c r="AR55" s="228" t="str">
        <x:v>194</x:v>
      </x:c>
      <x:c r="AS55" s="228" t="str">
        <x:v>61.91180370002985</x:v>
      </x:c>
      <x:c r="AT55" s="228" t="str">
        <x:v>True</x:v>
      </x:c>
      <x:c r="AU55" s="228" t="str">
        <x:v>a121f35a38b7da7697ba692392f9db2646c4f45665c9c018fda8aeca32abf4d1</x:v>
      </x:c>
      <x:c r="AV55" s="228" t="str">
        <x:v>0</x:v>
      </x:c>
      <x:c r="AW55" s="228" t="str">
        <x:v>194</x:v>
      </x:c>
      <x:c r="AX55" s="228" t="str">
        <x:v>0</x:v>
      </x:c>
      <x:c r="AY55" s="230" t="str">
        <x:v>0.1992808000650257</x:v>
      </x:c>
      <x:c r="AZ55" s="228" t="str">
        <x:v>False</x:v>
      </x:c>
      <x:c r="BA55" s="228" t="str">
        <x:v>194</x:v>
      </x:c>
      <x:c r="BB55" s="230" t="str">
        <x:v>62.111084500094876</x:v>
      </x:c>
      <x:c r="BC55" s="228" t="str">
        <x:v>True</x:v>
      </x:c>
      <x:c r="BD55" s="228" t="str">
        <x:v>a121f35a38b7da7697ba692392f9db2646c4f45665c9c018fda8aeca32abf4d1</x:v>
      </x:c>
      <x:c r="BE55" s="228" t="str">
        <x:v>0</x:v>
      </x:c>
      <x:c r="BF55" s="228" t="str">
        <x:v>0</x:v>
      </x:c>
      <x:c r="BG55" s="228" t="str">
        <x:v>1</x:v>
      </x:c>
      <x:c r="BH55" s="228" t="str">
        <x:v>973</x:v>
      </x:c>
      <x:c r="BI55" s="228" t="str">
        <x:v>194</x:v>
      </x:c>
      <x:c r="BJ55" s="230" t="str">
        <x:v>62.300386500079185</x:v>
      </x:c>
      <x:c r="BK55" s="228" t="str">
        <x:v>True</x:v>
      </x:c>
      <x:c r="BL55" s="228" t="str">
        <x:v>ef2e57cde0ef9da832574f81faebaa25ad96da9468a8f679fd7e0b301c99bebf</x:v>
      </x:c>
      <x:c r="BM55" s="228" t="str">
        <x:v>0</x:v>
      </x:c>
      <x:c r="BN55" s="228" t="str">
        <x:v>0</x:v>
      </x:c>
      <x:c r="BO55" s="228" t="str"/>
      <x:c r="BP55" s="230" t="str">
        <x:v>0.11377350008115172</x:v>
      </x:c>
      <x:c r="BQ55" s="228" t="str">
        <x:v>194</x:v>
      </x:c>
      <x:c r="BR55" s="228" t="str">
        <x:v>0</x:v>
      </x:c>
      <x:c r="BS55" s="228" t="str">
        <x:v>0</x:v>
      </x:c>
      <x:c r="BT55" s="228" t="str">
        <x:v>194</x:v>
      </x:c>
      <x:c r="BU55" s="228" t="str">
        <x:v>62.41416000016034</x:v>
      </x:c>
      <x:c r="BV55" s="228" t="str">
        <x:v>True</x:v>
      </x:c>
      <x:c r="BW55" s="228" t="str">
        <x:v>ef2e57cde0ef9da832574f81faebaa25ad96da9468a8f679fd7e0b301c99bebf</x:v>
      </x:c>
      <x:c r="BX55" s="228" t="str">
        <x:v>0</x:v>
      </x:c>
      <x:c r="BY55" s="228" t="str">
        <x:v>194</x:v>
      </x:c>
      <x:c r="BZ55" s="228" t="str">
        <x:v>0</x:v>
      </x:c>
      <x:c r="CA55" s="230" t="str">
        <x:v>0.17344479996245354</x:v>
      </x:c>
      <x:c r="CB55" s="228" t="str">
        <x:v>False</x:v>
      </x:c>
      <x:c r="CC55" s="228" t="str">
        <x:v>194</x:v>
      </x:c>
      <x:c r="CD55" s="230" t="str">
        <x:v>62.58760480012279</x:v>
      </x:c>
      <x:c r="CE55" s="228" t="str">
        <x:v>True</x:v>
      </x:c>
      <x:c r="CF55" s="228" t="str">
        <x:v>ef2e57cde0ef9da832574f81faebaa25ad96da9468a8f679fd7e0b301c99bebf</x:v>
      </x:c>
      <x:c r="CG55" s="228" t="str">
        <x:v>0</x:v>
      </x:c>
      <x:c r="CH55" s="228" t="str">
        <x:v>0</x:v>
      </x:c>
      <x:c r="CI55" s="228" t="str">
        <x:v>2</x:v>
      </x:c>
      <x:c r="CJ55" s="228" t="str">
        <x:v>True</x:v>
      </x:c>
      <x:c r="CK55" s="228" t="str">
        <x:v>True</x:v>
      </x:c>
      <x:c r="CL55" s="228" t="str">
        <x:v>True</x:v>
      </x:c>
      <x:c r="CM55" s="228" t="str">
        <x:v>tie</x:v>
      </x:c>
      <x:c r="CN55" s="228" t="str">
        <x:v>0</x:v>
      </x:c>
      <x:c r="CO55" s="230" t="str">
        <x:v>0.47652030002791435</x:v>
      </x:c>
      <x:c r="CP55" s="228" t="str">
        <x:v>1.0</x:v>
      </x:c>
      <x:c r="CQ55" s="228" t="str">
        <x:v>1.0076720653626197</x:v>
      </x:c>
      <x:c r="CR55" s="228" t="str">
        <x:v>0.9923863470802292</x:v>
      </x:c>
      <x:c r="CS55" s="228" t="str">
        <x:v>tie</x:v>
      </x:c>
      <x:c r="CT55" s="228" t="str">
        <x:v>entropy</x:v>
      </x:c>
      <x:c r="CU55" s="228" t="str">
        <x:v>entropy_dominates</x:v>
      </x:c>
      <x:c r="CV55" s="228" t="str">
        <x:v>neither</x:v>
      </x:c>
      <x:c r="CW55" s="228" t="str">
        <x:v>both_valid</x:v>
      </x:c>
      <x:c r="CX55" s="228" t="str">
        <x:v>none</x:v>
      </x:c>
      <x:c r="CY55" s="228" t="str">
        <x:v>none</x:v>
      </x:c>
    </x:row>
    <x:row r="56">
      <x:c r="A56" s="228" t="str">
        <x:v>final-paired-v2</x:v>
      </x:c>
      <x:c r="B56" s="228" t="str">
        <x:v>20260819</x:v>
      </x:c>
      <x:c r="C56" s="228" t="str">
        <x:v>4</x:v>
      </x:c>
      <x:c r="D56" s="228" t="str">
        <x:v>14</x:v>
      </x:c>
      <x:c r="E56" s="228" t="str">
        <x:v>n1000_r0.7_repeat2</x:v>
      </x:c>
      <x:c r="F56" s="228" t="str">
        <x:v>1000</x:v>
      </x:c>
      <x:c r="G56" s="228" t="str">
        <x:v>0.7</x:v>
      </x:c>
      <x:c r="H56" s="228" t="str">
        <x:v>2</x:v>
      </x:c>
      <x:c r="I56" s="228" t="str">
        <x:v>4059220508</x:v>
      </x:c>
      <x:c r="J56" s="228" t="str">
        <x:v>d5734157cc1f2e12765191bd9f7aa767780a0fb4cdae0512c5f08eb0cfe769ae</x:v>
      </x:c>
      <x:c r="K56" s="228" t="str">
        <x:v>371654</x:v>
      </x:c>
      <x:c r="L56" s="228" t="str">
        <x:v>1</x:v>
      </x:c>
      <x:c r="M56" s="228" t="str">
        <x:v>1000</x:v>
      </x:c>
      <x:c r="N56" s="228" t="str">
        <x:v>True</x:v>
      </x:c>
      <x:c r="O56" s="228" t="str">
        <x:v>0</x:v>
      </x:c>
      <x:c r="P56" s="228" t="str">
        <x:v>743.308</x:v>
      </x:c>
      <x:c r="Q56" s="228" t="str">
        <x:v>148.28316538299282</x:v>
      </x:c>
      <x:c r="R56" s="228" t="str">
        <x:v>411</x:v>
      </x:c>
      <x:c r="S56" s="228" t="str">
        <x:v>999</x:v>
      </x:c>
      <x:c r="T56" s="228" t="str">
        <x:v>0.744052052052052</x:v>
      </x:c>
      <x:c r="U56" s="230" t="str">
        <x:v>1.4133288000011817</x:v>
      </x:c>
      <x:c r="V56" s="230" t="str">
        <x:v>1.1765299000544474</x:v>
      </x:c>
      <x:c r="W56" s="228" t="str">
        <x:v>True</x:v>
      </x:c>
      <x:c r="X56" s="228" t="str">
        <x:v>False</x:v>
      </x:c>
      <x:c r="Y56" s="228" t="str">
        <x:v>5</x:v>
      </x:c>
      <x:c r="Z56" s="228" t="str">
        <x:v>zoomed</x:v>
      </x:c>
      <x:c r="AA56" s="228" t="str">
        <x:v>3</x:v>
      </x:c>
      <x:c r="AB56" s="228" t="str">
        <x:v>grid,circle,zoomed,ich</x:v>
      </x:c>
      <x:c r="AC56" s="228" t="str">
        <x:v>859857961</x:v>
      </x:c>
      <x:c r="AD56" s="228" t="str">
        <x:v>859857961</x:v>
      </x:c>
      <x:c r="AE56" s="228" t="str">
        <x:v>entropy,collision</x:v>
      </x:c>
      <x:c r="AF56" s="228" t="str">
        <x:v>904</x:v>
      </x:c>
      <x:c r="AG56" s="228" t="str">
        <x:v>222</x:v>
      </x:c>
      <x:c r="AH56" s="230" t="str">
        <x:v>42.803928500041366</x:v>
      </x:c>
      <x:c r="AI56" s="228" t="str">
        <x:v>True</x:v>
      </x:c>
      <x:c r="AJ56" s="228" t="str">
        <x:v>ede5b1aa66cdcc9e543069acdaf6bcabfd7fbafc67b921034beaa79908216c28</x:v>
      </x:c>
      <x:c r="AK56" s="228" t="str">
        <x:v>0</x:v>
      </x:c>
      <x:c r="AL56" s="228" t="str">
        <x:v>0</x:v>
      </x:c>
      <x:c r="AM56" s="228" t="str"/>
      <x:c r="AN56" s="230" t="str">
        <x:v>0.13478909991681576</x:v>
      </x:c>
      <x:c r="AO56" s="228" t="str">
        <x:v>222</x:v>
      </x:c>
      <x:c r="AP56" s="228" t="str">
        <x:v>0</x:v>
      </x:c>
      <x:c r="AQ56" s="228" t="str">
        <x:v>0</x:v>
      </x:c>
      <x:c r="AR56" s="228" t="str">
        <x:v>222</x:v>
      </x:c>
      <x:c r="AS56" s="228" t="str">
        <x:v>42.93871759995818</x:v>
      </x:c>
      <x:c r="AT56" s="228" t="str">
        <x:v>True</x:v>
      </x:c>
      <x:c r="AU56" s="228" t="str">
        <x:v>ede5b1aa66cdcc9e543069acdaf6bcabfd7fbafc67b921034beaa79908216c28</x:v>
      </x:c>
      <x:c r="AV56" s="228" t="str">
        <x:v>0</x:v>
      </x:c>
      <x:c r="AW56" s="228" t="str">
        <x:v>222</x:v>
      </x:c>
      <x:c r="AX56" s="228" t="str">
        <x:v>0</x:v>
      </x:c>
      <x:c r="AY56" s="230" t="str">
        <x:v>0.2040962999453768</x:v>
      </x:c>
      <x:c r="AZ56" s="228" t="str">
        <x:v>False</x:v>
      </x:c>
      <x:c r="BA56" s="228" t="str">
        <x:v>222</x:v>
      </x:c>
      <x:c r="BB56" s="230" t="str">
        <x:v>43.14281389990356</x:v>
      </x:c>
      <x:c r="BC56" s="228" t="str">
        <x:v>True</x:v>
      </x:c>
      <x:c r="BD56" s="228" t="str">
        <x:v>ede5b1aa66cdcc9e543069acdaf6bcabfd7fbafc67b921034beaa79908216c28</x:v>
      </x:c>
      <x:c r="BE56" s="228" t="str">
        <x:v>0</x:v>
      </x:c>
      <x:c r="BF56" s="228" t="str">
        <x:v>0</x:v>
      </x:c>
      <x:c r="BG56" s="228" t="str">
        <x:v>1</x:v>
      </x:c>
      <x:c r="BH56" s="228" t="str">
        <x:v>526</x:v>
      </x:c>
      <x:c r="BI56" s="228" t="str">
        <x:v>208</x:v>
      </x:c>
      <x:c r="BJ56" s="230" t="str">
        <x:v>42.35443049995229</x:v>
      </x:c>
      <x:c r="BK56" s="228" t="str">
        <x:v>True</x:v>
      </x:c>
      <x:c r="BL56" s="228" t="str">
        <x:v>6870e2b5aa557f65ecb755a9b0ebd92a09831653dc726ce05cf9e5edec9458da</x:v>
      </x:c>
      <x:c r="BM56" s="228" t="str">
        <x:v>0</x:v>
      </x:c>
      <x:c r="BN56" s="228" t="str">
        <x:v>0</x:v>
      </x:c>
      <x:c r="BO56" s="228" t="str"/>
      <x:c r="BP56" s="230" t="str">
        <x:v>0.12354300008155406</x:v>
      </x:c>
      <x:c r="BQ56" s="228" t="str">
        <x:v>208</x:v>
      </x:c>
      <x:c r="BR56" s="228" t="str">
        <x:v>0</x:v>
      </x:c>
      <x:c r="BS56" s="228" t="str">
        <x:v>0</x:v>
      </x:c>
      <x:c r="BT56" s="228" t="str">
        <x:v>208</x:v>
      </x:c>
      <x:c r="BU56" s="228" t="str">
        <x:v>42.47797350003384</x:v>
      </x:c>
      <x:c r="BV56" s="228" t="str">
        <x:v>True</x:v>
      </x:c>
      <x:c r="BW56" s="228" t="str">
        <x:v>6870e2b5aa557f65ecb755a9b0ebd92a09831653dc726ce05cf9e5edec9458da</x:v>
      </x:c>
      <x:c r="BX56" s="228" t="str">
        <x:v>0</x:v>
      </x:c>
      <x:c r="BY56" s="228" t="str">
        <x:v>208</x:v>
      </x:c>
      <x:c r="BZ56" s="228" t="str">
        <x:v>0</x:v>
      </x:c>
      <x:c r="CA56" s="230" t="str">
        <x:v>0.1806231999071315</x:v>
      </x:c>
      <x:c r="CB56" s="228" t="str">
        <x:v>False</x:v>
      </x:c>
      <x:c r="CC56" s="228" t="str">
        <x:v>208</x:v>
      </x:c>
      <x:c r="CD56" s="230" t="str">
        <x:v>42.65859669994097</x:v>
      </x:c>
      <x:c r="CE56" s="228" t="str">
        <x:v>True</x:v>
      </x:c>
      <x:c r="CF56" s="228" t="str">
        <x:v>6870e2b5aa557f65ecb755a9b0ebd92a09831653dc726ce05cf9e5edec9458da</x:v>
      </x:c>
      <x:c r="CG56" s="228" t="str">
        <x:v>0</x:v>
      </x:c>
      <x:c r="CH56" s="228" t="str">
        <x:v>0</x:v>
      </x:c>
      <x:c r="CI56" s="228" t="str">
        <x:v>2</x:v>
      </x:c>
      <x:c r="CJ56" s="228" t="str">
        <x:v>True</x:v>
      </x:c>
      <x:c r="CK56" s="228" t="str">
        <x:v>True</x:v>
      </x:c>
      <x:c r="CL56" s="228" t="str">
        <x:v>True</x:v>
      </x:c>
      <x:c r="CM56" s="228" t="str">
        <x:v>collision</x:v>
      </x:c>
      <x:c r="CN56" s="228" t="str">
        <x:v>-14</x:v>
      </x:c>
      <x:c r="CO56" s="230" t="str">
        <x:v>-0.48421719996258616</x:v>
      </x:c>
      <x:c r="CP56" s="228" t="str">
        <x:v>0.9369369369369369</x:v>
      </x:c>
      <x:c r="CQ56" s="228" t="str">
        <x:v>0.9887764112677947</x:v>
      </x:c>
      <x:c r="CR56" s="228" t="str">
        <x:v>1.0113509875481501</x:v>
      </x:c>
      <x:c r="CS56" s="228" t="str">
        <x:v>collision</x:v>
      </x:c>
      <x:c r="CT56" s="228" t="str">
        <x:v>collision</x:v>
      </x:c>
      <x:c r="CU56" s="228" t="str">
        <x:v>collision_dominates</x:v>
      </x:c>
      <x:c r="CV56" s="228" t="str">
        <x:v>neither</x:v>
      </x:c>
      <x:c r="CW56" s="228" t="str">
        <x:v>both_valid</x:v>
      </x:c>
      <x:c r="CX56" s="228" t="str">
        <x:v>none</x:v>
      </x:c>
      <x:c r="CY56" s="228" t="str">
        <x:v>none</x:v>
      </x:c>
    </x:row>
    <x:row r="57">
      <x:c r="A57" s="228" t="str">
        <x:v>final-paired-v2</x:v>
      </x:c>
      <x:c r="B57" s="228" t="str">
        <x:v>20260819</x:v>
      </x:c>
      <x:c r="C57" s="228" t="str">
        <x:v>4</x:v>
      </x:c>
      <x:c r="D57" s="228" t="str">
        <x:v>14</x:v>
      </x:c>
      <x:c r="E57" s="228" t="str">
        <x:v>n1000_r0.7_repeat2</x:v>
      </x:c>
      <x:c r="F57" s="228" t="str">
        <x:v>1000</x:v>
      </x:c>
      <x:c r="G57" s="228" t="str">
        <x:v>0.7</x:v>
      </x:c>
      <x:c r="H57" s="228" t="str">
        <x:v>2</x:v>
      </x:c>
      <x:c r="I57" s="228" t="str">
        <x:v>4059220508</x:v>
      </x:c>
      <x:c r="J57" s="228" t="str">
        <x:v>d5734157cc1f2e12765191bd9f7aa767780a0fb4cdae0512c5f08eb0cfe769ae</x:v>
      </x:c>
      <x:c r="K57" s="228" t="str">
        <x:v>371654</x:v>
      </x:c>
      <x:c r="L57" s="228" t="str">
        <x:v>1</x:v>
      </x:c>
      <x:c r="M57" s="228" t="str">
        <x:v>1000</x:v>
      </x:c>
      <x:c r="N57" s="228" t="str">
        <x:v>True</x:v>
      </x:c>
      <x:c r="O57" s="228" t="str">
        <x:v>0</x:v>
      </x:c>
      <x:c r="P57" s="228" t="str">
        <x:v>743.308</x:v>
      </x:c>
      <x:c r="Q57" s="228" t="str">
        <x:v>148.28316538299282</x:v>
      </x:c>
      <x:c r="R57" s="228" t="str">
        <x:v>411</x:v>
      </x:c>
      <x:c r="S57" s="228" t="str">
        <x:v>999</x:v>
      </x:c>
      <x:c r="T57" s="228" t="str">
        <x:v>0.744052052052052</x:v>
      </x:c>
      <x:c r="U57" s="230" t="str">
        <x:v>1.4133288000011817</x:v>
      </x:c>
      <x:c r="V57" s="230" t="str">
        <x:v>1.1765299000544474</x:v>
      </x:c>
      <x:c r="W57" s="228" t="str">
        <x:v>True</x:v>
      </x:c>
      <x:c r="X57" s="228" t="str">
        <x:v>False</x:v>
      </x:c>
      <x:c r="Y57" s="228" t="str">
        <x:v>5</x:v>
      </x:c>
      <x:c r="Z57" s="228" t="str">
        <x:v>ich</x:v>
      </x:c>
      <x:c r="AA57" s="228" t="str">
        <x:v>4</x:v>
      </x:c>
      <x:c r="AB57" s="228" t="str">
        <x:v>grid,circle,zoomed,ich</x:v>
      </x:c>
      <x:c r="AC57" s="228" t="str">
        <x:v>3592823091</x:v>
      </x:c>
      <x:c r="AD57" s="228" t="str">
        <x:v>3592823091</x:v>
      </x:c>
      <x:c r="AE57" s="228" t="str">
        <x:v>entropy,collision</x:v>
      </x:c>
      <x:c r="AF57" s="228" t="str">
        <x:v>160</x:v>
      </x:c>
      <x:c r="AG57" s="228" t="str">
        <x:v>160</x:v>
      </x:c>
      <x:c r="AH57" s="230" t="str">
        <x:v>165.0771372000454</x:v>
      </x:c>
      <x:c r="AI57" s="228" t="str">
        <x:v>True</x:v>
      </x:c>
      <x:c r="AJ57" s="228" t="str">
        <x:v>29a7b572a872ea55125ef2742c973a27f789adb4a0f5d9dfa07edf60473fdc94</x:v>
      </x:c>
      <x:c r="AK57" s="228" t="str">
        <x:v>0</x:v>
      </x:c>
      <x:c r="AL57" s="228" t="str">
        <x:v>0</x:v>
      </x:c>
      <x:c r="AM57" s="228" t="str"/>
      <x:c r="AN57" s="230" t="str">
        <x:v>0.09070569998584688</x:v>
      </x:c>
      <x:c r="AO57" s="228" t="str">
        <x:v>160</x:v>
      </x:c>
      <x:c r="AP57" s="228" t="str">
        <x:v>0</x:v>
      </x:c>
      <x:c r="AQ57" s="228" t="str">
        <x:v>0</x:v>
      </x:c>
      <x:c r="AR57" s="228" t="str">
        <x:v>160</x:v>
      </x:c>
      <x:c r="AS57" s="228" t="str">
        <x:v>165.16784290003125</x:v>
      </x:c>
      <x:c r="AT57" s="228" t="str">
        <x:v>True</x:v>
      </x:c>
      <x:c r="AU57" s="228" t="str">
        <x:v>29a7b572a872ea55125ef2742c973a27f789adb4a0f5d9dfa07edf60473fdc94</x:v>
      </x:c>
      <x:c r="AV57" s="228" t="str">
        <x:v>0</x:v>
      </x:c>
      <x:c r="AW57" s="228" t="str">
        <x:v>160</x:v>
      </x:c>
      <x:c r="AX57" s="228" t="str">
        <x:v>4</x:v>
      </x:c>
      <x:c r="AY57" s="230" t="str">
        <x:v>0.2037391000194475</x:v>
      </x:c>
      <x:c r="AZ57" s="228" t="str">
        <x:v>False</x:v>
      </x:c>
      <x:c r="BA57" s="228" t="str">
        <x:v>156</x:v>
      </x:c>
      <x:c r="BB57" s="230" t="str">
        <x:v>165.3715820000507</x:v>
      </x:c>
      <x:c r="BC57" s="228" t="str">
        <x:v>True</x:v>
      </x:c>
      <x:c r="BD57" s="228" t="str">
        <x:v>156ebb5889218b448582c5b7c4b06a31f6cefce539597178b5b26ecf0c81b378</x:v>
      </x:c>
      <x:c r="BE57" s="228" t="str">
        <x:v>-4</x:v>
      </x:c>
      <x:c r="BF57" s="228" t="str">
        <x:v>0</x:v>
      </x:c>
      <x:c r="BG57" s="228" t="str">
        <x:v>1</x:v>
      </x:c>
      <x:c r="BH57" s="228" t="str">
        <x:v>161</x:v>
      </x:c>
      <x:c r="BI57" s="228" t="str">
        <x:v>161</x:v>
      </x:c>
      <x:c r="BJ57" s="230" t="str">
        <x:v>165.10928380000405</x:v>
      </x:c>
      <x:c r="BK57" s="228" t="str">
        <x:v>True</x:v>
      </x:c>
      <x:c r="BL57" s="228" t="str">
        <x:v>7c647176b42a900138a3d7428e34fc9ff2e0962dacfb9b812adb3ce8b02f091a</x:v>
      </x:c>
      <x:c r="BM57" s="228" t="str">
        <x:v>0</x:v>
      </x:c>
      <x:c r="BN57" s="228" t="str">
        <x:v>0</x:v>
      </x:c>
      <x:c r="BO57" s="228" t="str"/>
      <x:c r="BP57" s="230" t="str">
        <x:v>0.10272620001342148</x:v>
      </x:c>
      <x:c r="BQ57" s="228" t="str">
        <x:v>161</x:v>
      </x:c>
      <x:c r="BR57" s="228" t="str">
        <x:v>0</x:v>
      </x:c>
      <x:c r="BS57" s="228" t="str">
        <x:v>0</x:v>
      </x:c>
      <x:c r="BT57" s="228" t="str">
        <x:v>161</x:v>
      </x:c>
      <x:c r="BU57" s="228" t="str">
        <x:v>165.21201000001747</x:v>
      </x:c>
      <x:c r="BV57" s="228" t="str">
        <x:v>True</x:v>
      </x:c>
      <x:c r="BW57" s="228" t="str">
        <x:v>7c647176b42a900138a3d7428e34fc9ff2e0962dacfb9b812adb3ce8b02f091a</x:v>
      </x:c>
      <x:c r="BX57" s="228" t="str">
        <x:v>0</x:v>
      </x:c>
      <x:c r="BY57" s="228" t="str">
        <x:v>161</x:v>
      </x:c>
      <x:c r="BZ57" s="228" t="str">
        <x:v>5</x:v>
      </x:c>
      <x:c r="CA57" s="230" t="str">
        <x:v>0.3388246000977233</x:v>
      </x:c>
      <x:c r="CB57" s="228" t="str">
        <x:v>False</x:v>
      </x:c>
      <x:c r="CC57" s="228" t="str">
        <x:v>156</x:v>
      </x:c>
      <x:c r="CD57" s="230" t="str">
        <x:v>165.5508346001152</x:v>
      </x:c>
      <x:c r="CE57" s="228" t="str">
        <x:v>True</x:v>
      </x:c>
      <x:c r="CF57" s="228" t="str">
        <x:v>3e99db1e9127778fa02277f9efa6a242e11a6070833c81408f435c9d9a80e085</x:v>
      </x:c>
      <x:c r="CG57" s="228" t="str">
        <x:v>-5</x:v>
      </x:c>
      <x:c r="CH57" s="228" t="str">
        <x:v>0</x:v>
      </x:c>
      <x:c r="CI57" s="228" t="str">
        <x:v>2</x:v>
      </x:c>
      <x:c r="CJ57" s="228" t="str">
        <x:v>True</x:v>
      </x:c>
      <x:c r="CK57" s="228" t="str">
        <x:v>True</x:v>
      </x:c>
      <x:c r="CL57" s="228" t="str">
        <x:v>True</x:v>
      </x:c>
      <x:c r="CM57" s="228" t="str">
        <x:v>entropy</x:v>
      </x:c>
      <x:c r="CN57" s="228" t="str">
        <x:v>0</x:v>
      </x:c>
      <x:c r="CO57" s="230" t="str">
        <x:v>0.17925260006450117</x:v>
      </x:c>
      <x:c r="CP57" s="228" t="str">
        <x:v>1.0</x:v>
      </x:c>
      <x:c r="CQ57" s="228" t="str">
        <x:v>1.0010839383520225</x:v>
      </x:c>
      <x:c r="CR57" s="228" t="str">
        <x:v>0.998917235298164</x:v>
      </x:c>
      <x:c r="CS57" s="228" t="str">
        <x:v>tie</x:v>
      </x:c>
      <x:c r="CT57" s="228" t="str">
        <x:v>entropy</x:v>
      </x:c>
      <x:c r="CU57" s="228" t="str">
        <x:v>entropy_dominates</x:v>
      </x:c>
      <x:c r="CV57" s="228" t="str">
        <x:v>neither</x:v>
      </x:c>
      <x:c r="CW57" s="228" t="str">
        <x:v>both_valid</x:v>
      </x:c>
      <x:c r="CX57" s="228" t="str">
        <x:v>none</x:v>
      </x:c>
      <x:c r="CY57" s="228" t="str">
        <x:v>none</x:v>
      </x:c>
    </x:row>
    <x:row r="58">
      <x:c r="A58" s="228" t="str">
        <x:v>final-paired-v2</x:v>
      </x:c>
      <x:c r="B58" s="228" t="str">
        <x:v>20260819</x:v>
      </x:c>
      <x:c r="C58" s="228" t="str">
        <x:v>4</x:v>
      </x:c>
      <x:c r="D58" s="228" t="str">
        <x:v>15</x:v>
      </x:c>
      <x:c r="E58" s="228" t="str">
        <x:v>n1000_r0.7_repeat3</x:v>
      </x:c>
      <x:c r="F58" s="228" t="str">
        <x:v>1000</x:v>
      </x:c>
      <x:c r="G58" s="228" t="str">
        <x:v>0.7</x:v>
      </x:c>
      <x:c r="H58" s="228" t="str">
        <x:v>3</x:v>
      </x:c>
      <x:c r="I58" s="228" t="str">
        <x:v>541001280</x:v>
      </x:c>
      <x:c r="J58" s="228" t="str">
        <x:v>bb9cc6d6d6afcbd91f4cc883243fc4bc53daeffe9c3e04ee54328e9066ac5e75</x:v>
      </x:c>
      <x:c r="K58" s="228" t="str">
        <x:v>380194</x:v>
      </x:c>
      <x:c r="L58" s="228" t="str">
        <x:v>1</x:v>
      </x:c>
      <x:c r="M58" s="228" t="str">
        <x:v>1000</x:v>
      </x:c>
      <x:c r="N58" s="228" t="str">
        <x:v>True</x:v>
      </x:c>
      <x:c r="O58" s="228" t="str">
        <x:v>0</x:v>
      </x:c>
      <x:c r="P58" s="228" t="str">
        <x:v>760.388</x:v>
      </x:c>
      <x:c r="Q58" s="228" t="str">
        <x:v>146.57810701465618</x:v>
      </x:c>
      <x:c r="R58" s="228" t="str">
        <x:v>393</x:v>
      </x:c>
      <x:c r="S58" s="228" t="str">
        <x:v>999</x:v>
      </x:c>
      <x:c r="T58" s="228" t="str">
        <x:v>0.7611491491491491</x:v>
      </x:c>
      <x:c r="U58" s="230" t="str">
        <x:v>1.4843368000583723</x:v>
      </x:c>
      <x:c r="V58" s="230" t="str">
        <x:v>1.2548781000077724</x:v>
      </x:c>
      <x:c r="W58" s="228" t="str">
        <x:v>True</x:v>
      </x:c>
      <x:c r="X58" s="228" t="str">
        <x:v>False</x:v>
      </x:c>
      <x:c r="Y58" s="228" t="str">
        <x:v>5</x:v>
      </x:c>
      <x:c r="Z58" s="228" t="str">
        <x:v>circle</x:v>
      </x:c>
      <x:c r="AA58" s="228" t="str">
        <x:v>1</x:v>
      </x:c>
      <x:c r="AB58" s="228" t="str">
        <x:v>circle,zoomed,ich,grid</x:v>
      </x:c>
      <x:c r="AC58" s="228" t="str">
        <x:v>2782186539</x:v>
      </x:c>
      <x:c r="AD58" s="228" t="str">
        <x:v>2782186539</x:v>
      </x:c>
      <x:c r="AE58" s="228" t="str">
        <x:v>collision,entropy</x:v>
      </x:c>
      <x:c r="AF58" s="228" t="str">
        <x:v>827</x:v>
      </x:c>
      <x:c r="AG58" s="228" t="str">
        <x:v>262</x:v>
      </x:c>
      <x:c r="AH58" s="230" t="str">
        <x:v>143.09754949994385</x:v>
      </x:c>
      <x:c r="AI58" s="228" t="str">
        <x:v>True</x:v>
      </x:c>
      <x:c r="AJ58" s="228" t="str">
        <x:v>f72d7acc6b1a429a4a02bc6dbd49f95f3fc43752f18a12a3229babb34577d33d</x:v>
      </x:c>
      <x:c r="AK58" s="228" t="str">
        <x:v>0</x:v>
      </x:c>
      <x:c r="AL58" s="228" t="str">
        <x:v>0</x:v>
      </x:c>
      <x:c r="AM58" s="228" t="str"/>
      <x:c r="AN58" s="230" t="str">
        <x:v>0.1722069000825286</x:v>
      </x:c>
      <x:c r="AO58" s="228" t="str">
        <x:v>262</x:v>
      </x:c>
      <x:c r="AP58" s="228" t="str">
        <x:v>0</x:v>
      </x:c>
      <x:c r="AQ58" s="228" t="str">
        <x:v>0</x:v>
      </x:c>
      <x:c r="AR58" s="228" t="str">
        <x:v>262</x:v>
      </x:c>
      <x:c r="AS58" s="228" t="str">
        <x:v>143.26975640002638</x:v>
      </x:c>
      <x:c r="AT58" s="228" t="str">
        <x:v>True</x:v>
      </x:c>
      <x:c r="AU58" s="228" t="str">
        <x:v>f72d7acc6b1a429a4a02bc6dbd49f95f3fc43752f18a12a3229babb34577d33d</x:v>
      </x:c>
      <x:c r="AV58" s="228" t="str">
        <x:v>0</x:v>
      </x:c>
      <x:c r="AW58" s="228" t="str">
        <x:v>262</x:v>
      </x:c>
      <x:c r="AX58" s="228" t="str">
        <x:v>0</x:v>
      </x:c>
      <x:c r="AY58" s="230" t="str">
        <x:v>0.28141479997429997</x:v>
      </x:c>
      <x:c r="AZ58" s="228" t="str">
        <x:v>False</x:v>
      </x:c>
      <x:c r="BA58" s="228" t="str">
        <x:v>262</x:v>
      </x:c>
      <x:c r="BB58" s="230" t="str">
        <x:v>143.55117120000068</x:v>
      </x:c>
      <x:c r="BC58" s="228" t="str">
        <x:v>True</x:v>
      </x:c>
      <x:c r="BD58" s="228" t="str">
        <x:v>f72d7acc6b1a429a4a02bc6dbd49f95f3fc43752f18a12a3229babb34577d33d</x:v>
      </x:c>
      <x:c r="BE58" s="228" t="str">
        <x:v>0</x:v>
      </x:c>
      <x:c r="BF58" s="228" t="str">
        <x:v>0</x:v>
      </x:c>
      <x:c r="BG58" s="228" t="str">
        <x:v>2</x:v>
      </x:c>
      <x:c r="BH58" s="228" t="str">
        <x:v>822</x:v>
      </x:c>
      <x:c r="BI58" s="228" t="str">
        <x:v>263</x:v>
      </x:c>
      <x:c r="BJ58" s="230" t="str">
        <x:v>135.4535990000004</x:v>
      </x:c>
      <x:c r="BK58" s="228" t="str">
        <x:v>True</x:v>
      </x:c>
      <x:c r="BL58" s="228" t="str">
        <x:v>bc39c9e4b90832f907f092df7c47b9d2d803515e4c9f80d8566ac491fac2cc1f</x:v>
      </x:c>
      <x:c r="BM58" s="228" t="str">
        <x:v>0</x:v>
      </x:c>
      <x:c r="BN58" s="228" t="str">
        <x:v>0</x:v>
      </x:c>
      <x:c r="BO58" s="228" t="str"/>
      <x:c r="BP58" s="230" t="str">
        <x:v>0.1567959999665618</x:v>
      </x:c>
      <x:c r="BQ58" s="228" t="str">
        <x:v>263</x:v>
      </x:c>
      <x:c r="BR58" s="228" t="str">
        <x:v>0</x:v>
      </x:c>
      <x:c r="BS58" s="228" t="str">
        <x:v>0</x:v>
      </x:c>
      <x:c r="BT58" s="228" t="str">
        <x:v>263</x:v>
      </x:c>
      <x:c r="BU58" s="228" t="str">
        <x:v>135.61039499996696</x:v>
      </x:c>
      <x:c r="BV58" s="228" t="str">
        <x:v>True</x:v>
      </x:c>
      <x:c r="BW58" s="228" t="str">
        <x:v>bc39c9e4b90832f907f092df7c47b9d2d803515e4c9f80d8566ac491fac2cc1f</x:v>
      </x:c>
      <x:c r="BX58" s="228" t="str">
        <x:v>0</x:v>
      </x:c>
      <x:c r="BY58" s="228" t="str">
        <x:v>263</x:v>
      </x:c>
      <x:c r="BZ58" s="228" t="str">
        <x:v>0</x:v>
      </x:c>
      <x:c r="CA58" s="230" t="str">
        <x:v>0.2432622000342235</x:v>
      </x:c>
      <x:c r="CB58" s="228" t="str">
        <x:v>False</x:v>
      </x:c>
      <x:c r="CC58" s="228" t="str">
        <x:v>263</x:v>
      </x:c>
      <x:c r="CD58" s="230" t="str">
        <x:v>135.85365720000118</x:v>
      </x:c>
      <x:c r="CE58" s="228" t="str">
        <x:v>True</x:v>
      </x:c>
      <x:c r="CF58" s="228" t="str">
        <x:v>bc39c9e4b90832f907f092df7c47b9d2d803515e4c9f80d8566ac491fac2cc1f</x:v>
      </x:c>
      <x:c r="CG58" s="228" t="str">
        <x:v>0</x:v>
      </x:c>
      <x:c r="CH58" s="228" t="str">
        <x:v>0</x:v>
      </x:c>
      <x:c r="CI58" s="228" t="str">
        <x:v>1</x:v>
      </x:c>
      <x:c r="CJ58" s="228" t="str">
        <x:v>True</x:v>
      </x:c>
      <x:c r="CK58" s="228" t="str">
        <x:v>True</x:v>
      </x:c>
      <x:c r="CL58" s="228" t="str">
        <x:v>True</x:v>
      </x:c>
      <x:c r="CM58" s="228" t="str">
        <x:v>entropy</x:v>
      </x:c>
      <x:c r="CN58" s="228" t="str">
        <x:v>1</x:v>
      </x:c>
      <x:c r="CO58" s="230" t="str">
        <x:v>-7.697513999999501</x:v>
      </x:c>
      <x:c r="CP58" s="228" t="str">
        <x:v>1.0038167938931297</x:v>
      </x:c>
      <x:c r="CQ58" s="228" t="str">
        <x:v>0.9463779087578809</x:v>
      </x:c>
      <x:c r="CR58" s="228" t="str">
        <x:v>1.0566603370026864</x:v>
      </x:c>
      <x:c r="CS58" s="228" t="str">
        <x:v>entropy</x:v>
      </x:c>
      <x:c r="CT58" s="228" t="str">
        <x:v>collision</x:v>
      </x:c>
      <x:c r="CU58" s="228" t="str">
        <x:v>tradeoff</x:v>
      </x:c>
      <x:c r="CV58" s="228" t="str">
        <x:v>neither</x:v>
      </x:c>
      <x:c r="CW58" s="228" t="str">
        <x:v>both_valid</x:v>
      </x:c>
      <x:c r="CX58" s="228" t="str">
        <x:v>none</x:v>
      </x:c>
      <x:c r="CY58" s="228" t="str">
        <x:v>none</x:v>
      </x:c>
    </x:row>
    <x:row r="59">
      <x:c r="A59" s="228" t="str">
        <x:v>final-paired-v2</x:v>
      </x:c>
      <x:c r="B59" s="228" t="str">
        <x:v>20260819</x:v>
      </x:c>
      <x:c r="C59" s="228" t="str">
        <x:v>4</x:v>
      </x:c>
      <x:c r="D59" s="228" t="str">
        <x:v>15</x:v>
      </x:c>
      <x:c r="E59" s="228" t="str">
        <x:v>n1000_r0.7_repeat3</x:v>
      </x:c>
      <x:c r="F59" s="228" t="str">
        <x:v>1000</x:v>
      </x:c>
      <x:c r="G59" s="228" t="str">
        <x:v>0.7</x:v>
      </x:c>
      <x:c r="H59" s="228" t="str">
        <x:v>3</x:v>
      </x:c>
      <x:c r="I59" s="228" t="str">
        <x:v>541001280</x:v>
      </x:c>
      <x:c r="J59" s="228" t="str">
        <x:v>bb9cc6d6d6afcbd91f4cc883243fc4bc53daeffe9c3e04ee54328e9066ac5e75</x:v>
      </x:c>
      <x:c r="K59" s="228" t="str">
        <x:v>380194</x:v>
      </x:c>
      <x:c r="L59" s="228" t="str">
        <x:v>1</x:v>
      </x:c>
      <x:c r="M59" s="228" t="str">
        <x:v>1000</x:v>
      </x:c>
      <x:c r="N59" s="228" t="str">
        <x:v>True</x:v>
      </x:c>
      <x:c r="O59" s="228" t="str">
        <x:v>0</x:v>
      </x:c>
      <x:c r="P59" s="228" t="str">
        <x:v>760.388</x:v>
      </x:c>
      <x:c r="Q59" s="228" t="str">
        <x:v>146.57810701465618</x:v>
      </x:c>
      <x:c r="R59" s="228" t="str">
        <x:v>393</x:v>
      </x:c>
      <x:c r="S59" s="228" t="str">
        <x:v>999</x:v>
      </x:c>
      <x:c r="T59" s="228" t="str">
        <x:v>0.7611491491491491</x:v>
      </x:c>
      <x:c r="U59" s="230" t="str">
        <x:v>1.4843368000583723</x:v>
      </x:c>
      <x:c r="V59" s="230" t="str">
        <x:v>1.2548781000077724</x:v>
      </x:c>
      <x:c r="W59" s="228" t="str">
        <x:v>True</x:v>
      </x:c>
      <x:c r="X59" s="228" t="str">
        <x:v>False</x:v>
      </x:c>
      <x:c r="Y59" s="228" t="str">
        <x:v>5</x:v>
      </x:c>
      <x:c r="Z59" s="228" t="str">
        <x:v>zoomed</x:v>
      </x:c>
      <x:c r="AA59" s="228" t="str">
        <x:v>2</x:v>
      </x:c>
      <x:c r="AB59" s="228" t="str">
        <x:v>circle,zoomed,ich,grid</x:v>
      </x:c>
      <x:c r="AC59" s="228" t="str">
        <x:v>3800934517</x:v>
      </x:c>
      <x:c r="AD59" s="228" t="str">
        <x:v>3800934517</x:v>
      </x:c>
      <x:c r="AE59" s="228" t="str">
        <x:v>collision,entropy</x:v>
      </x:c>
      <x:c r="AF59" s="228" t="str">
        <x:v>875</x:v>
      </x:c>
      <x:c r="AG59" s="228" t="str">
        <x:v>253</x:v>
      </x:c>
      <x:c r="AH59" s="230" t="str">
        <x:v>100.46410769992508</x:v>
      </x:c>
      <x:c r="AI59" s="228" t="str">
        <x:v>True</x:v>
      </x:c>
      <x:c r="AJ59" s="228" t="str">
        <x:v>2c333fc2c110753c07916fa10652f60a8e473293bce28ef3a47a15c1dd23e83f</x:v>
      </x:c>
      <x:c r="AK59" s="228" t="str">
        <x:v>0</x:v>
      </x:c>
      <x:c r="AL59" s="228" t="str">
        <x:v>0</x:v>
      </x:c>
      <x:c r="AM59" s="228" t="str"/>
      <x:c r="AN59" s="230" t="str">
        <x:v>0.18496640003286302</x:v>
      </x:c>
      <x:c r="AO59" s="228" t="str">
        <x:v>253</x:v>
      </x:c>
      <x:c r="AP59" s="228" t="str">
        <x:v>0</x:v>
      </x:c>
      <x:c r="AQ59" s="228" t="str">
        <x:v>0</x:v>
      </x:c>
      <x:c r="AR59" s="228" t="str">
        <x:v>253</x:v>
      </x:c>
      <x:c r="AS59" s="228" t="str">
        <x:v>100.64907409995794</x:v>
      </x:c>
      <x:c r="AT59" s="228" t="str">
        <x:v>True</x:v>
      </x:c>
      <x:c r="AU59" s="228" t="str">
        <x:v>2c333fc2c110753c07916fa10652f60a8e473293bce28ef3a47a15c1dd23e83f</x:v>
      </x:c>
      <x:c r="AV59" s="228" t="str">
        <x:v>0</x:v>
      </x:c>
      <x:c r="AW59" s="228" t="str">
        <x:v>253</x:v>
      </x:c>
      <x:c r="AX59" s="228" t="str">
        <x:v>0</x:v>
      </x:c>
      <x:c r="AY59" s="230" t="str">
        <x:v>0.2443103000987321</x:v>
      </x:c>
      <x:c r="AZ59" s="228" t="str">
        <x:v>False</x:v>
      </x:c>
      <x:c r="BA59" s="228" t="str">
        <x:v>253</x:v>
      </x:c>
      <x:c r="BB59" s="230" t="str">
        <x:v>100.89338440005668</x:v>
      </x:c>
      <x:c r="BC59" s="228" t="str">
        <x:v>True</x:v>
      </x:c>
      <x:c r="BD59" s="228" t="str">
        <x:v>2c333fc2c110753c07916fa10652f60a8e473293bce28ef3a47a15c1dd23e83f</x:v>
      </x:c>
      <x:c r="BE59" s="228" t="str">
        <x:v>0</x:v>
      </x:c>
      <x:c r="BF59" s="228" t="str">
        <x:v>0</x:v>
      </x:c>
      <x:c r="BG59" s="228" t="str">
        <x:v>2</x:v>
      </x:c>
      <x:c r="BH59" s="228" t="str">
        <x:v>321</x:v>
      </x:c>
      <x:c r="BI59" s="228" t="str">
        <x:v>195</x:v>
      </x:c>
      <x:c r="BJ59" s="230" t="str">
        <x:v>71.0711790000787</x:v>
      </x:c>
      <x:c r="BK59" s="228" t="str">
        <x:v>True</x:v>
      </x:c>
      <x:c r="BL59" s="228" t="str">
        <x:v>9b28cf04730d3d72eec6f376c5803c0212aa73923ca53cf52c5294e672dccd31</x:v>
      </x:c>
      <x:c r="BM59" s="228" t="str">
        <x:v>0</x:v>
      </x:c>
      <x:c r="BN59" s="228" t="str">
        <x:v>0</x:v>
      </x:c>
      <x:c r="BO59" s="228" t="str"/>
      <x:c r="BP59" s="230" t="str">
        <x:v>0.1207062000175938</x:v>
      </x:c>
      <x:c r="BQ59" s="228" t="str">
        <x:v>195</x:v>
      </x:c>
      <x:c r="BR59" s="228" t="str">
        <x:v>0</x:v>
      </x:c>
      <x:c r="BS59" s="228" t="str">
        <x:v>0</x:v>
      </x:c>
      <x:c r="BT59" s="228" t="str">
        <x:v>195</x:v>
      </x:c>
      <x:c r="BU59" s="228" t="str">
        <x:v>71.1918852000963</x:v>
      </x:c>
      <x:c r="BV59" s="228" t="str">
        <x:v>True</x:v>
      </x:c>
      <x:c r="BW59" s="228" t="str">
        <x:v>9b28cf04730d3d72eec6f376c5803c0212aa73923ca53cf52c5294e672dccd31</x:v>
      </x:c>
      <x:c r="BX59" s="228" t="str">
        <x:v>0</x:v>
      </x:c>
      <x:c r="BY59" s="228" t="str">
        <x:v>195</x:v>
      </x:c>
      <x:c r="BZ59" s="228" t="str">
        <x:v>0</x:v>
      </x:c>
      <x:c r="CA59" s="230" t="str">
        <x:v>0.19292569998651743</x:v>
      </x:c>
      <x:c r="CB59" s="228" t="str">
        <x:v>False</x:v>
      </x:c>
      <x:c r="CC59" s="228" t="str">
        <x:v>195</x:v>
      </x:c>
      <x:c r="CD59" s="230" t="str">
        <x:v>71.38481090008281</x:v>
      </x:c>
      <x:c r="CE59" s="228" t="str">
        <x:v>True</x:v>
      </x:c>
      <x:c r="CF59" s="228" t="str">
        <x:v>9b28cf04730d3d72eec6f376c5803c0212aa73923ca53cf52c5294e672dccd31</x:v>
      </x:c>
      <x:c r="CG59" s="228" t="str">
        <x:v>0</x:v>
      </x:c>
      <x:c r="CH59" s="228" t="str">
        <x:v>0</x:v>
      </x:c>
      <x:c r="CI59" s="228" t="str">
        <x:v>1</x:v>
      </x:c>
      <x:c r="CJ59" s="228" t="str">
        <x:v>True</x:v>
      </x:c>
      <x:c r="CK59" s="228" t="str">
        <x:v>True</x:v>
      </x:c>
      <x:c r="CL59" s="228" t="str">
        <x:v>True</x:v>
      </x:c>
      <x:c r="CM59" s="228" t="str">
        <x:v>collision</x:v>
      </x:c>
      <x:c r="CN59" s="228" t="str">
        <x:v>-58</x:v>
      </x:c>
      <x:c r="CO59" s="230" t="str">
        <x:v>-29.508573499973863</x:v>
      </x:c>
      <x:c r="CP59" s="228" t="str">
        <x:v>0.7707509881422925</x:v>
      </x:c>
      <x:c r="CQ59" s="228" t="str">
        <x:v>0.7075271716233826</x:v>
      </x:c>
      <x:c r="CR59" s="228" t="str">
        <x:v>1.4133732810650288</x:v>
      </x:c>
      <x:c r="CS59" s="228" t="str">
        <x:v>collision</x:v>
      </x:c>
      <x:c r="CT59" s="228" t="str">
        <x:v>collision</x:v>
      </x:c>
      <x:c r="CU59" s="228" t="str">
        <x:v>collision_dominates</x:v>
      </x:c>
      <x:c r="CV59" s="228" t="str">
        <x:v>neither</x:v>
      </x:c>
      <x:c r="CW59" s="228" t="str">
        <x:v>both_valid</x:v>
      </x:c>
      <x:c r="CX59" s="228" t="str">
        <x:v>entropy_much_larger</x:v>
      </x:c>
      <x:c r="CY59" s="228" t="str">
        <x:v>none</x:v>
      </x:c>
    </x:row>
    <x:row r="60">
      <x:c r="A60" s="228" t="str">
        <x:v>final-paired-v2</x:v>
      </x:c>
      <x:c r="B60" s="228" t="str">
        <x:v>20260819</x:v>
      </x:c>
      <x:c r="C60" s="228" t="str">
        <x:v>4</x:v>
      </x:c>
      <x:c r="D60" s="228" t="str">
        <x:v>15</x:v>
      </x:c>
      <x:c r="E60" s="228" t="str">
        <x:v>n1000_r0.7_repeat3</x:v>
      </x:c>
      <x:c r="F60" s="228" t="str">
        <x:v>1000</x:v>
      </x:c>
      <x:c r="G60" s="228" t="str">
        <x:v>0.7</x:v>
      </x:c>
      <x:c r="H60" s="228" t="str">
        <x:v>3</x:v>
      </x:c>
      <x:c r="I60" s="228" t="str">
        <x:v>541001280</x:v>
      </x:c>
      <x:c r="J60" s="228" t="str">
        <x:v>bb9cc6d6d6afcbd91f4cc883243fc4bc53daeffe9c3e04ee54328e9066ac5e75</x:v>
      </x:c>
      <x:c r="K60" s="228" t="str">
        <x:v>380194</x:v>
      </x:c>
      <x:c r="L60" s="228" t="str">
        <x:v>1</x:v>
      </x:c>
      <x:c r="M60" s="228" t="str">
        <x:v>1000</x:v>
      </x:c>
      <x:c r="N60" s="228" t="str">
        <x:v>True</x:v>
      </x:c>
      <x:c r="O60" s="228" t="str">
        <x:v>0</x:v>
      </x:c>
      <x:c r="P60" s="228" t="str">
        <x:v>760.388</x:v>
      </x:c>
      <x:c r="Q60" s="228" t="str">
        <x:v>146.57810701465618</x:v>
      </x:c>
      <x:c r="R60" s="228" t="str">
        <x:v>393</x:v>
      </x:c>
      <x:c r="S60" s="228" t="str">
        <x:v>999</x:v>
      </x:c>
      <x:c r="T60" s="228" t="str">
        <x:v>0.7611491491491491</x:v>
      </x:c>
      <x:c r="U60" s="230" t="str">
        <x:v>1.4843368000583723</x:v>
      </x:c>
      <x:c r="V60" s="230" t="str">
        <x:v>1.2548781000077724</x:v>
      </x:c>
      <x:c r="W60" s="228" t="str">
        <x:v>True</x:v>
      </x:c>
      <x:c r="X60" s="228" t="str">
        <x:v>False</x:v>
      </x:c>
      <x:c r="Y60" s="228" t="str">
        <x:v>5</x:v>
      </x:c>
      <x:c r="Z60" s="228" t="str">
        <x:v>ich</x:v>
      </x:c>
      <x:c r="AA60" s="228" t="str">
        <x:v>3</x:v>
      </x:c>
      <x:c r="AB60" s="228" t="str">
        <x:v>circle,zoomed,ich,grid</x:v>
      </x:c>
      <x:c r="AC60" s="228" t="str">
        <x:v>132902255</x:v>
      </x:c>
      <x:c r="AD60" s="228" t="str">
        <x:v>132902255</x:v>
      </x:c>
      <x:c r="AE60" s="228" t="str">
        <x:v>collision,entropy</x:v>
      </x:c>
      <x:c r="AF60" s="228" t="str">
        <x:v>167</x:v>
      </x:c>
      <x:c r="AG60" s="228" t="str">
        <x:v>167</x:v>
      </x:c>
      <x:c r="AH60" s="230" t="str">
        <x:v>210.52683449990582</x:v>
      </x:c>
      <x:c r="AI60" s="228" t="str">
        <x:v>True</x:v>
      </x:c>
      <x:c r="AJ60" s="228" t="str">
        <x:v>ea95bcb57e1e9a7f7b1f88715d697e8b9ab59391854581c1ed21a7700831325d</x:v>
      </x:c>
      <x:c r="AK60" s="228" t="str">
        <x:v>0</x:v>
      </x:c>
      <x:c r="AL60" s="228" t="str">
        <x:v>0</x:v>
      </x:c>
      <x:c r="AM60" s="228" t="str"/>
      <x:c r="AN60" s="230" t="str">
        <x:v>0.15168900007847697</x:v>
      </x:c>
      <x:c r="AO60" s="228" t="str">
        <x:v>167</x:v>
      </x:c>
      <x:c r="AP60" s="228" t="str">
        <x:v>0</x:v>
      </x:c>
      <x:c r="AQ60" s="228" t="str">
        <x:v>0</x:v>
      </x:c>
      <x:c r="AR60" s="228" t="str">
        <x:v>167</x:v>
      </x:c>
      <x:c r="AS60" s="228" t="str">
        <x:v>210.6785234999843</x:v>
      </x:c>
      <x:c r="AT60" s="228" t="str">
        <x:v>True</x:v>
      </x:c>
      <x:c r="AU60" s="228" t="str">
        <x:v>ea95bcb57e1e9a7f7b1f88715d697e8b9ab59391854581c1ed21a7700831325d</x:v>
      </x:c>
      <x:c r="AV60" s="228" t="str">
        <x:v>0</x:v>
      </x:c>
      <x:c r="AW60" s="228" t="str">
        <x:v>167</x:v>
      </x:c>
      <x:c r="AX60" s="228" t="str">
        <x:v>3</x:v>
      </x:c>
      <x:c r="AY60" s="230" t="str">
        <x:v>0.396355300094001</x:v>
      </x:c>
      <x:c r="AZ60" s="228" t="str">
        <x:v>False</x:v>
      </x:c>
      <x:c r="BA60" s="228" t="str">
        <x:v>164</x:v>
      </x:c>
      <x:c r="BB60" s="230" t="str">
        <x:v>211.0748788000783</x:v>
      </x:c>
      <x:c r="BC60" s="228" t="str">
        <x:v>True</x:v>
      </x:c>
      <x:c r="BD60" s="228" t="str">
        <x:v>bb1477086a5e97d1338efd985c0cc991e84ec0757502666241c63eaae76d7a94</x:v>
      </x:c>
      <x:c r="BE60" s="228" t="str">
        <x:v>-3</x:v>
      </x:c>
      <x:c r="BF60" s="228" t="str">
        <x:v>0</x:v>
      </x:c>
      <x:c r="BG60" s="228" t="str">
        <x:v>2</x:v>
      </x:c>
      <x:c r="BH60" s="228" t="str">
        <x:v>164</x:v>
      </x:c>
      <x:c r="BI60" s="228" t="str">
        <x:v>164</x:v>
      </x:c>
      <x:c r="BJ60" s="230" t="str">
        <x:v>189.62005659996066</x:v>
      </x:c>
      <x:c r="BK60" s="228" t="str">
        <x:v>True</x:v>
      </x:c>
      <x:c r="BL60" s="228" t="str">
        <x:v>c465299a3863bcaaf2f1136b06305977c0b2fad942de63e6f93c98eec1a528e9</x:v>
      </x:c>
      <x:c r="BM60" s="228" t="str">
        <x:v>0</x:v>
      </x:c>
      <x:c r="BN60" s="228" t="str">
        <x:v>0</x:v>
      </x:c>
      <x:c r="BO60" s="228" t="str"/>
      <x:c r="BP60" s="230" t="str">
        <x:v>0.12020810006652027</x:v>
      </x:c>
      <x:c r="BQ60" s="228" t="str">
        <x:v>164</x:v>
      </x:c>
      <x:c r="BR60" s="228" t="str">
        <x:v>0</x:v>
      </x:c>
      <x:c r="BS60" s="228" t="str">
        <x:v>0</x:v>
      </x:c>
      <x:c r="BT60" s="228" t="str">
        <x:v>164</x:v>
      </x:c>
      <x:c r="BU60" s="228" t="str">
        <x:v>189.74026470002718</x:v>
      </x:c>
      <x:c r="BV60" s="228" t="str">
        <x:v>True</x:v>
      </x:c>
      <x:c r="BW60" s="228" t="str">
        <x:v>c465299a3863bcaaf2f1136b06305977c0b2fad942de63e6f93c98eec1a528e9</x:v>
      </x:c>
      <x:c r="BX60" s="228" t="str">
        <x:v>0</x:v>
      </x:c>
      <x:c r="BY60" s="228" t="str">
        <x:v>164</x:v>
      </x:c>
      <x:c r="BZ60" s="228" t="str">
        <x:v>5</x:v>
      </x:c>
      <x:c r="CA60" s="230" t="str">
        <x:v>0.2873905999585986</x:v>
      </x:c>
      <x:c r="CB60" s="228" t="str">
        <x:v>False</x:v>
      </x:c>
      <x:c r="CC60" s="228" t="str">
        <x:v>159</x:v>
      </x:c>
      <x:c r="CD60" s="230" t="str">
        <x:v>190.02765529998578</x:v>
      </x:c>
      <x:c r="CE60" s="228" t="str">
        <x:v>True</x:v>
      </x:c>
      <x:c r="CF60" s="228" t="str">
        <x:v>c5ea5cb246f909f9d8f1473ad1919a70614856273e9cbfed5a5762efd97b97b3</x:v>
      </x:c>
      <x:c r="CG60" s="228" t="str">
        <x:v>-5</x:v>
      </x:c>
      <x:c r="CH60" s="228" t="str">
        <x:v>0</x:v>
      </x:c>
      <x:c r="CI60" s="228" t="str">
        <x:v>1</x:v>
      </x:c>
      <x:c r="CJ60" s="228" t="str">
        <x:v>True</x:v>
      </x:c>
      <x:c r="CK60" s="228" t="str">
        <x:v>True</x:v>
      </x:c>
      <x:c r="CL60" s="228" t="str">
        <x:v>True</x:v>
      </x:c>
      <x:c r="CM60" s="228" t="str">
        <x:v>collision</x:v>
      </x:c>
      <x:c r="CN60" s="228" t="str">
        <x:v>-5</x:v>
      </x:c>
      <x:c r="CO60" s="230" t="str">
        <x:v>-21.047223500092514</x:v>
      </x:c>
      <x:c r="CP60" s="228" t="str">
        <x:v>0.9695121951219512</x:v>
      </x:c>
      <x:c r="CQ60" s="228" t="str">
        <x:v>0.9002855118536981</x:v>
      </x:c>
      <x:c r="CR60" s="228" t="str">
        <x:v>1.1107587391259786</x:v>
      </x:c>
      <x:c r="CS60" s="228" t="str">
        <x:v>collision</x:v>
      </x:c>
      <x:c r="CT60" s="228" t="str">
        <x:v>collision</x:v>
      </x:c>
      <x:c r="CU60" s="228" t="str">
        <x:v>collision_dominates</x:v>
      </x:c>
      <x:c r="CV60" s="228" t="str">
        <x:v>neither</x:v>
      </x:c>
      <x:c r="CW60" s="228" t="str">
        <x:v>both_valid</x:v>
      </x:c>
      <x:c r="CX60" s="228" t="str">
        <x:v>none</x:v>
      </x:c>
      <x:c r="CY60" s="228" t="str">
        <x:v>none</x:v>
      </x:c>
    </x:row>
    <x:row r="61">
      <x:c r="A61" s="228" t="str">
        <x:v>final-paired-v2</x:v>
      </x:c>
      <x:c r="B61" s="228" t="str">
        <x:v>20260819</x:v>
      </x:c>
      <x:c r="C61" s="228" t="str">
        <x:v>4</x:v>
      </x:c>
      <x:c r="D61" s="228" t="str">
        <x:v>15</x:v>
      </x:c>
      <x:c r="E61" s="228" t="str">
        <x:v>n1000_r0.7_repeat3</x:v>
      </x:c>
      <x:c r="F61" s="228" t="str">
        <x:v>1000</x:v>
      </x:c>
      <x:c r="G61" s="228" t="str">
        <x:v>0.7</x:v>
      </x:c>
      <x:c r="H61" s="228" t="str">
        <x:v>3</x:v>
      </x:c>
      <x:c r="I61" s="228" t="str">
        <x:v>541001280</x:v>
      </x:c>
      <x:c r="J61" s="228" t="str">
        <x:v>bb9cc6d6d6afcbd91f4cc883243fc4bc53daeffe9c3e04ee54328e9066ac5e75</x:v>
      </x:c>
      <x:c r="K61" s="228" t="str">
        <x:v>380194</x:v>
      </x:c>
      <x:c r="L61" s="228" t="str">
        <x:v>1</x:v>
      </x:c>
      <x:c r="M61" s="228" t="str">
        <x:v>1000</x:v>
      </x:c>
      <x:c r="N61" s="228" t="str">
        <x:v>True</x:v>
      </x:c>
      <x:c r="O61" s="228" t="str">
        <x:v>0</x:v>
      </x:c>
      <x:c r="P61" s="228" t="str">
        <x:v>760.388</x:v>
      </x:c>
      <x:c r="Q61" s="228" t="str">
        <x:v>146.57810701465618</x:v>
      </x:c>
      <x:c r="R61" s="228" t="str">
        <x:v>393</x:v>
      </x:c>
      <x:c r="S61" s="228" t="str">
        <x:v>999</x:v>
      </x:c>
      <x:c r="T61" s="228" t="str">
        <x:v>0.7611491491491491</x:v>
      </x:c>
      <x:c r="U61" s="230" t="str">
        <x:v>1.4843368000583723</x:v>
      </x:c>
      <x:c r="V61" s="230" t="str">
        <x:v>1.2548781000077724</x:v>
      </x:c>
      <x:c r="W61" s="228" t="str">
        <x:v>True</x:v>
      </x:c>
      <x:c r="X61" s="228" t="str">
        <x:v>False</x:v>
      </x:c>
      <x:c r="Y61" s="228" t="str">
        <x:v>5</x:v>
      </x:c>
      <x:c r="Z61" s="228" t="str">
        <x:v>grid</x:v>
      </x:c>
      <x:c r="AA61" s="228" t="str">
        <x:v>4</x:v>
      </x:c>
      <x:c r="AB61" s="228" t="str">
        <x:v>circle,zoomed,ich,grid</x:v>
      </x:c>
      <x:c r="AC61" s="228" t="str">
        <x:v>3188228089</x:v>
      </x:c>
      <x:c r="AD61" s="228" t="str">
        <x:v>3188228089</x:v>
      </x:c>
      <x:c r="AE61" s="228" t="str">
        <x:v>collision,entropy</x:v>
      </x:c>
      <x:c r="AF61" s="228" t="str">
        <x:v>886</x:v>
      </x:c>
      <x:c r="AG61" s="228" t="str">
        <x:v>197</x:v>
      </x:c>
      <x:c r="AH61" s="230" t="str">
        <x:v>140.67534669989254</x:v>
      </x:c>
      <x:c r="AI61" s="228" t="str">
        <x:v>True</x:v>
      </x:c>
      <x:c r="AJ61" s="228" t="str">
        <x:v>7d9ba98a35418dea3486fe73b4c1035c8a9178d9f824936998ea8fc16771f2a3</x:v>
      </x:c>
      <x:c r="AK61" s="228" t="str">
        <x:v>0</x:v>
      </x:c>
      <x:c r="AL61" s="228" t="str">
        <x:v>0</x:v>
      </x:c>
      <x:c r="AM61" s="228" t="str"/>
      <x:c r="AN61" s="230" t="str">
        <x:v>0.1284311000490561</x:v>
      </x:c>
      <x:c r="AO61" s="228" t="str">
        <x:v>197</x:v>
      </x:c>
      <x:c r="AP61" s="228" t="str">
        <x:v>0</x:v>
      </x:c>
      <x:c r="AQ61" s="228" t="str">
        <x:v>0</x:v>
      </x:c>
      <x:c r="AR61" s="228" t="str">
        <x:v>197</x:v>
      </x:c>
      <x:c r="AS61" s="228" t="str">
        <x:v>140.8037777999416</x:v>
      </x:c>
      <x:c r="AT61" s="228" t="str">
        <x:v>True</x:v>
      </x:c>
      <x:c r="AU61" s="228" t="str">
        <x:v>7d9ba98a35418dea3486fe73b4c1035c8a9178d9f824936998ea8fc16771f2a3</x:v>
      </x:c>
      <x:c r="AV61" s="228" t="str">
        <x:v>0</x:v>
      </x:c>
      <x:c r="AW61" s="228" t="str">
        <x:v>197</x:v>
      </x:c>
      <x:c r="AX61" s="228" t="str">
        <x:v>0</x:v>
      </x:c>
      <x:c r="AY61" s="230" t="str">
        <x:v>0.20219999994151294</x:v>
      </x:c>
      <x:c r="AZ61" s="228" t="str">
        <x:v>False</x:v>
      </x:c>
      <x:c r="BA61" s="228" t="str">
        <x:v>197</x:v>
      </x:c>
      <x:c r="BB61" s="230" t="str">
        <x:v>141.0059777998831</x:v>
      </x:c>
      <x:c r="BC61" s="228" t="str">
        <x:v>True</x:v>
      </x:c>
      <x:c r="BD61" s="228" t="str">
        <x:v>7d9ba98a35418dea3486fe73b4c1035c8a9178d9f824936998ea8fc16771f2a3</x:v>
      </x:c>
      <x:c r="BE61" s="228" t="str">
        <x:v>0</x:v>
      </x:c>
      <x:c r="BF61" s="228" t="str">
        <x:v>0</x:v>
      </x:c>
      <x:c r="BG61" s="228" t="str">
        <x:v>2</x:v>
      </x:c>
      <x:c r="BH61" s="228" t="str">
        <x:v>161</x:v>
      </x:c>
      <x:c r="BI61" s="228" t="str">
        <x:v>160</x:v>
      </x:c>
      <x:c r="BJ61" s="230" t="str">
        <x:v>81.00559009995777</x:v>
      </x:c>
      <x:c r="BK61" s="228" t="str">
        <x:v>True</x:v>
      </x:c>
      <x:c r="BL61" s="228" t="str">
        <x:v>bedda3ed27bdf61c8136ef9a788a37735976e2db2e35ccea765479aff36d9fa9</x:v>
      </x:c>
      <x:c r="BM61" s="228" t="str">
        <x:v>0</x:v>
      </x:c>
      <x:c r="BN61" s="228" t="str">
        <x:v>0</x:v>
      </x:c>
      <x:c r="BO61" s="228" t="str"/>
      <x:c r="BP61" s="230" t="str">
        <x:v>0.10786880005616695</x:v>
      </x:c>
      <x:c r="BQ61" s="228" t="str">
        <x:v>160</x:v>
      </x:c>
      <x:c r="BR61" s="228" t="str">
        <x:v>0</x:v>
      </x:c>
      <x:c r="BS61" s="228" t="str">
        <x:v>0</x:v>
      </x:c>
      <x:c r="BT61" s="228" t="str">
        <x:v>160</x:v>
      </x:c>
      <x:c r="BU61" s="228" t="str">
        <x:v>81.11345890001394</x:v>
      </x:c>
      <x:c r="BV61" s="228" t="str">
        <x:v>True</x:v>
      </x:c>
      <x:c r="BW61" s="228" t="str">
        <x:v>bedda3ed27bdf61c8136ef9a788a37735976e2db2e35ccea765479aff36d9fa9</x:v>
      </x:c>
      <x:c r="BX61" s="228" t="str">
        <x:v>0</x:v>
      </x:c>
      <x:c r="BY61" s="228" t="str">
        <x:v>160</x:v>
      </x:c>
      <x:c r="BZ61" s="228" t="str">
        <x:v>0</x:v>
      </x:c>
      <x:c r="CA61" s="230" t="str">
        <x:v>0.15636209992226213</x:v>
      </x:c>
      <x:c r="CB61" s="228" t="str">
        <x:v>False</x:v>
      </x:c>
      <x:c r="CC61" s="228" t="str">
        <x:v>160</x:v>
      </x:c>
      <x:c r="CD61" s="230" t="str">
        <x:v>81.2698209999362</x:v>
      </x:c>
      <x:c r="CE61" s="228" t="str">
        <x:v>True</x:v>
      </x:c>
      <x:c r="CF61" s="228" t="str">
        <x:v>bedda3ed27bdf61c8136ef9a788a37735976e2db2e35ccea765479aff36d9fa9</x:v>
      </x:c>
      <x:c r="CG61" s="228" t="str">
        <x:v>0</x:v>
      </x:c>
      <x:c r="CH61" s="228" t="str">
        <x:v>0</x:v>
      </x:c>
      <x:c r="CI61" s="228" t="str">
        <x:v>1</x:v>
      </x:c>
      <x:c r="CJ61" s="228" t="str">
        <x:v>True</x:v>
      </x:c>
      <x:c r="CK61" s="228" t="str">
        <x:v>True</x:v>
      </x:c>
      <x:c r="CL61" s="228" t="str">
        <x:v>True</x:v>
      </x:c>
      <x:c r="CM61" s="228" t="str">
        <x:v>collision</x:v>
      </x:c>
      <x:c r="CN61" s="228" t="str">
        <x:v>-37</x:v>
      </x:c>
      <x:c r="CO61" s="230" t="str">
        <x:v>-59.73615679994691</x:v>
      </x:c>
      <x:c r="CP61" s="228" t="str">
        <x:v>0.8121827411167513</x:v>
      </x:c>
      <x:c r="CQ61" s="228" t="str">
        <x:v>0.5763572741240448</x:v>
      </x:c>
      <x:c r="CR61" s="228" t="str">
        <x:v>1.7350349252029706</x:v>
      </x:c>
      <x:c r="CS61" s="228" t="str">
        <x:v>collision</x:v>
      </x:c>
      <x:c r="CT61" s="228" t="str">
        <x:v>collision</x:v>
      </x:c>
      <x:c r="CU61" s="228" t="str">
        <x:v>collision_dominates</x:v>
      </x:c>
      <x:c r="CV61" s="228" t="str">
        <x:v>neither</x:v>
      </x:c>
      <x:c r="CW61" s="228" t="str">
        <x:v>both_valid</x:v>
      </x:c>
      <x:c r="CX61" s="228" t="str">
        <x:v>none</x:v>
      </x:c>
      <x:c r="CY61" s="228" t="str">
        <x:v>none</x:v>
      </x:c>
    </x:row>
    <x:row r="62">
      <x:c r="A62" s="228" t="str">
        <x:v>final-paired-v2</x:v>
      </x:c>
      <x:c r="B62" s="228" t="str">
        <x:v>20260819</x:v>
      </x:c>
      <x:c r="C62" s="228" t="str">
        <x:v>4</x:v>
      </x:c>
      <x:c r="D62" s="228" t="str">
        <x:v>16</x:v>
      </x:c>
      <x:c r="E62" s="228" t="str">
        <x:v>n1000_r0.7_repeat4</x:v>
      </x:c>
      <x:c r="F62" s="228" t="str">
        <x:v>1000</x:v>
      </x:c>
      <x:c r="G62" s="228" t="str">
        <x:v>0.7</x:v>
      </x:c>
      <x:c r="H62" s="228" t="str">
        <x:v>4</x:v>
      </x:c>
      <x:c r="I62" s="228" t="str">
        <x:v>2636829186</x:v>
      </x:c>
      <x:c r="J62" s="228" t="str">
        <x:v>cf787b5aca6ad84120d617c5c00ca2b5bb19ba7d6d87f75b29b66fd1ede8c7e2</x:v>
      </x:c>
      <x:c r="K62" s="228" t="str">
        <x:v>370376</x:v>
      </x:c>
      <x:c r="L62" s="228" t="str">
        <x:v>1</x:v>
      </x:c>
      <x:c r="M62" s="228" t="str">
        <x:v>1000</x:v>
      </x:c>
      <x:c r="N62" s="228" t="str">
        <x:v>True</x:v>
      </x:c>
      <x:c r="O62" s="228" t="str">
        <x:v>0</x:v>
      </x:c>
      <x:c r="P62" s="228" t="str">
        <x:v>740.752</x:v>
      </x:c>
      <x:c r="Q62" s="228" t="str">
        <x:v>147.4588976494806</x:v>
      </x:c>
      <x:c r="R62" s="228" t="str">
        <x:v>385</x:v>
      </x:c>
      <x:c r="S62" s="228" t="str">
        <x:v>998</x:v>
      </x:c>
      <x:c r="T62" s="228" t="str">
        <x:v>0.7414934934934935</x:v>
      </x:c>
      <x:c r="U62" s="230" t="str">
        <x:v>1.4888161999406293</x:v>
      </x:c>
      <x:c r="V62" s="230" t="str">
        <x:v>1.200922799995169</x:v>
      </x:c>
      <x:c r="W62" s="228" t="str">
        <x:v>True</x:v>
      </x:c>
      <x:c r="X62" s="228" t="str">
        <x:v>False</x:v>
      </x:c>
      <x:c r="Y62" s="228" t="str">
        <x:v>5</x:v>
      </x:c>
      <x:c r="Z62" s="228" t="str">
        <x:v>zoomed</x:v>
      </x:c>
      <x:c r="AA62" s="228" t="str">
        <x:v>1</x:v>
      </x:c>
      <x:c r="AB62" s="228" t="str">
        <x:v>zoomed,ich,grid,circle</x:v>
      </x:c>
      <x:c r="AC62" s="228" t="str">
        <x:v>1603828791</x:v>
      </x:c>
      <x:c r="AD62" s="228" t="str">
        <x:v>1603828791</x:v>
      </x:c>
      <x:c r="AE62" s="228" t="str">
        <x:v>entropy,collision</x:v>
      </x:c>
      <x:c r="AF62" s="228" t="str">
        <x:v>982</x:v>
      </x:c>
      <x:c r="AG62" s="228" t="str">
        <x:v>196</x:v>
      </x:c>
      <x:c r="AH62" s="230" t="str">
        <x:v>76.2364610999357</x:v>
      </x:c>
      <x:c r="AI62" s="228" t="str">
        <x:v>True</x:v>
      </x:c>
      <x:c r="AJ62" s="228" t="str">
        <x:v>8a543ce8b73724a957a66e853b4db75a5e38077db0c245fd8da82e9670498fb0</x:v>
      </x:c>
      <x:c r="AK62" s="228" t="str">
        <x:v>0</x:v>
      </x:c>
      <x:c r="AL62" s="228" t="str">
        <x:v>0</x:v>
      </x:c>
      <x:c r="AM62" s="228" t="str"/>
      <x:c r="AN62" s="230" t="str">
        <x:v>0.15022890002001077</x:v>
      </x:c>
      <x:c r="AO62" s="228" t="str">
        <x:v>196</x:v>
      </x:c>
      <x:c r="AP62" s="228" t="str">
        <x:v>0</x:v>
      </x:c>
      <x:c r="AQ62" s="228" t="str">
        <x:v>0</x:v>
      </x:c>
      <x:c r="AR62" s="228" t="str">
        <x:v>196</x:v>
      </x:c>
      <x:c r="AS62" s="228" t="str">
        <x:v>76.3866899999557</x:v>
      </x:c>
      <x:c r="AT62" s="228" t="str">
        <x:v>True</x:v>
      </x:c>
      <x:c r="AU62" s="228" t="str">
        <x:v>8a543ce8b73724a957a66e853b4db75a5e38077db0c245fd8da82e9670498fb0</x:v>
      </x:c>
      <x:c r="AV62" s="228" t="str">
        <x:v>0</x:v>
      </x:c>
      <x:c r="AW62" s="228" t="str">
        <x:v>196</x:v>
      </x:c>
      <x:c r="AX62" s="228" t="str">
        <x:v>0</x:v>
      </x:c>
      <x:c r="AY62" s="230" t="str">
        <x:v>0.20487709995359182</x:v>
      </x:c>
      <x:c r="AZ62" s="228" t="str">
        <x:v>False</x:v>
      </x:c>
      <x:c r="BA62" s="228" t="str">
        <x:v>196</x:v>
      </x:c>
      <x:c r="BB62" s="230" t="str">
        <x:v>76.5915670999093</x:v>
      </x:c>
      <x:c r="BC62" s="228" t="str">
        <x:v>True</x:v>
      </x:c>
      <x:c r="BD62" s="228" t="str">
        <x:v>8a543ce8b73724a957a66e853b4db75a5e38077db0c245fd8da82e9670498fb0</x:v>
      </x:c>
      <x:c r="BE62" s="228" t="str">
        <x:v>0</x:v>
      </x:c>
      <x:c r="BF62" s="228" t="str">
        <x:v>0</x:v>
      </x:c>
      <x:c r="BG62" s="228" t="str">
        <x:v>1</x:v>
      </x:c>
      <x:c r="BH62" s="228" t="str">
        <x:v>400</x:v>
      </x:c>
      <x:c r="BI62" s="228" t="str">
        <x:v>177</x:v>
      </x:c>
      <x:c r="BJ62" s="230" t="str">
        <x:v>64.03693389997352</x:v>
      </x:c>
      <x:c r="BK62" s="228" t="str">
        <x:v>True</x:v>
      </x:c>
      <x:c r="BL62" s="228" t="str">
        <x:v>546d0467af337f0605902795754b9c10a2eaa30044e887b713fd11d8e2fb2695</x:v>
      </x:c>
      <x:c r="BM62" s="228" t="str">
        <x:v>0</x:v>
      </x:c>
      <x:c r="BN62" s="228" t="str">
        <x:v>0</x:v>
      </x:c>
      <x:c r="BO62" s="228" t="str"/>
      <x:c r="BP62" s="230" t="str">
        <x:v>0.1356101999990642</x:v>
      </x:c>
      <x:c r="BQ62" s="228" t="str">
        <x:v>177</x:v>
      </x:c>
      <x:c r="BR62" s="228" t="str">
        <x:v>0</x:v>
      </x:c>
      <x:c r="BS62" s="228" t="str">
        <x:v>0</x:v>
      </x:c>
      <x:c r="BT62" s="228" t="str">
        <x:v>177</x:v>
      </x:c>
      <x:c r="BU62" s="228" t="str">
        <x:v>64.17254409997258</x:v>
      </x:c>
      <x:c r="BV62" s="228" t="str">
        <x:v>True</x:v>
      </x:c>
      <x:c r="BW62" s="228" t="str">
        <x:v>546d0467af337f0605902795754b9c10a2eaa30044e887b713fd11d8e2fb2695</x:v>
      </x:c>
      <x:c r="BX62" s="228" t="str">
        <x:v>0</x:v>
      </x:c>
      <x:c r="BY62" s="228" t="str">
        <x:v>177</x:v>
      </x:c>
      <x:c r="BZ62" s="228" t="str">
        <x:v>0</x:v>
      </x:c>
      <x:c r="CA62" s="230" t="str">
        <x:v>0.1920049999607727</x:v>
      </x:c>
      <x:c r="CB62" s="228" t="str">
        <x:v>False</x:v>
      </x:c>
      <x:c r="CC62" s="228" t="str">
        <x:v>177</x:v>
      </x:c>
      <x:c r="CD62" s="230" t="str">
        <x:v>64.36454909993336</x:v>
      </x:c>
      <x:c r="CE62" s="228" t="str">
        <x:v>True</x:v>
      </x:c>
      <x:c r="CF62" s="228" t="str">
        <x:v>546d0467af337f0605902795754b9c10a2eaa30044e887b713fd11d8e2fb2695</x:v>
      </x:c>
      <x:c r="CG62" s="228" t="str">
        <x:v>0</x:v>
      </x:c>
      <x:c r="CH62" s="228" t="str">
        <x:v>0</x:v>
      </x:c>
      <x:c r="CI62" s="228" t="str">
        <x:v>2</x:v>
      </x:c>
      <x:c r="CJ62" s="228" t="str">
        <x:v>True</x:v>
      </x:c>
      <x:c r="CK62" s="228" t="str">
        <x:v>True</x:v>
      </x:c>
      <x:c r="CL62" s="228" t="str">
        <x:v>True</x:v>
      </x:c>
      <x:c r="CM62" s="228" t="str">
        <x:v>collision</x:v>
      </x:c>
      <x:c r="CN62" s="228" t="str">
        <x:v>-19</x:v>
      </x:c>
      <x:c r="CO62" s="230" t="str">
        <x:v>-12.227017999975942</x:v>
      </x:c>
      <x:c r="CP62" s="228" t="str">
        <x:v>0.9030612244897959</x:v>
      </x:c>
      <x:c r="CQ62" s="228" t="str">
        <x:v>0.8403607803973184</x:v>
      </x:c>
      <x:c r="CR62" s="228" t="str">
        <x:v>1.189965099902931</x:v>
      </x:c>
      <x:c r="CS62" s="228" t="str">
        <x:v>collision</x:v>
      </x:c>
      <x:c r="CT62" s="228" t="str">
        <x:v>collision</x:v>
      </x:c>
      <x:c r="CU62" s="228" t="str">
        <x:v>collision_dominates</x:v>
      </x:c>
      <x:c r="CV62" s="228" t="str">
        <x:v>neither</x:v>
      </x:c>
      <x:c r="CW62" s="228" t="str">
        <x:v>both_valid</x:v>
      </x:c>
      <x:c r="CX62" s="228" t="str">
        <x:v>none</x:v>
      </x:c>
      <x:c r="CY62" s="228" t="str">
        <x:v>none</x:v>
      </x:c>
    </x:row>
    <x:row r="63">
      <x:c r="A63" s="228" t="str">
        <x:v>final-paired-v2</x:v>
      </x:c>
      <x:c r="B63" s="228" t="str">
        <x:v>20260819</x:v>
      </x:c>
      <x:c r="C63" s="228" t="str">
        <x:v>4</x:v>
      </x:c>
      <x:c r="D63" s="228" t="str">
        <x:v>16</x:v>
      </x:c>
      <x:c r="E63" s="228" t="str">
        <x:v>n1000_r0.7_repeat4</x:v>
      </x:c>
      <x:c r="F63" s="228" t="str">
        <x:v>1000</x:v>
      </x:c>
      <x:c r="G63" s="228" t="str">
        <x:v>0.7</x:v>
      </x:c>
      <x:c r="H63" s="228" t="str">
        <x:v>4</x:v>
      </x:c>
      <x:c r="I63" s="228" t="str">
        <x:v>2636829186</x:v>
      </x:c>
      <x:c r="J63" s="228" t="str">
        <x:v>cf787b5aca6ad84120d617c5c00ca2b5bb19ba7d6d87f75b29b66fd1ede8c7e2</x:v>
      </x:c>
      <x:c r="K63" s="228" t="str">
        <x:v>370376</x:v>
      </x:c>
      <x:c r="L63" s="228" t="str">
        <x:v>1</x:v>
      </x:c>
      <x:c r="M63" s="228" t="str">
        <x:v>1000</x:v>
      </x:c>
      <x:c r="N63" s="228" t="str">
        <x:v>True</x:v>
      </x:c>
      <x:c r="O63" s="228" t="str">
        <x:v>0</x:v>
      </x:c>
      <x:c r="P63" s="228" t="str">
        <x:v>740.752</x:v>
      </x:c>
      <x:c r="Q63" s="228" t="str">
        <x:v>147.4588976494806</x:v>
      </x:c>
      <x:c r="R63" s="228" t="str">
        <x:v>385</x:v>
      </x:c>
      <x:c r="S63" s="228" t="str">
        <x:v>998</x:v>
      </x:c>
      <x:c r="T63" s="228" t="str">
        <x:v>0.7414934934934935</x:v>
      </x:c>
      <x:c r="U63" s="230" t="str">
        <x:v>1.4888161999406293</x:v>
      </x:c>
      <x:c r="V63" s="230" t="str">
        <x:v>1.200922799995169</x:v>
      </x:c>
      <x:c r="W63" s="228" t="str">
        <x:v>True</x:v>
      </x:c>
      <x:c r="X63" s="228" t="str">
        <x:v>False</x:v>
      </x:c>
      <x:c r="Y63" s="228" t="str">
        <x:v>5</x:v>
      </x:c>
      <x:c r="Z63" s="228" t="str">
        <x:v>ich</x:v>
      </x:c>
      <x:c r="AA63" s="228" t="str">
        <x:v>2</x:v>
      </x:c>
      <x:c r="AB63" s="228" t="str">
        <x:v>zoomed,ich,grid,circle</x:v>
      </x:c>
      <x:c r="AC63" s="228" t="str">
        <x:v>3137222957</x:v>
      </x:c>
      <x:c r="AD63" s="228" t="str">
        <x:v>3137222957</x:v>
      </x:c>
      <x:c r="AE63" s="228" t="str">
        <x:v>entropy,collision</x:v>
      </x:c>
      <x:c r="AF63" s="228" t="str">
        <x:v>159</x:v>
      </x:c>
      <x:c r="AG63" s="228" t="str">
        <x:v>159</x:v>
      </x:c>
      <x:c r="AH63" s="230" t="str">
        <x:v>212.02536130009685</x:v>
      </x:c>
      <x:c r="AI63" s="228" t="str">
        <x:v>True</x:v>
      </x:c>
      <x:c r="AJ63" s="228" t="str">
        <x:v>a585627d65ab1b2329ee010a48f47cb49d0127b69f227ffe104f6e27f82b2062</x:v>
      </x:c>
      <x:c r="AK63" s="228" t="str">
        <x:v>0</x:v>
      </x:c>
      <x:c r="AL63" s="228" t="str">
        <x:v>0</x:v>
      </x:c>
      <x:c r="AM63" s="228" t="str"/>
      <x:c r="AN63" s="230" t="str">
        <x:v>0.13280020002275705</x:v>
      </x:c>
      <x:c r="AO63" s="228" t="str">
        <x:v>159</x:v>
      </x:c>
      <x:c r="AP63" s="228" t="str">
        <x:v>0</x:v>
      </x:c>
      <x:c r="AQ63" s="228" t="str">
        <x:v>0</x:v>
      </x:c>
      <x:c r="AR63" s="228" t="str">
        <x:v>159</x:v>
      </x:c>
      <x:c r="AS63" s="228" t="str">
        <x:v>212.1581615001196</x:v>
      </x:c>
      <x:c r="AT63" s="228" t="str">
        <x:v>True</x:v>
      </x:c>
      <x:c r="AU63" s="228" t="str">
        <x:v>a585627d65ab1b2329ee010a48f47cb49d0127b69f227ffe104f6e27f82b2062</x:v>
      </x:c>
      <x:c r="AV63" s="228" t="str">
        <x:v>0</x:v>
      </x:c>
      <x:c r="AW63" s="228" t="str">
        <x:v>159</x:v>
      </x:c>
      <x:c r="AX63" s="228" t="str">
        <x:v>7</x:v>
      </x:c>
      <x:c r="AY63" s="230" t="str">
        <x:v>0.3252917000791058</x:v>
      </x:c>
      <x:c r="AZ63" s="228" t="str">
        <x:v>False</x:v>
      </x:c>
      <x:c r="BA63" s="228" t="str">
        <x:v>152</x:v>
      </x:c>
      <x:c r="BB63" s="230" t="str">
        <x:v>212.4834532001987</x:v>
      </x:c>
      <x:c r="BC63" s="228" t="str">
        <x:v>True</x:v>
      </x:c>
      <x:c r="BD63" s="228" t="str">
        <x:v>1a4d5e91cf23b66ed8fde10c2efe5df1f8148c984b2d0d2b93357adc0d14d65b</x:v>
      </x:c>
      <x:c r="BE63" s="228" t="str">
        <x:v>-7</x:v>
      </x:c>
      <x:c r="BF63" s="228" t="str">
        <x:v>0</x:v>
      </x:c>
      <x:c r="BG63" s="228" t="str">
        <x:v>1</x:v>
      </x:c>
      <x:c r="BH63" s="228" t="str">
        <x:v>159</x:v>
      </x:c>
      <x:c r="BI63" s="228" t="str">
        <x:v>159</x:v>
      </x:c>
      <x:c r="BJ63" s="230" t="str">
        <x:v>203.40593530004844</x:v>
      </x:c>
      <x:c r="BK63" s="228" t="str">
        <x:v>True</x:v>
      </x:c>
      <x:c r="BL63" s="228" t="str">
        <x:v>577a19aa020f512062821b4ffd7895dcc9f25ee40ca02c4d4e826d1a5b2125e7</x:v>
      </x:c>
      <x:c r="BM63" s="228" t="str">
        <x:v>0</x:v>
      </x:c>
      <x:c r="BN63" s="228" t="str">
        <x:v>0</x:v>
      </x:c>
      <x:c r="BO63" s="228" t="str"/>
      <x:c r="BP63" s="230" t="str">
        <x:v>0.12436740007251501</x:v>
      </x:c>
      <x:c r="BQ63" s="228" t="str">
        <x:v>159</x:v>
      </x:c>
      <x:c r="BR63" s="228" t="str">
        <x:v>0</x:v>
      </x:c>
      <x:c r="BS63" s="228" t="str">
        <x:v>0</x:v>
      </x:c>
      <x:c r="BT63" s="228" t="str">
        <x:v>159</x:v>
      </x:c>
      <x:c r="BU63" s="228" t="str">
        <x:v>203.53030270012096</x:v>
      </x:c>
      <x:c r="BV63" s="228" t="str">
        <x:v>True</x:v>
      </x:c>
      <x:c r="BW63" s="228" t="str">
        <x:v>577a19aa020f512062821b4ffd7895dcc9f25ee40ca02c4d4e826d1a5b2125e7</x:v>
      </x:c>
      <x:c r="BX63" s="228" t="str">
        <x:v>0</x:v>
      </x:c>
      <x:c r="BY63" s="228" t="str">
        <x:v>159</x:v>
      </x:c>
      <x:c r="BZ63" s="228" t="str">
        <x:v>6</x:v>
      </x:c>
      <x:c r="CA63" s="230" t="str">
        <x:v>0.3181249999906868</x:v>
      </x:c>
      <x:c r="CB63" s="228" t="str">
        <x:v>False</x:v>
      </x:c>
      <x:c r="CC63" s="228" t="str">
        <x:v>153</x:v>
      </x:c>
      <x:c r="CD63" s="230" t="str">
        <x:v>203.84842770011164</x:v>
      </x:c>
      <x:c r="CE63" s="228" t="str">
        <x:v>True</x:v>
      </x:c>
      <x:c r="CF63" s="228" t="str">
        <x:v>3edc633a7dfa54b7a3bc8f1d3a4ed739820f36f676c88ca564ae169bb647d45b</x:v>
      </x:c>
      <x:c r="CG63" s="228" t="str">
        <x:v>-6</x:v>
      </x:c>
      <x:c r="CH63" s="228" t="str">
        <x:v>0</x:v>
      </x:c>
      <x:c r="CI63" s="228" t="str">
        <x:v>2</x:v>
      </x:c>
      <x:c r="CJ63" s="228" t="str">
        <x:v>True</x:v>
      </x:c>
      <x:c r="CK63" s="228" t="str">
        <x:v>True</x:v>
      </x:c>
      <x:c r="CL63" s="228" t="str">
        <x:v>True</x:v>
      </x:c>
      <x:c r="CM63" s="228" t="str">
        <x:v>tie</x:v>
      </x:c>
      <x:c r="CN63" s="228" t="str">
        <x:v>1</x:v>
      </x:c>
      <x:c r="CO63" s="230" t="str">
        <x:v>-8.635025500087067</x:v>
      </x:c>
      <x:c r="CP63" s="228" t="str">
        <x:v>1.006578947368421</x:v>
      </x:c>
      <x:c r="CQ63" s="228" t="str">
        <x:v>0.9593614214658339</x:v>
      </x:c>
      <x:c r="CR63" s="228" t="str">
        <x:v>1.0423600299374904</x:v>
      </x:c>
      <x:c r="CS63" s="228" t="str">
        <x:v>entropy</x:v>
      </x:c>
      <x:c r="CT63" s="228" t="str">
        <x:v>collision</x:v>
      </x:c>
      <x:c r="CU63" s="228" t="str">
        <x:v>tradeoff</x:v>
      </x:c>
      <x:c r="CV63" s="228" t="str">
        <x:v>neither</x:v>
      </x:c>
      <x:c r="CW63" s="228" t="str">
        <x:v>both_valid</x:v>
      </x:c>
      <x:c r="CX63" s="228" t="str">
        <x:v>none</x:v>
      </x:c>
      <x:c r="CY63" s="228" t="str">
        <x:v>none</x:v>
      </x:c>
    </x:row>
    <x:row r="64">
      <x:c r="A64" s="228" t="str">
        <x:v>final-paired-v2</x:v>
      </x:c>
      <x:c r="B64" s="228" t="str">
        <x:v>20260819</x:v>
      </x:c>
      <x:c r="C64" s="228" t="str">
        <x:v>4</x:v>
      </x:c>
      <x:c r="D64" s="228" t="str">
        <x:v>16</x:v>
      </x:c>
      <x:c r="E64" s="228" t="str">
        <x:v>n1000_r0.7_repeat4</x:v>
      </x:c>
      <x:c r="F64" s="228" t="str">
        <x:v>1000</x:v>
      </x:c>
      <x:c r="G64" s="228" t="str">
        <x:v>0.7</x:v>
      </x:c>
      <x:c r="H64" s="228" t="str">
        <x:v>4</x:v>
      </x:c>
      <x:c r="I64" s="228" t="str">
        <x:v>2636829186</x:v>
      </x:c>
      <x:c r="J64" s="228" t="str">
        <x:v>cf787b5aca6ad84120d617c5c00ca2b5bb19ba7d6d87f75b29b66fd1ede8c7e2</x:v>
      </x:c>
      <x:c r="K64" s="228" t="str">
        <x:v>370376</x:v>
      </x:c>
      <x:c r="L64" s="228" t="str">
        <x:v>1</x:v>
      </x:c>
      <x:c r="M64" s="228" t="str">
        <x:v>1000</x:v>
      </x:c>
      <x:c r="N64" s="228" t="str">
        <x:v>True</x:v>
      </x:c>
      <x:c r="O64" s="228" t="str">
        <x:v>0</x:v>
      </x:c>
      <x:c r="P64" s="228" t="str">
        <x:v>740.752</x:v>
      </x:c>
      <x:c r="Q64" s="228" t="str">
        <x:v>147.4588976494806</x:v>
      </x:c>
      <x:c r="R64" s="228" t="str">
        <x:v>385</x:v>
      </x:c>
      <x:c r="S64" s="228" t="str">
        <x:v>998</x:v>
      </x:c>
      <x:c r="T64" s="228" t="str">
        <x:v>0.7414934934934935</x:v>
      </x:c>
      <x:c r="U64" s="230" t="str">
        <x:v>1.4888161999406293</x:v>
      </x:c>
      <x:c r="V64" s="230" t="str">
        <x:v>1.200922799995169</x:v>
      </x:c>
      <x:c r="W64" s="228" t="str">
        <x:v>True</x:v>
      </x:c>
      <x:c r="X64" s="228" t="str">
        <x:v>False</x:v>
      </x:c>
      <x:c r="Y64" s="228" t="str">
        <x:v>5</x:v>
      </x:c>
      <x:c r="Z64" s="228" t="str">
        <x:v>grid</x:v>
      </x:c>
      <x:c r="AA64" s="228" t="str">
        <x:v>3</x:v>
      </x:c>
      <x:c r="AB64" s="228" t="str">
        <x:v>zoomed,ich,grid,circle</x:v>
      </x:c>
      <x:c r="AC64" s="228" t="str">
        <x:v>52276155</x:v>
      </x:c>
      <x:c r="AD64" s="228" t="str">
        <x:v>52276155</x:v>
      </x:c>
      <x:c r="AE64" s="228" t="str">
        <x:v>entropy,collision</x:v>
      </x:c>
      <x:c r="AF64" s="228" t="str">
        <x:v>817</x:v>
      </x:c>
      <x:c r="AG64" s="228" t="str">
        <x:v>176</x:v>
      </x:c>
      <x:c r="AH64" s="230" t="str">
        <x:v>145.43190229998436</x:v>
      </x:c>
      <x:c r="AI64" s="228" t="str">
        <x:v>True</x:v>
      </x:c>
      <x:c r="AJ64" s="228" t="str">
        <x:v>c67326a4911c396fdff78a0c7fcf02e54f5504c17d303e7ec04eedf2199d95a9</x:v>
      </x:c>
      <x:c r="AK64" s="228" t="str">
        <x:v>0</x:v>
      </x:c>
      <x:c r="AL64" s="228" t="str">
        <x:v>0</x:v>
      </x:c>
      <x:c r="AM64" s="228" t="str"/>
      <x:c r="AN64" s="230" t="str">
        <x:v>0.14513439999427646</x:v>
      </x:c>
      <x:c r="AO64" s="228" t="str">
        <x:v>176</x:v>
      </x:c>
      <x:c r="AP64" s="228" t="str">
        <x:v>0</x:v>
      </x:c>
      <x:c r="AQ64" s="228" t="str">
        <x:v>0</x:v>
      </x:c>
      <x:c r="AR64" s="228" t="str">
        <x:v>176</x:v>
      </x:c>
      <x:c r="AS64" s="228" t="str">
        <x:v>145.57703669997863</x:v>
      </x:c>
      <x:c r="AT64" s="228" t="str">
        <x:v>True</x:v>
      </x:c>
      <x:c r="AU64" s="228" t="str">
        <x:v>c67326a4911c396fdff78a0c7fcf02e54f5504c17d303e7ec04eedf2199d95a9</x:v>
      </x:c>
      <x:c r="AV64" s="228" t="str">
        <x:v>0</x:v>
      </x:c>
      <x:c r="AW64" s="228" t="str">
        <x:v>176</x:v>
      </x:c>
      <x:c r="AX64" s="228" t="str">
        <x:v>0</x:v>
      </x:c>
      <x:c r="AY64" s="230" t="str">
        <x:v>0.19728560000658035</x:v>
      </x:c>
      <x:c r="AZ64" s="228" t="str">
        <x:v>False</x:v>
      </x:c>
      <x:c r="BA64" s="228" t="str">
        <x:v>176</x:v>
      </x:c>
      <x:c r="BB64" s="230" t="str">
        <x:v>145.77432229998522</x:v>
      </x:c>
      <x:c r="BC64" s="228" t="str">
        <x:v>True</x:v>
      </x:c>
      <x:c r="BD64" s="228" t="str">
        <x:v>c67326a4911c396fdff78a0c7fcf02e54f5504c17d303e7ec04eedf2199d95a9</x:v>
      </x:c>
      <x:c r="BE64" s="228" t="str">
        <x:v>0</x:v>
      </x:c>
      <x:c r="BF64" s="228" t="str">
        <x:v>0</x:v>
      </x:c>
      <x:c r="BG64" s="228" t="str">
        <x:v>1</x:v>
      </x:c>
      <x:c r="BH64" s="228" t="str">
        <x:v>158</x:v>
      </x:c>
      <x:c r="BI64" s="228" t="str">
        <x:v>154</x:v>
      </x:c>
      <x:c r="BJ64" s="230" t="str">
        <x:v>84.6875286999857</x:v>
      </x:c>
      <x:c r="BK64" s="228" t="str">
        <x:v>True</x:v>
      </x:c>
      <x:c r="BL64" s="228" t="str">
        <x:v>ae0b4080ced73dcacf5f77b959f0740e205ebddaae29daf17dfb2408361f63f1</x:v>
      </x:c>
      <x:c r="BM64" s="228" t="str">
        <x:v>0</x:v>
      </x:c>
      <x:c r="BN64" s="228" t="str">
        <x:v>0</x:v>
      </x:c>
      <x:c r="BO64" s="228" t="str"/>
      <x:c r="BP64" s="230" t="str">
        <x:v>0.12079610000364482</x:v>
      </x:c>
      <x:c r="BQ64" s="228" t="str">
        <x:v>154</x:v>
      </x:c>
      <x:c r="BR64" s="228" t="str">
        <x:v>0</x:v>
      </x:c>
      <x:c r="BS64" s="228" t="str">
        <x:v>0</x:v>
      </x:c>
      <x:c r="BT64" s="228" t="str">
        <x:v>154</x:v>
      </x:c>
      <x:c r="BU64" s="228" t="str">
        <x:v>84.80832479998935</x:v>
      </x:c>
      <x:c r="BV64" s="228" t="str">
        <x:v>True</x:v>
      </x:c>
      <x:c r="BW64" s="228" t="str">
        <x:v>ae0b4080ced73dcacf5f77b959f0740e205ebddaae29daf17dfb2408361f63f1</x:v>
      </x:c>
      <x:c r="BX64" s="228" t="str">
        <x:v>0</x:v>
      </x:c>
      <x:c r="BY64" s="228" t="str">
        <x:v>154</x:v>
      </x:c>
      <x:c r="BZ64" s="228" t="str">
        <x:v>0</x:v>
      </x:c>
      <x:c r="CA64" s="230" t="str">
        <x:v>0.17141980002634227</x:v>
      </x:c>
      <x:c r="CB64" s="228" t="str">
        <x:v>False</x:v>
      </x:c>
      <x:c r="CC64" s="228" t="str">
        <x:v>154</x:v>
      </x:c>
      <x:c r="CD64" s="230" t="str">
        <x:v>84.97974460001569</x:v>
      </x:c>
      <x:c r="CE64" s="228" t="str">
        <x:v>True</x:v>
      </x:c>
      <x:c r="CF64" s="228" t="str">
        <x:v>ae0b4080ced73dcacf5f77b959f0740e205ebddaae29daf17dfb2408361f63f1</x:v>
      </x:c>
      <x:c r="CG64" s="228" t="str">
        <x:v>0</x:v>
      </x:c>
      <x:c r="CH64" s="228" t="str">
        <x:v>0</x:v>
      </x:c>
      <x:c r="CI64" s="228" t="str">
        <x:v>2</x:v>
      </x:c>
      <x:c r="CJ64" s="228" t="str">
        <x:v>True</x:v>
      </x:c>
      <x:c r="CK64" s="228" t="str">
        <x:v>True</x:v>
      </x:c>
      <x:c r="CL64" s="228" t="str">
        <x:v>True</x:v>
      </x:c>
      <x:c r="CM64" s="228" t="str">
        <x:v>collision</x:v>
      </x:c>
      <x:c r="CN64" s="228" t="str">
        <x:v>-22</x:v>
      </x:c>
      <x:c r="CO64" s="230" t="str">
        <x:v>-60.79457769996952</x:v>
      </x:c>
      <x:c r="CP64" s="228" t="str">
        <x:v>0.875</x:v>
      </x:c>
      <x:c r="CQ64" s="228" t="str">
        <x:v>0.582954139379486</x:v>
      </x:c>
      <x:c r="CR64" s="228" t="str">
        <x:v>1.7154008050520582</x:v>
      </x:c>
      <x:c r="CS64" s="228" t="str">
        <x:v>collision</x:v>
      </x:c>
      <x:c r="CT64" s="228" t="str">
        <x:v>collision</x:v>
      </x:c>
      <x:c r="CU64" s="228" t="str">
        <x:v>collision_dominates</x:v>
      </x:c>
      <x:c r="CV64" s="228" t="str">
        <x:v>neither</x:v>
      </x:c>
      <x:c r="CW64" s="228" t="str">
        <x:v>both_valid</x:v>
      </x:c>
      <x:c r="CX64" s="228" t="str">
        <x:v>none</x:v>
      </x:c>
      <x:c r="CY64" s="228" t="str">
        <x:v>none</x:v>
      </x:c>
    </x:row>
    <x:row r="65">
      <x:c r="A65" s="228" t="str">
        <x:v>final-paired-v2</x:v>
      </x:c>
      <x:c r="B65" s="228" t="str">
        <x:v>20260819</x:v>
      </x:c>
      <x:c r="C65" s="228" t="str">
        <x:v>4</x:v>
      </x:c>
      <x:c r="D65" s="228" t="str">
        <x:v>16</x:v>
      </x:c>
      <x:c r="E65" s="228" t="str">
        <x:v>n1000_r0.7_repeat4</x:v>
      </x:c>
      <x:c r="F65" s="228" t="str">
        <x:v>1000</x:v>
      </x:c>
      <x:c r="G65" s="228" t="str">
        <x:v>0.7</x:v>
      </x:c>
      <x:c r="H65" s="228" t="str">
        <x:v>4</x:v>
      </x:c>
      <x:c r="I65" s="228" t="str">
        <x:v>2636829186</x:v>
      </x:c>
      <x:c r="J65" s="228" t="str">
        <x:v>cf787b5aca6ad84120d617c5c00ca2b5bb19ba7d6d87f75b29b66fd1ede8c7e2</x:v>
      </x:c>
      <x:c r="K65" s="228" t="str">
        <x:v>370376</x:v>
      </x:c>
      <x:c r="L65" s="228" t="str">
        <x:v>1</x:v>
      </x:c>
      <x:c r="M65" s="228" t="str">
        <x:v>1000</x:v>
      </x:c>
      <x:c r="N65" s="228" t="str">
        <x:v>True</x:v>
      </x:c>
      <x:c r="O65" s="228" t="str">
        <x:v>0</x:v>
      </x:c>
      <x:c r="P65" s="228" t="str">
        <x:v>740.752</x:v>
      </x:c>
      <x:c r="Q65" s="228" t="str">
        <x:v>147.4588976494806</x:v>
      </x:c>
      <x:c r="R65" s="228" t="str">
        <x:v>385</x:v>
      </x:c>
      <x:c r="S65" s="228" t="str">
        <x:v>998</x:v>
      </x:c>
      <x:c r="T65" s="228" t="str">
        <x:v>0.7414934934934935</x:v>
      </x:c>
      <x:c r="U65" s="230" t="str">
        <x:v>1.4888161999406293</x:v>
      </x:c>
      <x:c r="V65" s="230" t="str">
        <x:v>1.200922799995169</x:v>
      </x:c>
      <x:c r="W65" s="228" t="str">
        <x:v>True</x:v>
      </x:c>
      <x:c r="X65" s="228" t="str">
        <x:v>False</x:v>
      </x:c>
      <x:c r="Y65" s="228" t="str">
        <x:v>5</x:v>
      </x:c>
      <x:c r="Z65" s="228" t="str">
        <x:v>circle</x:v>
      </x:c>
      <x:c r="AA65" s="228" t="str">
        <x:v>4</x:v>
      </x:c>
      <x:c r="AB65" s="228" t="str">
        <x:v>zoomed,ich,grid,circle</x:v>
      </x:c>
      <x:c r="AC65" s="228" t="str">
        <x:v>415307881</x:v>
      </x:c>
      <x:c r="AD65" s="228" t="str">
        <x:v>415307881</x:v>
      </x:c>
      <x:c r="AE65" s="228" t="str">
        <x:v>entropy,collision</x:v>
      </x:c>
      <x:c r="AF65" s="228" t="str">
        <x:v>762</x:v>
      </x:c>
      <x:c r="AG65" s="228" t="str">
        <x:v>220</x:v>
      </x:c>
      <x:c r="AH65" s="230" t="str">
        <x:v>36.14071820001118</x:v>
      </x:c>
      <x:c r="AI65" s="228" t="str">
        <x:v>True</x:v>
      </x:c>
      <x:c r="AJ65" s="228" t="str">
        <x:v>73b0cd8bd3973ca739bef1fa5b37702b4787500e34fbf875909a94b4aa109338</x:v>
      </x:c>
      <x:c r="AK65" s="228" t="str">
        <x:v>0</x:v>
      </x:c>
      <x:c r="AL65" s="228" t="str">
        <x:v>0</x:v>
      </x:c>
      <x:c r="AM65" s="228" t="str"/>
      <x:c r="AN65" s="230" t="str">
        <x:v>0.14148510002996773</x:v>
      </x:c>
      <x:c r="AO65" s="228" t="str">
        <x:v>220</x:v>
      </x:c>
      <x:c r="AP65" s="228" t="str">
        <x:v>0</x:v>
      </x:c>
      <x:c r="AQ65" s="228" t="str">
        <x:v>0</x:v>
      </x:c>
      <x:c r="AR65" s="228" t="str">
        <x:v>220</x:v>
      </x:c>
      <x:c r="AS65" s="228" t="str">
        <x:v>36.28220330004115</x:v>
      </x:c>
      <x:c r="AT65" s="228" t="str">
        <x:v>True</x:v>
      </x:c>
      <x:c r="AU65" s="228" t="str">
        <x:v>73b0cd8bd3973ca739bef1fa5b37702b4787500e34fbf875909a94b4aa109338</x:v>
      </x:c>
      <x:c r="AV65" s="228" t="str">
        <x:v>0</x:v>
      </x:c>
      <x:c r="AW65" s="228" t="str">
        <x:v>220</x:v>
      </x:c>
      <x:c r="AX65" s="228" t="str">
        <x:v>0</x:v>
      </x:c>
      <x:c r="AY65" s="230" t="str">
        <x:v>0.24746079999022186</x:v>
      </x:c>
      <x:c r="AZ65" s="228" t="str">
        <x:v>False</x:v>
      </x:c>
      <x:c r="BA65" s="228" t="str">
        <x:v>220</x:v>
      </x:c>
      <x:c r="BB65" s="230" t="str">
        <x:v>36.52966410003137</x:v>
      </x:c>
      <x:c r="BC65" s="228" t="str">
        <x:v>True</x:v>
      </x:c>
      <x:c r="BD65" s="228" t="str">
        <x:v>73b0cd8bd3973ca739bef1fa5b37702b4787500e34fbf875909a94b4aa109338</x:v>
      </x:c>
      <x:c r="BE65" s="228" t="str">
        <x:v>0</x:v>
      </x:c>
      <x:c r="BF65" s="228" t="str">
        <x:v>0</x:v>
      </x:c>
      <x:c r="BG65" s="228" t="str">
        <x:v>1</x:v>
      </x:c>
      <x:c r="BH65" s="228" t="str">
        <x:v>759</x:v>
      </x:c>
      <x:c r="BI65" s="228" t="str">
        <x:v>221</x:v>
      </x:c>
      <x:c r="BJ65" s="230" t="str">
        <x:v>35.10740630002692</x:v>
      </x:c>
      <x:c r="BK65" s="228" t="str">
        <x:v>True</x:v>
      </x:c>
      <x:c r="BL65" s="228" t="str">
        <x:v>2b52081331207abc6430fedfd9b963b6712ec04622663557c12a2042c761ffca</x:v>
      </x:c>
      <x:c r="BM65" s="228" t="str">
        <x:v>0</x:v>
      </x:c>
      <x:c r="BN65" s="228" t="str">
        <x:v>0</x:v>
      </x:c>
      <x:c r="BO65" s="228" t="str"/>
      <x:c r="BP65" s="230" t="str">
        <x:v>0.13545639999210835</x:v>
      </x:c>
      <x:c r="BQ65" s="228" t="str">
        <x:v>221</x:v>
      </x:c>
      <x:c r="BR65" s="228" t="str">
        <x:v>0</x:v>
      </x:c>
      <x:c r="BS65" s="228" t="str">
        <x:v>0</x:v>
      </x:c>
      <x:c r="BT65" s="228" t="str">
        <x:v>221</x:v>
      </x:c>
      <x:c r="BU65" s="228" t="str">
        <x:v>35.24286270001903</x:v>
      </x:c>
      <x:c r="BV65" s="228" t="str">
        <x:v>True</x:v>
      </x:c>
      <x:c r="BW65" s="228" t="str">
        <x:v>2b52081331207abc6430fedfd9b963b6712ec04622663557c12a2042c761ffca</x:v>
      </x:c>
      <x:c r="BX65" s="228" t="str">
        <x:v>0</x:v>
      </x:c>
      <x:c r="BY65" s="228" t="str">
        <x:v>221</x:v>
      </x:c>
      <x:c r="BZ65" s="228" t="str">
        <x:v>0</x:v>
      </x:c>
      <x:c r="CA65" s="230" t="str">
        <x:v>0.20988459989894181</x:v>
      </x:c>
      <x:c r="CB65" s="228" t="str">
        <x:v>False</x:v>
      </x:c>
      <x:c r="CC65" s="228" t="str">
        <x:v>221</x:v>
      </x:c>
      <x:c r="CD65" s="230" t="str">
        <x:v>35.452747299917974</x:v>
      </x:c>
      <x:c r="CE65" s="228" t="str">
        <x:v>True</x:v>
      </x:c>
      <x:c r="CF65" s="228" t="str">
        <x:v>2b52081331207abc6430fedfd9b963b6712ec04622663557c12a2042c761ffca</x:v>
      </x:c>
      <x:c r="CG65" s="228" t="str">
        <x:v>0</x:v>
      </x:c>
      <x:c r="CH65" s="228" t="str">
        <x:v>0</x:v>
      </x:c>
      <x:c r="CI65" s="228" t="str">
        <x:v>2</x:v>
      </x:c>
      <x:c r="CJ65" s="228" t="str">
        <x:v>True</x:v>
      </x:c>
      <x:c r="CK65" s="228" t="str">
        <x:v>True</x:v>
      </x:c>
      <x:c r="CL65" s="228" t="str">
        <x:v>True</x:v>
      </x:c>
      <x:c r="CM65" s="228" t="str">
        <x:v>entropy</x:v>
      </x:c>
      <x:c r="CN65" s="228" t="str">
        <x:v>1</x:v>
      </x:c>
      <x:c r="CO65" s="230" t="str">
        <x:v>-1.0769168001133949</x:v>
      </x:c>
      <x:c r="CP65" s="228" t="str">
        <x:v>1.0045454545454546</x:v>
      </x:c>
      <x:c r="CQ65" s="228" t="str">
        <x:v>0.9705193894703108</x:v>
      </x:c>
      <x:c r="CR65" s="228" t="str">
        <x:v>1.0303761170045032</x:v>
      </x:c>
      <x:c r="CS65" s="228" t="str">
        <x:v>entropy</x:v>
      </x:c>
      <x:c r="CT65" s="228" t="str">
        <x:v>collision</x:v>
      </x:c>
      <x:c r="CU65" s="228" t="str">
        <x:v>tradeoff</x:v>
      </x:c>
      <x:c r="CV65" s="228" t="str">
        <x:v>neither</x:v>
      </x:c>
      <x:c r="CW65" s="228" t="str">
        <x:v>both_valid</x:v>
      </x:c>
      <x:c r="CX65" s="228" t="str">
        <x:v>none</x:v>
      </x:c>
      <x:c r="CY65" s="228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d99df18b975d44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8" t="str">
        <x:v>n=1000 Entropy vs Collision Benchmark</x:v>
      </x:c>
      <x:c r="B1" s="8" t="str">
        <x:v>n=1000 Entropy vs Collision Benchmark</x:v>
      </x:c>
      <x:c r="C1" s="8" t="str">
        <x:v>n=1000 Entropy vs Collision Benchmark</x:v>
      </x:c>
      <x:c r="D1" s="8" t="str">
        <x:v>n=1000 Entropy vs Collision Benchmark</x:v>
      </x:c>
      <x:c r="E1" s="8" t="str">
        <x:v>n=1000 Entropy vs Collision Benchmark</x:v>
      </x:c>
      <x:c r="F1" s="8" t="str">
        <x:v>n=1000 Entropy vs Collision Benchmark</x:v>
      </x:c>
      <x:c r="G1" s="8" t="str">
        <x:v>n=1000 Entropy vs Collision Benchmark</x:v>
      </x:c>
      <x:c r="H1" s="8" t="str">
        <x:v>n=1000 Entropy vs Collision Benchmark</x:v>
      </x:c>
      <x:c r="I1" s="8" t="str">
        <x:v>n=1000 Entropy vs Collision Benchmark</x:v>
      </x:c>
      <x:c r="J1" s="8" t="str">
        <x:v>n=1000 Entropy vs Collision Benchmark</x:v>
      </x:c>
      <x:c r="K1" s="8" t="str">
        <x:v>n=1000 Entropy vs Collision Benchmark</x:v>
      </x:c>
      <x:c r="L1" s="8" t="str">
        <x:v>n=1000 Entropy vs Collision Benchmark</x:v>
      </x:c>
      <x:c r="M1" s="8" t="str">
        <x:v>n=1000 Entropy vs Collision Benchmark</x:v>
      </x:c>
      <x:c r="N1" s="8" t="str">
        <x:v>n=1000 Entropy vs Collision Benchmark</x:v>
      </x:c>
    </x:row>
    <x:row r="2" ht="30" customHeight="1">
      <x:c r="A2" s="8" t="str">
        <x:v>n=1000 Entropy vs Collision Benchmark</x:v>
      </x:c>
      <x:c r="B2" s="8" t="str">
        <x:v>n=1000 Entropy vs Collision Benchmark</x:v>
      </x:c>
      <x:c r="C2" s="8" t="str">
        <x:v>n=1000 Entropy vs Collision Benchmark</x:v>
      </x:c>
      <x:c r="D2" s="8" t="str">
        <x:v>n=1000 Entropy vs Collision Benchmark</x:v>
      </x:c>
      <x:c r="E2" s="8" t="str">
        <x:v>n=1000 Entropy vs Collision Benchmark</x:v>
      </x:c>
      <x:c r="F2" s="8" t="str">
        <x:v>n=1000 Entropy vs Collision Benchmark</x:v>
      </x:c>
      <x:c r="G2" s="8" t="str">
        <x:v>n=1000 Entropy vs Collision Benchmark</x:v>
      </x:c>
      <x:c r="H2" s="8" t="str">
        <x:v>n=1000 Entropy vs Collision Benchmark</x:v>
      </x:c>
      <x:c r="I2" s="8" t="str">
        <x:v>n=1000 Entropy vs Collision Benchmark</x:v>
      </x:c>
      <x:c r="J2" s="8" t="str">
        <x:v>n=1000 Entropy vs Collision Benchmark</x:v>
      </x:c>
      <x:c r="K2" s="8" t="str">
        <x:v>n=1000 Entropy vs Collision Benchmark</x:v>
      </x:c>
      <x:c r="L2" s="8" t="str">
        <x:v>n=1000 Entropy vs Collision Benchmark</x:v>
      </x:c>
      <x:c r="M2" s="8" t="str">
        <x:v>n=1000 Entropy vs Collision Benchmark</x:v>
      </x:c>
      <x:c r="N2" s="8" t="str">
        <x:v>n=1000 Entropy vs Collision Benchmark</x:v>
      </x:c>
    </x:row>
    <x:row r="3" ht="32" customHeight="1">
      <x:c r="A3" s="16" t="str">
        <x:v>Paired random-geometric-graph study. Both scoring rules use identical graphs, seeds, global repair, common redundancy pruning, and exact final validation. Connected graphs are the primary research sample.</x:v>
      </x:c>
      <x:c r="B3" s="16" t="str">
        <x:v>Paired random-geometric-graph study. Both scoring rules use identical graphs, seeds, global repair, common redundancy pruning, and exact final validation. Connected graphs are the primary research sample.</x:v>
      </x:c>
      <x:c r="C3" s="16" t="str">
        <x:v>Paired random-geometric-graph study. Both scoring rules use identical graphs, seeds, global repair, common redundancy pruning, and exact final validation. Connected graphs are the primary research sample.</x:v>
      </x:c>
      <x:c r="D3" s="16" t="str">
        <x:v>Paired random-geometric-graph study. Both scoring rules use identical graphs, seeds, global repair, common redundancy pruning, and exact final validation. Connected graphs are the primary research sample.</x:v>
      </x:c>
      <x:c r="E3" s="16" t="str">
        <x:v>Paired random-geometric-graph study. Both scoring rules use identical graphs, seeds, global repair, common redundancy pruning, and exact final validation. Connected graphs are the primary research sample.</x:v>
      </x:c>
      <x:c r="F3" s="16" t="str">
        <x:v>Paired random-geometric-graph study. Both scoring rules use identical graphs, seeds, global repair, common redundancy pruning, and exact final validation. Connected graphs are the primary research sample.</x:v>
      </x:c>
      <x:c r="G3" s="16" t="str">
        <x:v>Paired random-geometric-graph study. Both scoring rules use identical graphs, seeds, global repair, common redundancy pruning, and exact final validation. Connected graphs are the primary research sample.</x:v>
      </x:c>
      <x:c r="H3" s="16" t="str">
        <x:v>Paired random-geometric-graph study. Both scoring rules use identical graphs, seeds, global repair, common redundancy pruning, and exact final validation. Connected graphs are the primary research sample.</x:v>
      </x:c>
      <x:c r="I3" s="16" t="str">
        <x:v>Paired random-geometric-graph study. Both scoring rules use identical graphs, seeds, global repair, common redundancy pruning, and exact final validation. Connected graphs are the primary research sample.</x:v>
      </x:c>
      <x:c r="J3" s="16" t="str">
        <x:v>Paired random-geometric-graph study. Both scoring rules use identical graphs, seeds, global repair, common redundancy pruning, and exact final validation. Connected graphs are the primary research sample.</x:v>
      </x:c>
      <x:c r="K3" s="16" t="str">
        <x:v>Paired random-geometric-graph study. Both scoring rules use identical graphs, seeds, global repair, common redundancy pruning, and exact final validation. Connected graphs are the primary research sample.</x:v>
      </x:c>
      <x:c r="L3" s="16" t="str">
        <x:v>Paired random-geometric-graph study. Both scoring rules use identical graphs, seeds, global repair, common redundancy pruning, and exact final validation. Connected graphs are the primary research sample.</x:v>
      </x:c>
      <x:c r="M3" s="16" t="str">
        <x:v>Paired random-geometric-graph study. Both scoring rules use identical graphs, seeds, global repair, common redundancy pruning, and exact final validation. Connected graphs are the primary research sample.</x:v>
      </x:c>
      <x:c r="N3" s="16" t="str">
        <x:v>Paired random-geometric-graph study. Both scoring rules use identical graphs, seeds, global repair, common redundancy pruning, and exact final validation. Connected graphs are the primary research sample.</x:v>
      </x:c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</x:row>
    <x:row r="5">
      <x:c r="A5" s="24" t="str">
        <x:v>Graphs</x:v>
      </x:c>
      <x:c r="B5" s="24" t="str">
        <x:v>Graphs</x:v>
      </x:c>
      <x:c r="C5" s="24" t="str">
        <x:v>Connected graphs</x:v>
      </x:c>
      <x:c r="D5" s="24" t="str">
        <x:v>Connected graphs</x:v>
      </x:c>
      <x:c r="E5" s="24" t="str">
        <x:v>Paired family rows</x:v>
      </x:c>
      <x:c r="F5" s="24" t="str">
        <x:v>Paired family rows</x:v>
      </x:c>
      <x:c r="G5" s="24" t="str">
        <x:v>Final outputs</x:v>
      </x:c>
      <x:c r="H5" s="24" t="str">
        <x:v>Final outputs</x:v>
      </x:c>
      <x:c r="I5" s="24" t="str">
        <x:v>Raw validity</x:v>
      </x:c>
      <x:c r="J5" s="24" t="str">
        <x:v>Raw validity</x:v>
      </x:c>
      <x:c r="K5" s="24" t="str">
        <x:v>Final validity</x:v>
      </x:c>
      <x:c r="L5" s="24" t="str">
        <x:v>Final validity</x:v>
      </x:c>
      <x:c r="M5" s="24" t="str">
        <x:v>Outputs needing repair</x:v>
      </x:c>
      <x:c r="N5" s="24" t="str">
        <x:v>Outputs needing repair</x:v>
      </x:c>
    </x:row>
    <x:row r="6">
      <x:c r="A6" s="54" t="n">
        <x:f>COUNTIF('Raw Data'!$Z$2:$Z$65,"grid")</x:f>
        <x:v>16</x:v>
      </x:c>
      <x:c r="B6" s="55"/>
      <x:c r="C6" s="54" t="n">
        <x:f>COUNTIFS('Raw Data'!$Z$2:$Z$65,"grid",'Raw Data'!$N$2:$N$65,"True")</x:f>
        <x:v>16</x:v>
      </x:c>
      <x:c r="D6" s="55"/>
      <x:c r="E6" s="54" t="n">
        <x:f>COUNTA('Raw Data'!$A$2:$A$65)</x:f>
        <x:v>64</x:v>
      </x:c>
      <x:c r="F6" s="55"/>
      <x:c r="G6" s="54" t="n">
        <x:f>E6*2</x:f>
        <x:v>128</x:v>
      </x:c>
      <x:c r="H6" s="55"/>
      <x:c r="I6" s="78" t="n">
        <x:f>(COUNTIF('Raw Data'!$AI$2:$AI$65,"True")+COUNTIF('Raw Data'!$BK$2:$BK$65,"True"))/G6</x:f>
        <x:v>0.9921875</x:v>
      </x:c>
      <x:c r="J6" s="79"/>
      <x:c r="K6" s="78" t="n">
        <x:f>(COUNTIF('Raw Data'!$BC$2:$BC$65,"True")+COUNTIF('Raw Data'!$CE$2:$CE$65,"True"))/G6</x:f>
        <x:v>1</x:v>
      </x:c>
      <x:c r="L6" s="79"/>
      <x:c r="M6" s="54" t="n">
        <x:f>COUNTIF('Raw Data'!$AL$2:$AL$65,"&gt;0")+COUNTIF('Raw Data'!$BN$2:$BN$65,"&gt;0")</x:f>
        <x:v>1</x:v>
      </x:c>
      <x:c r="N6" s="55"/>
    </x:row>
    <x:row r="7">
      <x:c r="A7" s="56"/>
      <x:c r="B7" s="57"/>
      <x:c r="C7" s="56"/>
      <x:c r="D7" s="57"/>
      <x:c r="E7" s="56"/>
      <x:c r="F7" s="57"/>
      <x:c r="G7" s="56"/>
      <x:c r="H7" s="57"/>
      <x:c r="I7" s="80"/>
      <x:c r="J7" s="81"/>
      <x:c r="K7" s="80"/>
      <x:c r="L7" s="81"/>
      <x:c r="M7" s="56"/>
      <x:c r="N7" s="57"/>
    </x:row>
    <x:row r="8">
      <x:c r="A8" s="232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</x:row>
    <x:row r="9" ht="22" customHeight="1">
      <x:c r="A9" s="90" t="str">
        <x:v>Connected-graph primary view (16 graphs; all final sets exactly valid)</x:v>
      </x:c>
      <x:c r="B9" s="90" t="str">
        <x:v>Connected-graph primary view (16 graphs; all final sets exactly valid)</x:v>
      </x:c>
      <x:c r="C9" s="90" t="str">
        <x:v>Connected-graph primary view (16 graphs; all final sets exactly valid)</x:v>
      </x:c>
      <x:c r="D9" s="90" t="str">
        <x:v>Connected-graph primary view (16 graphs; all final sets exactly valid)</x:v>
      </x:c>
      <x:c r="E9" s="90" t="str">
        <x:v>Connected-graph primary view (16 graphs; all final sets exactly valid)</x:v>
      </x:c>
      <x:c r="F9" s="90" t="str">
        <x:v>Connected-graph primary view (16 graphs; all final sets exactly valid)</x:v>
      </x:c>
      <x:c r="G9" s="90" t="str">
        <x:v>Connected-graph primary view (16 graphs; all final sets exactly valid)</x:v>
      </x:c>
      <x:c r="H9" s="90" t="str">
        <x:v>Connected-graph primary view (16 graphs; all final sets exactly valid)</x:v>
      </x:c>
      <x:c r="I9" s="90" t="str">
        <x:v>Connected-graph primary view (16 graphs; all final sets exactly valid)</x:v>
      </x:c>
      <x:c r="J9" s="90" t="str">
        <x:v>Connected-graph primary view (16 graphs; all final sets exactly valid)</x:v>
      </x:c>
      <x:c r="K9" s="90" t="str">
        <x:v>Connected-graph primary view (16 graphs; all final sets exactly valid)</x:v>
      </x:c>
      <x:c r="L9" s="90" t="str">
        <x:v>Connected-graph primary view (16 graphs; all final sets exactly valid)</x:v>
      </x:c>
      <x:c r="M9" s="90" t="str">
        <x:v>Connected-graph primary view (16 graphs; all final sets exactly valid)</x:v>
      </x:c>
      <x:c r="N9" s="90" t="str">
        <x:v>Connected-graph primary view (16 graphs; all final sets exactly valid)</x:v>
      </x:c>
    </x:row>
    <x:row r="10" ht="34" customHeight="1">
      <x:c r="A10" s="100" t="str">
        <x:v>Variant</x:v>
      </x:c>
      <x:c r="B10" s="100" t="str">
        <x:v>Median size / n</x:v>
      </x:c>
      <x:c r="C10" s="100" t="str">
        <x:v>Mean size / n</x:v>
      </x:c>
      <x:c r="D10" s="100" t="str">
        <x:v>Median seconds</x:v>
      </x:c>
      <x:c r="E10" s="100" t="str">
        <x:v>Raw valid %</x:v>
      </x:c>
      <x:c r="F10" s="100" t="str">
        <x:v>Repair needed %</x:v>
      </x:c>
      <x:c r="G10" s="100" t="str">
        <x:v>Final valid %</x:v>
      </x:c>
      <x:c r="H10" s="100" t="str">
        <x:v>Interpretation</x:v>
      </x:c>
      <x:c r="I10" s="232"/>
      <x:c r="J10" s="232"/>
      <x:c r="K10" s="232"/>
      <x:c r="L10" s="232"/>
      <x:c r="M10" s="232"/>
      <x:c r="N10" s="232"/>
    </x:row>
    <x:row r="11">
      <x:c r="A11" s="106" t="str">
        <x:f>'Method Summary'!A6&amp;" "&amp;'Method Summary'!B6</x:f>
        <x:v>grid entropy</x:v>
      </x:c>
      <x:c r="B11" s="108" t="n">
        <x:f>'Method Summary'!I6</x:f>
        <x:v>0.1255</x:v>
      </x:c>
      <x:c r="C11" s="108" t="n">
        <x:f>AVERAGE(_xlfn._xlws.FILTER('Raw Data'!$BA$2:$BA$65/'Raw Data'!$F$2:$F$65,('Raw Data'!$Z$2:$Z$65="grid")*('Raw Data'!$N$2:$N$65="True")))</x:f>
        <x:v>0.1320625</x:v>
      </x:c>
      <x:c r="D11" s="110" t="n">
        <x:f>'Method Summary'!K6</x:f>
        <x:v>77.07312149996869</x:v>
      </x:c>
      <x:c r="E11" s="112" t="n">
        <x:f>'Method Summary'!D6</x:f>
        <x:v>1</x:v>
      </x:c>
      <x:c r="F11" s="112" t="n">
        <x:f>'Method Summary'!E6</x:f>
        <x:v>0</x:v>
      </x:c>
      <x:c r="G11" s="112" t="n">
        <x:f>'Method Summary'!F6</x:f>
        <x:v>1</x:v>
      </x:c>
      <x:c r="H11" s="106" t="str">
        <x:v>Entropy control</x:v>
      </x:c>
      <x:c r="I11" s="232"/>
      <x:c r="J11" s="232"/>
      <x:c r="K11" s="232"/>
      <x:c r="L11" s="232"/>
      <x:c r="M11" s="232"/>
      <x:c r="N11" s="232"/>
    </x:row>
    <x:row r="12">
      <x:c r="A12" s="114" t="str">
        <x:f>'Method Summary'!A7&amp;" "&amp;'Method Summary'!B7</x:f>
        <x:v>grid collision</x:v>
      </x:c>
      <x:c r="B12" s="115" t="n">
        <x:f>'Method Summary'!I7</x:f>
        <x:v>0.11</x:v>
      </x:c>
      <x:c r="C12" s="115" t="n">
        <x:f>AVERAGE(_xlfn._xlws.FILTER('Raw Data'!$CC$2:$CC$65/'Raw Data'!$F$2:$F$65,('Raw Data'!$Z$2:$Z$65="grid")*('Raw Data'!$N$2:$N$65="True")))</x:f>
        <x:v>0.117625</x:v>
      </x:c>
      <x:c r="D12" s="116" t="n">
        <x:f>'Method Summary'!K7</x:f>
        <x:v>35.490139050001744</x:v>
      </x:c>
      <x:c r="E12" s="117" t="n">
        <x:f>'Method Summary'!D7</x:f>
        <x:v>1</x:v>
      </x:c>
      <x:c r="F12" s="117" t="n">
        <x:f>'Method Summary'!E7</x:f>
        <x:v>0</x:v>
      </x:c>
      <x:c r="G12" s="117" t="n">
        <x:f>'Method Summary'!F7</x:f>
        <x:v>1</x:v>
      </x:c>
      <x:c r="H12" s="114" t="str">
        <x:v>Collision selector</x:v>
      </x:c>
      <x:c r="I12" s="232"/>
      <x:c r="J12" s="232"/>
      <x:c r="K12" s="232"/>
      <x:c r="L12" s="232"/>
      <x:c r="M12" s="232"/>
      <x:c r="N12" s="232"/>
    </x:row>
    <x:row r="13">
      <x:c r="A13" s="106" t="str">
        <x:f>'Method Summary'!A8&amp;" "&amp;'Method Summary'!B8</x:f>
        <x:v>circle entropy</x:v>
      </x:c>
      <x:c r="B13" s="108" t="n">
        <x:f>'Method Summary'!I8</x:f>
        <x:v>0.122</x:v>
      </x:c>
      <x:c r="C13" s="108" t="n">
        <x:f>AVERAGE(_xlfn._xlws.FILTER('Raw Data'!$BA$2:$BA$65/'Raw Data'!$F$2:$F$65,('Raw Data'!$Z$2:$Z$65="circle")*('Raw Data'!$N$2:$N$65="True")))</x:f>
        <x:v>0.14300000000000002</x:v>
      </x:c>
      <x:c r="D13" s="110" t="n">
        <x:f>'Method Summary'!K8</x:f>
        <x:v>14.638972449931316</x:v>
      </x:c>
      <x:c r="E13" s="112" t="n">
        <x:f>'Method Summary'!D8</x:f>
        <x:v>1</x:v>
      </x:c>
      <x:c r="F13" s="112" t="n">
        <x:f>'Method Summary'!E8</x:f>
        <x:v>0</x:v>
      </x:c>
      <x:c r="G13" s="112" t="n">
        <x:f>'Method Summary'!F8</x:f>
        <x:v>1</x:v>
      </x:c>
      <x:c r="H13" s="106" t="str">
        <x:v>Entropy control</x:v>
      </x:c>
      <x:c r="I13" s="232"/>
      <x:c r="J13" s="232"/>
      <x:c r="K13" s="232"/>
      <x:c r="L13" s="232"/>
      <x:c r="M13" s="232"/>
      <x:c r="N13" s="232"/>
    </x:row>
    <x:row r="14">
      <x:c r="A14" s="114" t="str">
        <x:f>'Method Summary'!A9&amp;" "&amp;'Method Summary'!B9</x:f>
        <x:v>circle collision</x:v>
      </x:c>
      <x:c r="B14" s="115" t="n">
        <x:f>'Method Summary'!I9</x:f>
        <x:v>0.122</x:v>
      </x:c>
      <x:c r="C14" s="115" t="n">
        <x:f>AVERAGE(_xlfn._xlws.FILTER('Raw Data'!$CC$2:$CC$65/'Raw Data'!$F$2:$F$65,('Raw Data'!$Z$2:$Z$65="circle")*('Raw Data'!$N$2:$N$65="True")))</x:f>
        <x:v>0.143625</x:v>
      </x:c>
      <x:c r="D14" s="116" t="n">
        <x:f>'Method Summary'!K9</x:f>
        <x:v>14.782232699973974</x:v>
      </x:c>
      <x:c r="E14" s="117" t="n">
        <x:f>'Method Summary'!D9</x:f>
        <x:v>1</x:v>
      </x:c>
      <x:c r="F14" s="117" t="n">
        <x:f>'Method Summary'!E9</x:f>
        <x:v>0</x:v>
      </x:c>
      <x:c r="G14" s="117" t="n">
        <x:f>'Method Summary'!F9</x:f>
        <x:v>1</x:v>
      </x:c>
      <x:c r="H14" s="114" t="str">
        <x:v>Collision selector</x:v>
      </x:c>
      <x:c r="I14" s="232"/>
      <x:c r="J14" s="232"/>
      <x:c r="K14" s="232"/>
      <x:c r="L14" s="232"/>
      <x:c r="M14" s="232"/>
      <x:c r="N14" s="232"/>
    </x:row>
    <x:row r="15">
      <x:c r="A15" s="106" t="str">
        <x:f>'Method Summary'!A10&amp;" "&amp;'Method Summary'!B10</x:f>
        <x:v>zoomed entropy</x:v>
      </x:c>
      <x:c r="B15" s="108" t="n">
        <x:f>'Method Summary'!I10</x:f>
        <x:v>0.1265</x:v>
      </x:c>
      <x:c r="C15" s="108" t="n">
        <x:f>AVERAGE(_xlfn._xlws.FILTER('Raw Data'!$BA$2:$BA$65/'Raw Data'!$F$2:$F$65,('Raw Data'!$Z$2:$Z$65="zoomed")*('Raw Data'!$N$2:$N$65="True")))</x:f>
        <x:v>0.141</x:v>
      </x:c>
      <x:c r="D15" s="110" t="n">
        <x:f>'Method Summary'!K10</x:f>
        <x:v>21.480661449953914</x:v>
      </x:c>
      <x:c r="E15" s="112" t="n">
        <x:f>'Method Summary'!D10</x:f>
        <x:v>1</x:v>
      </x:c>
      <x:c r="F15" s="112" t="n">
        <x:f>'Method Summary'!E10</x:f>
        <x:v>0</x:v>
      </x:c>
      <x:c r="G15" s="112" t="n">
        <x:f>'Method Summary'!F10</x:f>
        <x:v>1</x:v>
      </x:c>
      <x:c r="H15" s="106" t="str">
        <x:v>Entropy control</x:v>
      </x:c>
      <x:c r="I15" s="232"/>
      <x:c r="J15" s="232"/>
      <x:c r="K15" s="232"/>
      <x:c r="L15" s="232"/>
      <x:c r="M15" s="232"/>
      <x:c r="N15" s="232"/>
    </x:row>
    <x:row r="16">
      <x:c r="A16" s="114" t="str">
        <x:f>'Method Summary'!A11&amp;" "&amp;'Method Summary'!B11</x:f>
        <x:v>zoomed collision</x:v>
      </x:c>
      <x:c r="B16" s="115" t="n">
        <x:f>'Method Summary'!I11</x:f>
        <x:v>0.1225</x:v>
      </x:c>
      <x:c r="C16" s="115" t="n">
        <x:f>AVERAGE(_xlfn._xlws.FILTER('Raw Data'!$CC$2:$CC$65/'Raw Data'!$F$2:$F$65,('Raw Data'!$Z$2:$Z$65="zoomed")*('Raw Data'!$N$2:$N$65="True")))</x:f>
        <x:v>0.1313125</x:v>
      </x:c>
      <x:c r="D16" s="116" t="n">
        <x:f>'Method Summary'!K11</x:f>
        <x:v>19.57765955006471</x:v>
      </x:c>
      <x:c r="E16" s="117" t="n">
        <x:f>'Method Summary'!D11</x:f>
        <x:v>0.9375</x:v>
      </x:c>
      <x:c r="F16" s="117" t="n">
        <x:f>'Method Summary'!E11</x:f>
        <x:v>0.0625</x:v>
      </x:c>
      <x:c r="G16" s="117" t="n">
        <x:f>'Method Summary'!F11</x:f>
        <x:v>1</x:v>
      </x:c>
      <x:c r="H16" s="114" t="str">
        <x:v>Collision selector</x:v>
      </x:c>
      <x:c r="I16" s="232"/>
      <x:c r="J16" s="232"/>
      <x:c r="K16" s="232"/>
      <x:c r="L16" s="232"/>
      <x:c r="M16" s="232"/>
      <x:c r="N16" s="232"/>
    </x:row>
    <x:row r="17">
      <x:c r="A17" s="106" t="str">
        <x:f>'Method Summary'!A12&amp;" "&amp;'Method Summary'!B12</x:f>
        <x:v>ich entropy</x:v>
      </x:c>
      <x:c r="B17" s="108" t="n">
        <x:f>'Method Summary'!I12</x:f>
        <x:v>0.10550000000000001</x:v>
      </x:c>
      <x:c r="C17" s="108" t="n">
        <x:f>AVERAGE(_xlfn._xlws.FILTER('Raw Data'!$BA$2:$BA$65/'Raw Data'!$F$2:$F$65,('Raw Data'!$Z$2:$Z$65="ich")*('Raw Data'!$N$2:$N$65="True")))</x:f>
        <x:v>0.11306249999999998</x:v>
      </x:c>
      <x:c r="D17" s="110" t="n">
        <x:f>'Method Summary'!K12</x:f>
        <x:v>192.43421834998298</x:v>
      </x:c>
      <x:c r="E17" s="112" t="n">
        <x:f>'Method Summary'!D12</x:f>
        <x:v>1</x:v>
      </x:c>
      <x:c r="F17" s="112" t="n">
        <x:f>'Method Summary'!E12</x:f>
        <x:v>0</x:v>
      </x:c>
      <x:c r="G17" s="112" t="n">
        <x:f>'Method Summary'!F12</x:f>
        <x:v>1</x:v>
      </x:c>
      <x:c r="H17" s="106" t="str">
        <x:v>Entropy control</x:v>
      </x:c>
      <x:c r="I17" s="232"/>
      <x:c r="J17" s="232"/>
      <x:c r="K17" s="232"/>
      <x:c r="L17" s="232"/>
      <x:c r="M17" s="232"/>
      <x:c r="N17" s="232"/>
    </x:row>
    <x:row r="18">
      <x:c r="A18" s="114" t="str">
        <x:f>'Method Summary'!A13&amp;" "&amp;'Method Summary'!B13</x:f>
        <x:v>ich collision</x:v>
      </x:c>
      <x:c r="B18" s="115" t="n">
        <x:f>'Method Summary'!I13</x:f>
        <x:v>0.10550000000000001</x:v>
      </x:c>
      <x:c r="C18" s="115" t="n">
        <x:f>AVERAGE(_xlfn._xlws.FILTER('Raw Data'!$CC$2:$CC$65/'Raw Data'!$F$2:$F$65,('Raw Data'!$Z$2:$Z$65="ich")*('Raw Data'!$N$2:$N$65="True")))</x:f>
        <x:v>0.11324999999999999</x:v>
      </x:c>
      <x:c r="D18" s="116" t="n">
        <x:f>'Method Summary'!K13</x:f>
        <x:v>180.73118585004704</x:v>
      </x:c>
      <x:c r="E18" s="117" t="n">
        <x:f>'Method Summary'!D13</x:f>
        <x:v>1</x:v>
      </x:c>
      <x:c r="F18" s="117" t="n">
        <x:f>'Method Summary'!E13</x:f>
        <x:v>0</x:v>
      </x:c>
      <x:c r="G18" s="117" t="n">
        <x:f>'Method Summary'!F13</x:f>
        <x:v>1</x:v>
      </x:c>
      <x:c r="H18" s="114" t="str">
        <x:v>Collision selector</x:v>
      </x:c>
      <x:c r="I18" s="232"/>
      <x:c r="J18" s="232"/>
      <x:c r="K18" s="232"/>
      <x:c r="L18" s="232"/>
      <x:c r="M18" s="232"/>
      <x:c r="N18" s="232"/>
    </x:row>
    <x:row r="19">
      <x:c r="A19" s="232"/>
      <x:c r="B19" s="232"/>
      <x:c r="C19" s="232"/>
      <x:c r="D19" s="232"/>
      <x:c r="E19" s="232"/>
      <x:c r="F19" s="232"/>
      <x:c r="G19" s="232"/>
      <x:c r="H19" s="232"/>
      <x:c r="I19" s="232"/>
      <x:c r="J19" s="232"/>
      <x:c r="K19" s="232"/>
      <x:c r="L19" s="232"/>
      <x:c r="M19" s="232"/>
      <x:c r="N19" s="232"/>
    </x:row>
    <x:row r="20" ht="22" customHeight="1">
      <x:c r="A20" s="126" t="str">
        <x:v>Collision versus Entropy within each family — connected graphs</x:v>
      </x:c>
      <x:c r="B20" s="126" t="str">
        <x:v>Collision versus Entropy within each family — connected graphs</x:v>
      </x:c>
      <x:c r="C20" s="126" t="str">
        <x:v>Collision versus Entropy within each family — connected graphs</x:v>
      </x:c>
      <x:c r="D20" s="126" t="str">
        <x:v>Collision versus Entropy within each family — connected graphs</x:v>
      </x:c>
      <x:c r="E20" s="126" t="str">
        <x:v>Collision versus Entropy within each family — connected graphs</x:v>
      </x:c>
      <x:c r="F20" s="126" t="str">
        <x:v>Collision versus Entropy within each family — connected graphs</x:v>
      </x:c>
      <x:c r="G20" s="126" t="str">
        <x:v>Collision versus Entropy within each family — connected graphs</x:v>
      </x:c>
      <x:c r="H20" s="126" t="str">
        <x:v>Collision versus Entropy within each family — connected graphs</x:v>
      </x:c>
      <x:c r="I20" s="126" t="str">
        <x:v>Collision versus Entropy within each family — connected graphs</x:v>
      </x:c>
      <x:c r="J20" s="126" t="str">
        <x:v>Collision versus Entropy within each family — connected graphs</x:v>
      </x:c>
      <x:c r="K20" s="126" t="str">
        <x:v>Collision versus Entropy within each family — connected graphs</x:v>
      </x:c>
      <x:c r="L20" s="126" t="str">
        <x:v>Collision versus Entropy within each family — connected graphs</x:v>
      </x:c>
      <x:c r="M20" s="126" t="str">
        <x:v>Collision versus Entropy within each family — connected graphs</x:v>
      </x:c>
      <x:c r="N20" s="126" t="str">
        <x:v>Collision versus Entropy within each family — connected graphs</x:v>
      </x:c>
    </x:row>
    <x:row r="21" ht="34" customHeight="1">
      <x:c r="A21" s="100" t="str">
        <x:v>Family</x:v>
      </x:c>
      <x:c r="B21" s="100" t="str">
        <x:v>Pairs</x:v>
      </x:c>
      <x:c r="C21" s="100" t="str">
        <x:v>Collision smaller</x:v>
      </x:c>
      <x:c r="D21" s="100" t="str">
        <x:v>Tie</x:v>
      </x:c>
      <x:c r="E21" s="100" t="str">
        <x:v>Entropy smaller</x:v>
      </x:c>
      <x:c r="F21" s="100" t="str">
        <x:v>Median C−E size</x:v>
      </x:c>
      <x:c r="G21" s="100" t="str">
        <x:v>Mean C−E size</x:v>
      </x:c>
      <x:c r="H21" s="100" t="str">
        <x:v>Collision faster %</x:v>
      </x:c>
      <x:c r="I21" s="100" t="str">
        <x:v>Median C/E time</x:v>
      </x:c>
      <x:c r="J21" s="100" t="str">
        <x:v>Collision dominates</x:v>
      </x:c>
      <x:c r="K21" s="100" t="str">
        <x:v>Tradeoff</x:v>
      </x:c>
      <x:c r="L21" s="232"/>
      <x:c r="M21" s="232"/>
      <x:c r="N21" s="232"/>
    </x:row>
    <x:row r="22">
      <x:c r="A22" s="106" t="str">
        <x:f>'Method Summary'!A18</x:f>
        <x:v>grid</x:v>
      </x:c>
      <x:c r="B22" s="106" t="n">
        <x:f>'Method Summary'!B18</x:f>
        <x:v>16</x:v>
      </x:c>
      <x:c r="C22" s="106" t="n">
        <x:f>'Method Summary'!C18</x:f>
        <x:v>13</x:v>
      </x:c>
      <x:c r="D22" s="106" t="n">
        <x:f>'Method Summary'!D18</x:f>
        <x:v>1</x:v>
      </x:c>
      <x:c r="E22" s="106" t="n">
        <x:f>'Method Summary'!E18</x:f>
        <x:v>2</x:v>
      </x:c>
      <x:c r="F22" s="128" t="n">
        <x:f>'Method Summary'!F18</x:f>
        <x:v>-12.5</x:v>
      </x:c>
      <x:c r="G22" s="128" t="n">
        <x:f>'Method Summary'!G18</x:f>
        <x:v>-14.4375</x:v>
      </x:c>
      <x:c r="H22" s="112" t="n">
        <x:f>'Method Summary'!H18</x:f>
        <x:v>1</x:v>
      </x:c>
      <x:c r="I22" s="108" t="n">
        <x:f>'Method Summary'!I18</x:f>
        <x:v>0.5478507924000753</x:v>
      </x:c>
      <x:c r="J22" s="106" t="n">
        <x:f>'Method Summary'!J18</x:f>
        <x:v>14</x:v>
      </x:c>
      <x:c r="K22" s="106" t="n">
        <x:f>'Method Summary'!L18</x:f>
        <x:v>2</x:v>
      </x:c>
      <x:c r="L22" s="232"/>
      <x:c r="M22" s="232"/>
      <x:c r="N22" s="232"/>
    </x:row>
    <x:row r="23">
      <x:c r="A23" s="106" t="str">
        <x:f>'Method Summary'!A19</x:f>
        <x:v>circle</x:v>
      </x:c>
      <x:c r="B23" s="106" t="n">
        <x:f>'Method Summary'!B19</x:f>
        <x:v>16</x:v>
      </x:c>
      <x:c r="C23" s="106" t="n">
        <x:f>'Method Summary'!C19</x:f>
        <x:v>5</x:v>
      </x:c>
      <x:c r="D23" s="106" t="n">
        <x:f>'Method Summary'!D19</x:f>
        <x:v>4</x:v>
      </x:c>
      <x:c r="E23" s="106" t="n">
        <x:f>'Method Summary'!E19</x:f>
        <x:v>7</x:v>
      </x:c>
      <x:c r="F23" s="128" t="n">
        <x:f>'Method Summary'!F19</x:f>
        <x:v>0</x:v>
      </x:c>
      <x:c r="G23" s="128" t="n">
        <x:f>'Method Summary'!G19</x:f>
        <x:v>0.625</x:v>
      </x:c>
      <x:c r="H23" s="112" t="n">
        <x:f>'Method Summary'!H19</x:f>
        <x:v>0.6875</x:v>
      </x:c>
      <x:c r="I23" s="108" t="n">
        <x:f>'Method Summary'!I19</x:f>
        <x:v>0.9379827110783912</x:v>
      </x:c>
      <x:c r="J23" s="106" t="n">
        <x:f>'Method Summary'!J19</x:f>
        <x:v>5</x:v>
      </x:c>
      <x:c r="K23" s="106" t="n">
        <x:f>'Method Summary'!L19</x:f>
        <x:v>8</x:v>
      </x:c>
      <x:c r="L23" s="232"/>
      <x:c r="M23" s="232"/>
      <x:c r="N23" s="232"/>
    </x:row>
    <x:row r="24">
      <x:c r="A24" s="106" t="str">
        <x:f>'Method Summary'!A20</x:f>
        <x:v>zoomed</x:v>
      </x:c>
      <x:c r="B24" s="106" t="n">
        <x:f>'Method Summary'!B20</x:f>
        <x:v>16</x:v>
      </x:c>
      <x:c r="C24" s="106" t="n">
        <x:f>'Method Summary'!C20</x:f>
        <x:v>12</x:v>
      </x:c>
      <x:c r="D24" s="106" t="n">
        <x:f>'Method Summary'!D20</x:f>
        <x:v>0</x:v>
      </x:c>
      <x:c r="E24" s="106" t="n">
        <x:f>'Method Summary'!E20</x:f>
        <x:v>4</x:v>
      </x:c>
      <x:c r="F24" s="128" t="n">
        <x:f>'Method Summary'!F20</x:f>
        <x:v>-3.5</x:v>
      </x:c>
      <x:c r="G24" s="128" t="n">
        <x:f>'Method Summary'!G20</x:f>
        <x:v>-9.6875</x:v>
      </x:c>
      <x:c r="H24" s="112" t="n">
        <x:f>'Method Summary'!H20</x:f>
        <x:v>1</x:v>
      </x:c>
      <x:c r="I24" s="108" t="n">
        <x:f>'Method Summary'!I20</x:f>
        <x:v>0.7480737839208482</x:v>
      </x:c>
      <x:c r="J24" s="106" t="n">
        <x:f>'Method Summary'!J20</x:f>
        <x:v>12</x:v>
      </x:c>
      <x:c r="K24" s="106" t="n">
        <x:f>'Method Summary'!L20</x:f>
        <x:v>4</x:v>
      </x:c>
      <x:c r="L24" s="232"/>
      <x:c r="M24" s="232"/>
      <x:c r="N24" s="232"/>
    </x:row>
    <x:row r="25">
      <x:c r="A25" s="106" t="str">
        <x:f>'Method Summary'!A21</x:f>
        <x:v>ich</x:v>
      </x:c>
      <x:c r="B25" s="106" t="n">
        <x:f>'Method Summary'!B21</x:f>
        <x:v>16</x:v>
      </x:c>
      <x:c r="C25" s="106" t="n">
        <x:f>'Method Summary'!C21</x:f>
        <x:v>6</x:v>
      </x:c>
      <x:c r="D25" s="106" t="n">
        <x:f>'Method Summary'!D21</x:f>
        <x:v>2</x:v>
      </x:c>
      <x:c r="E25" s="106" t="n">
        <x:f>'Method Summary'!E21</x:f>
        <x:v>8</x:v>
      </x:c>
      <x:c r="F25" s="128" t="n">
        <x:f>'Method Summary'!F21</x:f>
        <x:v>0.5</x:v>
      </x:c>
      <x:c r="G25" s="128" t="n">
        <x:f>'Method Summary'!G21</x:f>
        <x:v>0.1875</x:v>
      </x:c>
      <x:c r="H25" s="112" t="n">
        <x:f>'Method Summary'!H21</x:f>
        <x:v>0.75</x:v>
      </x:c>
      <x:c r="I25" s="108" t="n">
        <x:f>'Method Summary'!I21</x:f>
        <x:v>0.9633535115532565</x:v>
      </x:c>
      <x:c r="J25" s="106" t="n">
        <x:f>'Method Summary'!J21</x:f>
        <x:v>5</x:v>
      </x:c>
      <x:c r="K25" s="106" t="n">
        <x:f>'Method Summary'!L21</x:f>
        <x:v>9</x:v>
      </x:c>
      <x:c r="L25" s="232"/>
      <x:c r="M25" s="232"/>
      <x:c r="N25" s="232"/>
    </x:row>
    <x:row r="26">
      <x:c r="A26" s="232"/>
      <x:c r="B26" s="232"/>
      <x:c r="C26" s="232"/>
      <x:c r="D26" s="232"/>
      <x:c r="E26" s="232"/>
      <x:c r="F26" s="232"/>
      <x:c r="G26" s="232"/>
      <x:c r="H26" s="232"/>
      <x:c r="I26" s="232"/>
      <x:c r="J26" s="232"/>
      <x:c r="K26" s="232"/>
      <x:c r="L26" s="232"/>
      <x:c r="M26" s="232"/>
      <x:c r="N26" s="232"/>
    </x:row>
    <x:row r="27">
      <x:c r="A27" s="168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B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C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D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E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F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G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H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I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J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K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L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M27" s="169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N27" s="170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</x:row>
    <x:row r="28">
      <x:c r="A28" s="171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B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C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D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E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F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G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H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I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J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K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L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M28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N28" s="173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</x:row>
    <x:row r="29">
      <x:c r="A29" s="171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B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C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D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E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F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G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H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I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J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K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L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M29" s="172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N29" s="173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</x:row>
    <x:row r="30">
      <x:c r="A30" s="174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B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C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D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E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F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G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H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I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J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K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L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M30" s="175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  <x:c r="N30" s="176" t="str">
        <x:v>Bottom line: At n=1000, ich entropy and ich collision tied for the smallest median size/n (0.106). Circle Entropy and Collision were essentially tied for the lowest pooled median time (14.639 vs 14.782 s); Collision was faster on 11/16 paired graphs. grid had the lowest mean Collision-minus-Entropy size difference (-14.44 probes; negative favors Collision). All 128 final outputs were exactly valid after identical repair and common pruning.</x:v>
      </x:c>
    </x:row>
  </x:sheetData>
  <x:mergeCells>
    <x:mergeCell ref="A1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9:N9"/>
    <x:mergeCell ref="A20:N20"/>
    <x:mergeCell ref="A27:N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8" t="str">
        <x:v>Method Summary</x:v>
      </x:c>
      <x:c r="B1" s="8" t="str">
        <x:v>Method Summary</x:v>
      </x:c>
      <x:c r="C1" s="8" t="str">
        <x:v>Method Summary</x:v>
      </x:c>
      <x:c r="D1" s="8" t="str">
        <x:v>Method Summary</x:v>
      </x:c>
      <x:c r="E1" s="8" t="str">
        <x:v>Method Summary</x:v>
      </x:c>
      <x:c r="F1" s="8" t="str">
        <x:v>Method Summary</x:v>
      </x:c>
      <x:c r="G1" s="8" t="str">
        <x:v>Method Summary</x:v>
      </x:c>
      <x:c r="H1" s="8" t="str">
        <x:v>Method Summary</x:v>
      </x:c>
      <x:c r="I1" s="8" t="str">
        <x:v>Method Summary</x:v>
      </x:c>
      <x:c r="J1" s="8" t="str">
        <x:v>Method Summary</x:v>
      </x:c>
      <x:c r="K1" s="8" t="str">
        <x:v>Method Summary</x:v>
      </x:c>
      <x:c r="L1" s="8" t="str">
        <x:v>Method Summary</x:v>
      </x:c>
      <x:c r="M1" s="8" t="str">
        <x:v>Method Summary</x:v>
      </x:c>
      <x:c r="N1" s="8" t="str">
        <x:v>Method Summary</x:v>
      </x:c>
    </x:row>
    <x:row r="2" ht="30" customHeight="1">
      <x:c r="A2" s="8" t="str">
        <x:v>Method Summary</x:v>
      </x:c>
      <x:c r="B2" s="8" t="str">
        <x:v>Method Summary</x:v>
      </x:c>
      <x:c r="C2" s="8" t="str">
        <x:v>Method Summary</x:v>
      </x:c>
      <x:c r="D2" s="8" t="str">
        <x:v>Method Summary</x:v>
      </x:c>
      <x:c r="E2" s="8" t="str">
        <x:v>Method Summary</x:v>
      </x:c>
      <x:c r="F2" s="8" t="str">
        <x:v>Method Summary</x:v>
      </x:c>
      <x:c r="G2" s="8" t="str">
        <x:v>Method Summary</x:v>
      </x:c>
      <x:c r="H2" s="8" t="str">
        <x:v>Method Summary</x:v>
      </x:c>
      <x:c r="I2" s="8" t="str">
        <x:v>Method Summary</x:v>
      </x:c>
      <x:c r="J2" s="8" t="str">
        <x:v>Method Summary</x:v>
      </x:c>
      <x:c r="K2" s="8" t="str">
        <x:v>Method Summary</x:v>
      </x:c>
      <x:c r="L2" s="8" t="str">
        <x:v>Method Summary</x:v>
      </x:c>
      <x:c r="M2" s="8" t="str">
        <x:v>Method Summary</x:v>
      </x:c>
      <x:c r="N2" s="8" t="str">
        <x:v>Method Summary</x:v>
      </x:c>
    </x:row>
    <x:row r="3" ht="32" customHeight="1">
      <x:c r="A3" s="16" t="str">
        <x:v>Medians and IQRs are emphasized because runtime and set size vary strongly with radius and density. Connected graphs are primary; all graphs are a sensitivity view.</x:v>
      </x:c>
      <x:c r="B3" s="16" t="str">
        <x:v>Medians and IQRs are emphasized because runtime and set size vary strongly with radius and density. Connected graphs are primary; all graphs are a sensitivity view.</x:v>
      </x:c>
      <x:c r="C3" s="16" t="str">
        <x:v>Medians and IQRs are emphasized because runtime and set size vary strongly with radius and density. Connected graphs are primary; all graphs are a sensitivity view.</x:v>
      </x:c>
      <x:c r="D3" s="16" t="str">
        <x:v>Medians and IQRs are emphasized because runtime and set size vary strongly with radius and density. Connected graphs are primary; all graphs are a sensitivity view.</x:v>
      </x:c>
      <x:c r="E3" s="16" t="str">
        <x:v>Medians and IQRs are emphasized because runtime and set size vary strongly with radius and density. Connected graphs are primary; all graphs are a sensitivity view.</x:v>
      </x:c>
      <x:c r="F3" s="16" t="str">
        <x:v>Medians and IQRs are emphasized because runtime and set size vary strongly with radius and density. Connected graphs are primary; all graphs are a sensitivity view.</x:v>
      </x:c>
      <x:c r="G3" s="16" t="str">
        <x:v>Medians and IQRs are emphasized because runtime and set size vary strongly with radius and density. Connected graphs are primary; all graphs are a sensitivity view.</x:v>
      </x:c>
      <x:c r="H3" s="16" t="str">
        <x:v>Medians and IQRs are emphasized because runtime and set size vary strongly with radius and density. Connected graphs are primary; all graphs are a sensitivity view.</x:v>
      </x:c>
      <x:c r="I3" s="16" t="str">
        <x:v>Medians and IQRs are emphasized because runtime and set size vary strongly with radius and density. Connected graphs are primary; all graphs are a sensitivity view.</x:v>
      </x:c>
      <x:c r="J3" s="16" t="str">
        <x:v>Medians and IQRs are emphasized because runtime and set size vary strongly with radius and density. Connected graphs are primary; all graphs are a sensitivity view.</x:v>
      </x:c>
      <x:c r="K3" s="16" t="str">
        <x:v>Medians and IQRs are emphasized because runtime and set size vary strongly with radius and density. Connected graphs are primary; all graphs are a sensitivity view.</x:v>
      </x:c>
      <x:c r="L3" s="16" t="str">
        <x:v>Medians and IQRs are emphasized because runtime and set size vary strongly with radius and density. Connected graphs are primary; all graphs are a sensitivity view.</x:v>
      </x:c>
      <x:c r="M3" s="16" t="str">
        <x:v>Medians and IQRs are emphasized because runtime and set size vary strongly with radius and density. Connected graphs are primary; all graphs are a sensitivity view.</x:v>
      </x:c>
      <x:c r="N3" s="16" t="str">
        <x:v>Medians and IQRs are emphasized because runtime and set size vary strongly with radius and density. Connected graphs are primary; all graphs are a sensitivity view.</x:v>
      </x:c>
    </x:row>
    <x:row r="4" ht="22" customHeight="1">
      <x:c r="A4" s="90" t="str">
        <x:v>Connected graphs — primary</x:v>
      </x:c>
      <x:c r="B4" s="90" t="str">
        <x:v>Connected graphs — primary</x:v>
      </x:c>
      <x:c r="C4" s="90" t="str">
        <x:v>Connected graphs — primary</x:v>
      </x:c>
      <x:c r="D4" s="90" t="str">
        <x:v>Connected graphs — primary</x:v>
      </x:c>
      <x:c r="E4" s="90" t="str">
        <x:v>Connected graphs — primary</x:v>
      </x:c>
      <x:c r="F4" s="90" t="str">
        <x:v>Connected graphs — primary</x:v>
      </x:c>
      <x:c r="G4" s="90" t="str">
        <x:v>Connected graphs — primary</x:v>
      </x:c>
      <x:c r="H4" s="90" t="str">
        <x:v>Connected graphs — primary</x:v>
      </x:c>
      <x:c r="I4" s="90" t="str">
        <x:v>Connected graphs — primary</x:v>
      </x:c>
      <x:c r="J4" s="90" t="str">
        <x:v>Connected graphs — primary</x:v>
      </x:c>
      <x:c r="K4" s="90" t="str">
        <x:v>Connected graphs — primary</x:v>
      </x:c>
      <x:c r="L4" s="90" t="str">
        <x:v>Connected graphs — primary</x:v>
      </x:c>
      <x:c r="M4" s="90" t="str">
        <x:v>Connected graphs — primary</x:v>
      </x:c>
      <x:c r="N4" s="90" t="str">
        <x:v>Connected graphs — primary</x:v>
      </x:c>
    </x:row>
    <x:row r="5" ht="34" customHeight="1">
      <x:c r="A5" s="100" t="str">
        <x:v>Family</x:v>
      </x:c>
      <x:c r="B5" s="100" t="str">
        <x:v>Strategy</x:v>
      </x:c>
      <x:c r="C5" s="100" t="str">
        <x:v>Runs</x:v>
      </x:c>
      <x:c r="D5" s="100" t="str">
        <x:v>Raw valid %</x:v>
      </x:c>
      <x:c r="E5" s="100" t="str">
        <x:v>Repair needed %</x:v>
      </x:c>
      <x:c r="F5" s="100" t="str">
        <x:v>Final valid %</x:v>
      </x:c>
      <x:c r="G5" s="100" t="str">
        <x:v>Median final size</x:v>
      </x:c>
      <x:c r="H5" s="100" t="str">
        <x:v>Mean final size</x:v>
      </x:c>
      <x:c r="I5" s="100" t="str">
        <x:v>Median size / n</x:v>
      </x:c>
      <x:c r="J5" s="100" t="str">
        <x:v>IQR size / n</x:v>
      </x:c>
      <x:c r="K5" s="100" t="str">
        <x:v>Median total seconds</x:v>
      </x:c>
      <x:c r="L5" s="100" t="str">
        <x:v>IQR total seconds</x:v>
      </x:c>
      <x:c r="M5" s="100" t="str">
        <x:v>Repair probes added</x:v>
      </x:c>
      <x:c r="N5" s="100" t="str">
        <x:v>Common-prune removals</x:v>
      </x:c>
    </x:row>
    <x:row r="6">
      <x:c r="A6" s="106" t="str">
        <x:v>grid</x:v>
      </x:c>
      <x:c r="B6" s="192" t="str">
        <x:v>entropy</x:v>
      </x:c>
      <x:c r="C6" s="106" t="n">
        <x:f>COUNTIFS('Raw Data'!$Z$2:$Z$65,"grid",'Raw Data'!$N$2:$N$65,"True")</x:f>
        <x:v>16</x:v>
      </x:c>
      <x:c r="D6" s="112" t="n">
        <x:f>IF(C6=0,0,COUNTIFS('Raw Data'!$Z$2:$Z$65,"grid",'Raw Data'!$N$2:$N$65,"True",'Raw Data'!$AI$2:$AI$65,"True")/C6)</x:f>
        <x:v>1</x:v>
      </x:c>
      <x:c r="E6" s="112" t="n">
        <x:f>IF(C6=0,0,COUNTIFS('Raw Data'!$Z$2:$Z$65,"grid",'Raw Data'!$N$2:$N$65,"True",'Raw Data'!$AL$2:$AL$65,"&gt;0")/C6)</x:f>
        <x:v>0</x:v>
      </x:c>
      <x:c r="F6" s="112" t="n">
        <x:f>IF(C6=0,0,COUNTIFS('Raw Data'!$Z$2:$Z$65,"grid",'Raw Data'!$N$2:$N$65,"True",'Raw Data'!$BC$2:$BC$65,"True")/C6)</x:f>
        <x:v>1</x:v>
      </x:c>
      <x:c r="G6" s="186" t="n">
        <x:f>MEDIAN(_xlfn._xlws.FILTER('Raw Data'!$BA$2:$BA$65,('Raw Data'!$Z$2:$Z$65="grid")*('Raw Data'!$N$2:$N$65="True")))</x:f>
        <x:v>125.5</x:v>
      </x:c>
      <x:c r="H6" s="186" t="n">
        <x:f>AVERAGE(_xlfn._xlws.FILTER('Raw Data'!$BA$2:$BA$65,('Raw Data'!$Z$2:$Z$65="grid")*('Raw Data'!$N$2:$N$65="True")))</x:f>
        <x:v>132.0625</x:v>
      </x:c>
      <x:c r="I6" s="108" t="n">
        <x:f>MEDIAN(_xlfn._xlws.FILTER('Raw Data'!$BA$2:$BA$65/'Raw Data'!$F$2:$F$65,('Raw Data'!$Z$2:$Z$65="grid")*('Raw Data'!$N$2:$N$65="True")))</x:f>
        <x:v>0.1255</x:v>
      </x:c>
      <x:c r="J6" s="108" t="n">
        <x:f>QUARTILE.INC(_xlfn._xlws.FILTER('Raw Data'!$BA$2:$BA$65/'Raw Data'!$F$2:$F$65,('Raw Data'!$Z$2:$Z$65="grid")*('Raw Data'!$N$2:$N$65="True")),3)-QUARTILE.INC(_xlfn._xlws.FILTER('Raw Data'!$BA$2:$BA$65/'Raw Data'!$F$2:$F$65,('Raw Data'!$Z$2:$Z$65="grid")*('Raw Data'!$N$2:$N$65="True")),1)</x:f>
        <x:v>0.053750000000000006</x:v>
      </x:c>
      <x:c r="K6" s="110" t="n">
        <x:f>MEDIAN(_xlfn._xlws.FILTER('Raw Data'!$BB$2:$BB$65,('Raw Data'!$Z$2:$Z$65="grid")*('Raw Data'!$N$2:$N$65="True")))</x:f>
        <x:v>77.07312149996869</x:v>
      </x:c>
      <x:c r="L6" s="110" t="n">
        <x:f>QUARTILE.INC(_xlfn._xlws.FILTER('Raw Data'!$BB$2:$BB$65,('Raw Data'!$Z$2:$Z$65="grid")*('Raw Data'!$N$2:$N$65="True")),3)-QUARTILE.INC(_xlfn._xlws.FILTER('Raw Data'!$BB$2:$BB$65,('Raw Data'!$Z$2:$Z$65="grid")*('Raw Data'!$N$2:$N$65="True")),1)</x:f>
        <x:v>135.67951217497466</x:v>
      </x:c>
      <x:c r="M6" s="188" t="n">
        <x:f>SUMIFS('Raw Data'!$AL$2:$AL$65,'Raw Data'!$Z$2:$Z$65,"grid",'Raw Data'!$N$2:$N$65,"True")</x:f>
        <x:v>0</x:v>
      </x:c>
      <x:c r="N6" s="188" t="n">
        <x:f>SUMIFS('Raw Data'!$AX$2:$AX$65,'Raw Data'!$Z$2:$Z$65,"grid",'Raw Data'!$N$2:$N$65,"True")</x:f>
        <x:v>0</x:v>
      </x:c>
    </x:row>
    <x:row r="7">
      <x:c r="A7" s="106" t="str">
        <x:v>grid</x:v>
      </x:c>
      <x:c r="B7" s="194" t="str">
        <x:v>collision</x:v>
      </x:c>
      <x:c r="C7" s="106" t="n">
        <x:f>COUNTIFS('Raw Data'!$Z$2:$Z$65,"grid",'Raw Data'!$N$2:$N$65,"True")</x:f>
        <x:v>16</x:v>
      </x:c>
      <x:c r="D7" s="112" t="n">
        <x:f>IF(C7=0,0,COUNTIFS('Raw Data'!$Z$2:$Z$65,"grid",'Raw Data'!$N$2:$N$65,"True",'Raw Data'!$BK$2:$BK$65,"True")/C7)</x:f>
        <x:v>1</x:v>
      </x:c>
      <x:c r="E7" s="112" t="n">
        <x:f>IF(C7=0,0,COUNTIFS('Raw Data'!$Z$2:$Z$65,"grid",'Raw Data'!$N$2:$N$65,"True",'Raw Data'!$BN$2:$BN$65,"&gt;0")/C7)</x:f>
        <x:v>0</x:v>
      </x:c>
      <x:c r="F7" s="112" t="n">
        <x:f>IF(C7=0,0,COUNTIFS('Raw Data'!$Z$2:$Z$65,"grid",'Raw Data'!$N$2:$N$65,"True",'Raw Data'!$CE$2:$CE$65,"True")/C7)</x:f>
        <x:v>1</x:v>
      </x:c>
      <x:c r="G7" s="186" t="n">
        <x:f>MEDIAN(_xlfn._xlws.FILTER('Raw Data'!$CC$2:$CC$65,('Raw Data'!$Z$2:$Z$65="grid")*('Raw Data'!$N$2:$N$65="True")))</x:f>
        <x:v>110</x:v>
      </x:c>
      <x:c r="H7" s="186" t="n">
        <x:f>AVERAGE(_xlfn._xlws.FILTER('Raw Data'!$CC$2:$CC$65,('Raw Data'!$Z$2:$Z$65="grid")*('Raw Data'!$N$2:$N$65="True")))</x:f>
        <x:v>117.625</x:v>
      </x:c>
      <x:c r="I7" s="108" t="n">
        <x:f>MEDIAN(_xlfn._xlws.FILTER('Raw Data'!$CC$2:$CC$65/'Raw Data'!$F$2:$F$65,('Raw Data'!$Z$2:$Z$65="grid")*('Raw Data'!$N$2:$N$65="True")))</x:f>
        <x:v>0.11</x:v>
      </x:c>
      <x:c r="J7" s="108" t="n">
        <x:f>QUARTILE.INC(_xlfn._xlws.FILTER('Raw Data'!$CC$2:$CC$65/'Raw Data'!$F$2:$F$65,('Raw Data'!$Z$2:$Z$65="grid")*('Raw Data'!$N$2:$N$65="True")),3)-QUARTILE.INC(_xlfn._xlws.FILTER('Raw Data'!$CC$2:$CC$65/'Raw Data'!$F$2:$F$65,('Raw Data'!$Z$2:$Z$65="grid")*('Raw Data'!$N$2:$N$65="True")),1)</x:f>
        <x:v>0.03</x:v>
      </x:c>
      <x:c r="K7" s="110" t="n">
        <x:f>MEDIAN(_xlfn._xlws.FILTER('Raw Data'!$CD$2:$CD$65,('Raw Data'!$Z$2:$Z$65="grid")*('Raw Data'!$N$2:$N$65="True")))</x:f>
        <x:v>35.490139050001744</x:v>
      </x:c>
      <x:c r="L7" s="110" t="n">
        <x:f>QUARTILE.INC(_xlfn._xlws.FILTER('Raw Data'!$CD$2:$CD$65,('Raw Data'!$Z$2:$Z$65="grid")*('Raw Data'!$N$2:$N$65="True")),3)-QUARTILE.INC(_xlfn._xlws.FILTER('Raw Data'!$CD$2:$CD$65,('Raw Data'!$Z$2:$Z$65="grid")*('Raw Data'!$N$2:$N$65="True")),1)</x:f>
        <x:v>68.16747127502458</x:v>
      </x:c>
      <x:c r="M7" s="188" t="n">
        <x:f>SUMIFS('Raw Data'!$BN$2:$BN$65,'Raw Data'!$Z$2:$Z$65,"grid",'Raw Data'!$N$2:$N$65,"True")</x:f>
        <x:v>0</x:v>
      </x:c>
      <x:c r="N7" s="188" t="n">
        <x:f>SUMIFS('Raw Data'!$BZ$2:$BZ$65,'Raw Data'!$Z$2:$Z$65,"grid",'Raw Data'!$N$2:$N$65,"True")</x:f>
        <x:v>0</x:v>
      </x:c>
    </x:row>
    <x:row r="8">
      <x:c r="A8" s="106" t="str">
        <x:v>circle</x:v>
      </x:c>
      <x:c r="B8" s="192" t="str">
        <x:v>entropy</x:v>
      </x:c>
      <x:c r="C8" s="106" t="n">
        <x:f>COUNTIFS('Raw Data'!$Z$2:$Z$65,"circle",'Raw Data'!$N$2:$N$65,"True")</x:f>
        <x:v>16</x:v>
      </x:c>
      <x:c r="D8" s="112" t="n">
        <x:f>IF(C8=0,0,COUNTIFS('Raw Data'!$Z$2:$Z$65,"circle",'Raw Data'!$N$2:$N$65,"True",'Raw Data'!$AI$2:$AI$65,"True")/C8)</x:f>
        <x:v>1</x:v>
      </x:c>
      <x:c r="E8" s="112" t="n">
        <x:f>IF(C8=0,0,COUNTIFS('Raw Data'!$Z$2:$Z$65,"circle",'Raw Data'!$N$2:$N$65,"True",'Raw Data'!$AL$2:$AL$65,"&gt;0")/C8)</x:f>
        <x:v>0</x:v>
      </x:c>
      <x:c r="F8" s="112" t="n">
        <x:f>IF(C8=0,0,COUNTIFS('Raw Data'!$Z$2:$Z$65,"circle",'Raw Data'!$N$2:$N$65,"True",'Raw Data'!$BC$2:$BC$65,"True")/C8)</x:f>
        <x:v>1</x:v>
      </x:c>
      <x:c r="G8" s="186" t="n">
        <x:f>MEDIAN(_xlfn._xlws.FILTER('Raw Data'!$BA$2:$BA$65,('Raw Data'!$Z$2:$Z$65="circle")*('Raw Data'!$N$2:$N$65="True")))</x:f>
        <x:v>122</x:v>
      </x:c>
      <x:c r="H8" s="186" t="n">
        <x:f>AVERAGE(_xlfn._xlws.FILTER('Raw Data'!$BA$2:$BA$65,('Raw Data'!$Z$2:$Z$65="circle")*('Raw Data'!$N$2:$N$65="True")))</x:f>
        <x:v>143</x:v>
      </x:c>
      <x:c r="I8" s="108" t="n">
        <x:f>MEDIAN(_xlfn._xlws.FILTER('Raw Data'!$BA$2:$BA$65/'Raw Data'!$F$2:$F$65,('Raw Data'!$Z$2:$Z$65="circle")*('Raw Data'!$N$2:$N$65="True")))</x:f>
        <x:v>0.122</x:v>
      </x:c>
      <x:c r="J8" s="108" t="n">
        <x:f>QUARTILE.INC(_xlfn._xlws.FILTER('Raw Data'!$BA$2:$BA$65/'Raw Data'!$F$2:$F$65,('Raw Data'!$Z$2:$Z$65="circle")*('Raw Data'!$N$2:$N$65="True")),3)-QUARTILE.INC(_xlfn._xlws.FILTER('Raw Data'!$BA$2:$BA$65/'Raw Data'!$F$2:$F$65,('Raw Data'!$Z$2:$Z$65="circle")*('Raw Data'!$N$2:$N$65="True")),1)</x:f>
        <x:v>0.05349999999999999</x:v>
      </x:c>
      <x:c r="K8" s="110" t="n">
        <x:f>MEDIAN(_xlfn._xlws.FILTER('Raw Data'!$BB$2:$BB$65,('Raw Data'!$Z$2:$Z$65="circle")*('Raw Data'!$N$2:$N$65="True")))</x:f>
        <x:v>14.638972449931316</x:v>
      </x:c>
      <x:c r="L8" s="110" t="n">
        <x:f>QUARTILE.INC(_xlfn._xlws.FILTER('Raw Data'!$BB$2:$BB$65,('Raw Data'!$Z$2:$Z$65="circle")*('Raw Data'!$N$2:$N$65="True")),3)-QUARTILE.INC(_xlfn._xlws.FILTER('Raw Data'!$BB$2:$BB$65,('Raw Data'!$Z$2:$Z$65="circle")*('Raw Data'!$N$2:$N$65="True")),1)</x:f>
        <x:v>36.1625430250133</x:v>
      </x:c>
      <x:c r="M8" s="188" t="n">
        <x:f>SUMIFS('Raw Data'!$AL$2:$AL$65,'Raw Data'!$Z$2:$Z$65,"circle",'Raw Data'!$N$2:$N$65,"True")</x:f>
        <x:v>0</x:v>
      </x:c>
      <x:c r="N8" s="188" t="n">
        <x:f>SUMIFS('Raw Data'!$AX$2:$AX$65,'Raw Data'!$Z$2:$Z$65,"circle",'Raw Data'!$N$2:$N$65,"True")</x:f>
        <x:v>0</x:v>
      </x:c>
    </x:row>
    <x:row r="9">
      <x:c r="A9" s="106" t="str">
        <x:v>circle</x:v>
      </x:c>
      <x:c r="B9" s="194" t="str">
        <x:v>collision</x:v>
      </x:c>
      <x:c r="C9" s="106" t="n">
        <x:f>COUNTIFS('Raw Data'!$Z$2:$Z$65,"circle",'Raw Data'!$N$2:$N$65,"True")</x:f>
        <x:v>16</x:v>
      </x:c>
      <x:c r="D9" s="112" t="n">
        <x:f>IF(C9=0,0,COUNTIFS('Raw Data'!$Z$2:$Z$65,"circle",'Raw Data'!$N$2:$N$65,"True",'Raw Data'!$BK$2:$BK$65,"True")/C9)</x:f>
        <x:v>1</x:v>
      </x:c>
      <x:c r="E9" s="112" t="n">
        <x:f>IF(C9=0,0,COUNTIFS('Raw Data'!$Z$2:$Z$65,"circle",'Raw Data'!$N$2:$N$65,"True",'Raw Data'!$BN$2:$BN$65,"&gt;0")/C9)</x:f>
        <x:v>0</x:v>
      </x:c>
      <x:c r="F9" s="112" t="n">
        <x:f>IF(C9=0,0,COUNTIFS('Raw Data'!$Z$2:$Z$65,"circle",'Raw Data'!$N$2:$N$65,"True",'Raw Data'!$CE$2:$CE$65,"True")/C9)</x:f>
        <x:v>1</x:v>
      </x:c>
      <x:c r="G9" s="186" t="n">
        <x:f>MEDIAN(_xlfn._xlws.FILTER('Raw Data'!$CC$2:$CC$65,('Raw Data'!$Z$2:$Z$65="circle")*('Raw Data'!$N$2:$N$65="True")))</x:f>
        <x:v>122</x:v>
      </x:c>
      <x:c r="H9" s="186" t="n">
        <x:f>AVERAGE(_xlfn._xlws.FILTER('Raw Data'!$CC$2:$CC$65,('Raw Data'!$Z$2:$Z$65="circle")*('Raw Data'!$N$2:$N$65="True")))</x:f>
        <x:v>143.625</x:v>
      </x:c>
      <x:c r="I9" s="108" t="n">
        <x:f>MEDIAN(_xlfn._xlws.FILTER('Raw Data'!$CC$2:$CC$65/'Raw Data'!$F$2:$F$65,('Raw Data'!$Z$2:$Z$65="circle")*('Raw Data'!$N$2:$N$65="True")))</x:f>
        <x:v>0.122</x:v>
      </x:c>
      <x:c r="J9" s="108" t="n">
        <x:f>QUARTILE.INC(_xlfn._xlws.FILTER('Raw Data'!$CC$2:$CC$65/'Raw Data'!$F$2:$F$65,('Raw Data'!$Z$2:$Z$65="circle")*('Raw Data'!$N$2:$N$65="True")),3)-QUARTILE.INC(_xlfn._xlws.FILTER('Raw Data'!$CC$2:$CC$65/'Raw Data'!$F$2:$F$65,('Raw Data'!$Z$2:$Z$65="circle")*('Raw Data'!$N$2:$N$65="True")),1)</x:f>
        <x:v>0.055999999999999994</x:v>
      </x:c>
      <x:c r="K9" s="110" t="n">
        <x:f>MEDIAN(_xlfn._xlws.FILTER('Raw Data'!$CD$2:$CD$65,('Raw Data'!$Z$2:$Z$65="circle")*('Raw Data'!$N$2:$N$65="True")))</x:f>
        <x:v>14.782232699973974</x:v>
      </x:c>
      <x:c r="L9" s="110" t="n">
        <x:f>QUARTILE.INC(_xlfn._xlws.FILTER('Raw Data'!$CD$2:$CD$65,('Raw Data'!$Z$2:$Z$65="circle")*('Raw Data'!$N$2:$N$65="True")),3)-QUARTILE.INC(_xlfn._xlws.FILTER('Raw Data'!$CD$2:$CD$65,('Raw Data'!$Z$2:$Z$65="circle")*('Raw Data'!$N$2:$N$65="True")),1)</x:f>
        <x:v>33.71510089994991</x:v>
      </x:c>
      <x:c r="M9" s="188" t="n">
        <x:f>SUMIFS('Raw Data'!$BN$2:$BN$65,'Raw Data'!$Z$2:$Z$65,"circle",'Raw Data'!$N$2:$N$65,"True")</x:f>
        <x:v>0</x:v>
      </x:c>
      <x:c r="N9" s="188" t="n">
        <x:f>SUMIFS('Raw Data'!$BZ$2:$BZ$65,'Raw Data'!$Z$2:$Z$65,"circle",'Raw Data'!$N$2:$N$65,"True")</x:f>
        <x:v>0</x:v>
      </x:c>
    </x:row>
    <x:row r="10">
      <x:c r="A10" s="106" t="str">
        <x:v>zoomed</x:v>
      </x:c>
      <x:c r="B10" s="192" t="str">
        <x:v>entropy</x:v>
      </x:c>
      <x:c r="C10" s="106" t="n">
        <x:f>COUNTIFS('Raw Data'!$Z$2:$Z$65,"zoomed",'Raw Data'!$N$2:$N$65,"True")</x:f>
        <x:v>16</x:v>
      </x:c>
      <x:c r="D10" s="112" t="n">
        <x:f>IF(C10=0,0,COUNTIFS('Raw Data'!$Z$2:$Z$65,"zoomed",'Raw Data'!$N$2:$N$65,"True",'Raw Data'!$AI$2:$AI$65,"True")/C10)</x:f>
        <x:v>1</x:v>
      </x:c>
      <x:c r="E10" s="112" t="n">
        <x:f>IF(C10=0,0,COUNTIFS('Raw Data'!$Z$2:$Z$65,"zoomed",'Raw Data'!$N$2:$N$65,"True",'Raw Data'!$AL$2:$AL$65,"&gt;0")/C10)</x:f>
        <x:v>0</x:v>
      </x:c>
      <x:c r="F10" s="112" t="n">
        <x:f>IF(C10=0,0,COUNTIFS('Raw Data'!$Z$2:$Z$65,"zoomed",'Raw Data'!$N$2:$N$65,"True",'Raw Data'!$BC$2:$BC$65,"True")/C10)</x:f>
        <x:v>1</x:v>
      </x:c>
      <x:c r="G10" s="186" t="n">
        <x:f>MEDIAN(_xlfn._xlws.FILTER('Raw Data'!$BA$2:$BA$65,('Raw Data'!$Z$2:$Z$65="zoomed")*('Raw Data'!$N$2:$N$65="True")))</x:f>
        <x:v>126.5</x:v>
      </x:c>
      <x:c r="H10" s="186" t="n">
        <x:f>AVERAGE(_xlfn._xlws.FILTER('Raw Data'!$BA$2:$BA$65,('Raw Data'!$Z$2:$Z$65="zoomed")*('Raw Data'!$N$2:$N$65="True")))</x:f>
        <x:v>141</x:v>
      </x:c>
      <x:c r="I10" s="108" t="n">
        <x:f>MEDIAN(_xlfn._xlws.FILTER('Raw Data'!$BA$2:$BA$65/'Raw Data'!$F$2:$F$65,('Raw Data'!$Z$2:$Z$65="zoomed")*('Raw Data'!$N$2:$N$65="True")))</x:f>
        <x:v>0.1265</x:v>
      </x:c>
      <x:c r="J10" s="108" t="n">
        <x:f>QUARTILE.INC(_xlfn._xlws.FILTER('Raw Data'!$BA$2:$BA$65/'Raw Data'!$F$2:$F$65,('Raw Data'!$Z$2:$Z$65="zoomed")*('Raw Data'!$N$2:$N$65="True")),3)-QUARTILE.INC(_xlfn._xlws.FILTER('Raw Data'!$BA$2:$BA$65/'Raw Data'!$F$2:$F$65,('Raw Data'!$Z$2:$Z$65="zoomed")*('Raw Data'!$N$2:$N$65="True")),1)</x:f>
        <x:v>0.06050000000000001</x:v>
      </x:c>
      <x:c r="K10" s="110" t="n">
        <x:f>MEDIAN(_xlfn._xlws.FILTER('Raw Data'!$BB$2:$BB$65,('Raw Data'!$Z$2:$Z$65="zoomed")*('Raw Data'!$N$2:$N$65="True")))</x:f>
        <x:v>21.480661449953914</x:v>
      </x:c>
      <x:c r="L10" s="110" t="n">
        <x:f>QUARTILE.INC(_xlfn._xlws.FILTER('Raw Data'!$BB$2:$BB$65,('Raw Data'!$Z$2:$Z$65="zoomed")*('Raw Data'!$N$2:$N$65="True")),3)-QUARTILE.INC(_xlfn._xlws.FILTER('Raw Data'!$BB$2:$BB$65,('Raw Data'!$Z$2:$Z$65="zoomed")*('Raw Data'!$N$2:$N$65="True")),1)</x:f>
        <x:v>46.40906282502692</x:v>
      </x:c>
      <x:c r="M10" s="188" t="n">
        <x:f>SUMIFS('Raw Data'!$AL$2:$AL$65,'Raw Data'!$Z$2:$Z$65,"zoomed",'Raw Data'!$N$2:$N$65,"True")</x:f>
        <x:v>0</x:v>
      </x:c>
      <x:c r="N10" s="188" t="n">
        <x:f>SUMIFS('Raw Data'!$AX$2:$AX$65,'Raw Data'!$Z$2:$Z$65,"zoomed",'Raw Data'!$N$2:$N$65,"True")</x:f>
        <x:v>0</x:v>
      </x:c>
    </x:row>
    <x:row r="11">
      <x:c r="A11" s="106" t="str">
        <x:v>zoomed</x:v>
      </x:c>
      <x:c r="B11" s="194" t="str">
        <x:v>collision</x:v>
      </x:c>
      <x:c r="C11" s="106" t="n">
        <x:f>COUNTIFS('Raw Data'!$Z$2:$Z$65,"zoomed",'Raw Data'!$N$2:$N$65,"True")</x:f>
        <x:v>16</x:v>
      </x:c>
      <x:c r="D11" s="112" t="n">
        <x:f>IF(C11=0,0,COUNTIFS('Raw Data'!$Z$2:$Z$65,"zoomed",'Raw Data'!$N$2:$N$65,"True",'Raw Data'!$BK$2:$BK$65,"True")/C11)</x:f>
        <x:v>0.9375</x:v>
      </x:c>
      <x:c r="E11" s="112" t="n">
        <x:f>IF(C11=0,0,COUNTIFS('Raw Data'!$Z$2:$Z$65,"zoomed",'Raw Data'!$N$2:$N$65,"True",'Raw Data'!$BN$2:$BN$65,"&gt;0")/C11)</x:f>
        <x:v>0.0625</x:v>
      </x:c>
      <x:c r="F11" s="112" t="n">
        <x:f>IF(C11=0,0,COUNTIFS('Raw Data'!$Z$2:$Z$65,"zoomed",'Raw Data'!$N$2:$N$65,"True",'Raw Data'!$CE$2:$CE$65,"True")/C11)</x:f>
        <x:v>1</x:v>
      </x:c>
      <x:c r="G11" s="186" t="n">
        <x:f>MEDIAN(_xlfn._xlws.FILTER('Raw Data'!$CC$2:$CC$65,('Raw Data'!$Z$2:$Z$65="zoomed")*('Raw Data'!$N$2:$N$65="True")))</x:f>
        <x:v>122.5</x:v>
      </x:c>
      <x:c r="H11" s="186" t="n">
        <x:f>AVERAGE(_xlfn._xlws.FILTER('Raw Data'!$CC$2:$CC$65,('Raw Data'!$Z$2:$Z$65="zoomed")*('Raw Data'!$N$2:$N$65="True")))</x:f>
        <x:v>131.3125</x:v>
      </x:c>
      <x:c r="I11" s="108" t="n">
        <x:f>MEDIAN(_xlfn._xlws.FILTER('Raw Data'!$CC$2:$CC$65/'Raw Data'!$F$2:$F$65,('Raw Data'!$Z$2:$Z$65="zoomed")*('Raw Data'!$N$2:$N$65="True")))</x:f>
        <x:v>0.1225</x:v>
      </x:c>
      <x:c r="J11" s="108" t="n">
        <x:f>QUARTILE.INC(_xlfn._xlws.FILTER('Raw Data'!$CC$2:$CC$65/'Raw Data'!$F$2:$F$65,('Raw Data'!$Z$2:$Z$65="zoomed")*('Raw Data'!$N$2:$N$65="True")),3)-QUARTILE.INC(_xlfn._xlws.FILTER('Raw Data'!$CC$2:$CC$65/'Raw Data'!$F$2:$F$65,('Raw Data'!$Z$2:$Z$65="zoomed")*('Raw Data'!$N$2:$N$65="True")),1)</x:f>
        <x:v>0.05399999999999999</x:v>
      </x:c>
      <x:c r="K11" s="110" t="n">
        <x:f>MEDIAN(_xlfn._xlws.FILTER('Raw Data'!$CD$2:$CD$65,('Raw Data'!$Z$2:$Z$65="zoomed")*('Raw Data'!$N$2:$N$65="True")))</x:f>
        <x:v>19.57765955006471</x:v>
      </x:c>
      <x:c r="L11" s="110" t="n">
        <x:f>QUARTILE.INC(_xlfn._xlws.FILTER('Raw Data'!$CD$2:$CD$65,('Raw Data'!$Z$2:$Z$65="zoomed")*('Raw Data'!$N$2:$N$65="True")),3)-QUARTILE.INC(_xlfn._xlws.FILTER('Raw Data'!$CD$2:$CD$65,('Raw Data'!$Z$2:$Z$65="zoomed")*('Raw Data'!$N$2:$N$65="True")),1)</x:f>
        <x:v>31.304805850115365</x:v>
      </x:c>
      <x:c r="M11" s="188" t="n">
        <x:f>SUMIFS('Raw Data'!$BN$2:$BN$65,'Raw Data'!$Z$2:$Z$65,"zoomed",'Raw Data'!$N$2:$N$65,"True")</x:f>
        <x:v>1</x:v>
      </x:c>
      <x:c r="N11" s="188" t="n">
        <x:f>SUMIFS('Raw Data'!$BZ$2:$BZ$65,'Raw Data'!$Z$2:$Z$65,"zoomed",'Raw Data'!$N$2:$N$65,"True")</x:f>
        <x:v>0</x:v>
      </x:c>
    </x:row>
    <x:row r="12">
      <x:c r="A12" s="106" t="str">
        <x:v>ich</x:v>
      </x:c>
      <x:c r="B12" s="192" t="str">
        <x:v>entropy</x:v>
      </x:c>
      <x:c r="C12" s="106" t="n">
        <x:f>COUNTIFS('Raw Data'!$Z$2:$Z$65,"ich",'Raw Data'!$N$2:$N$65,"True")</x:f>
        <x:v>16</x:v>
      </x:c>
      <x:c r="D12" s="112" t="n">
        <x:f>IF(C12=0,0,COUNTIFS('Raw Data'!$Z$2:$Z$65,"ich",'Raw Data'!$N$2:$N$65,"True",'Raw Data'!$AI$2:$AI$65,"True")/C12)</x:f>
        <x:v>1</x:v>
      </x:c>
      <x:c r="E12" s="112" t="n">
        <x:f>IF(C12=0,0,COUNTIFS('Raw Data'!$Z$2:$Z$65,"ich",'Raw Data'!$N$2:$N$65,"True",'Raw Data'!$AL$2:$AL$65,"&gt;0")/C12)</x:f>
        <x:v>0</x:v>
      </x:c>
      <x:c r="F12" s="112" t="n">
        <x:f>IF(C12=0,0,COUNTIFS('Raw Data'!$Z$2:$Z$65,"ich",'Raw Data'!$N$2:$N$65,"True",'Raw Data'!$BC$2:$BC$65,"True")/C12)</x:f>
        <x:v>1</x:v>
      </x:c>
      <x:c r="G12" s="186" t="n">
        <x:f>MEDIAN(_xlfn._xlws.FILTER('Raw Data'!$BA$2:$BA$65,('Raw Data'!$Z$2:$Z$65="ich")*('Raw Data'!$N$2:$N$65="True")))</x:f>
        <x:v>105.5</x:v>
      </x:c>
      <x:c r="H12" s="186" t="n">
        <x:f>AVERAGE(_xlfn._xlws.FILTER('Raw Data'!$BA$2:$BA$65,('Raw Data'!$Z$2:$Z$65="ich")*('Raw Data'!$N$2:$N$65="True")))</x:f>
        <x:v>113.0625</x:v>
      </x:c>
      <x:c r="I12" s="108" t="n">
        <x:f>MEDIAN(_xlfn._xlws.FILTER('Raw Data'!$BA$2:$BA$65/'Raw Data'!$F$2:$F$65,('Raw Data'!$Z$2:$Z$65="ich")*('Raw Data'!$N$2:$N$65="True")))</x:f>
        <x:v>0.10550000000000001</x:v>
      </x:c>
      <x:c r="J12" s="108" t="n">
        <x:f>QUARTILE.INC(_xlfn._xlws.FILTER('Raw Data'!$BA$2:$BA$65/'Raw Data'!$F$2:$F$65,('Raw Data'!$Z$2:$Z$65="ich")*('Raw Data'!$N$2:$N$65="True")),3)-QUARTILE.INC(_xlfn._xlws.FILTER('Raw Data'!$BA$2:$BA$65/'Raw Data'!$F$2:$F$65,('Raw Data'!$Z$2:$Z$65="ich")*('Raw Data'!$N$2:$N$65="True")),1)</x:f>
        <x:v>0.038500000000000006</x:v>
      </x:c>
      <x:c r="K12" s="110" t="n">
        <x:f>MEDIAN(_xlfn._xlws.FILTER('Raw Data'!$BB$2:$BB$65,('Raw Data'!$Z$2:$Z$65="ich")*('Raw Data'!$N$2:$N$65="True")))</x:f>
        <x:v>192.43421834998298</x:v>
      </x:c>
      <x:c r="L12" s="110" t="n">
        <x:f>QUARTILE.INC(_xlfn._xlws.FILTER('Raw Data'!$BB$2:$BB$65,('Raw Data'!$Z$2:$Z$65="ich")*('Raw Data'!$N$2:$N$65="True")),3)-QUARTILE.INC(_xlfn._xlws.FILTER('Raw Data'!$BB$2:$BB$65,('Raw Data'!$Z$2:$Z$65="ich")*('Raw Data'!$N$2:$N$65="True")),1)</x:f>
        <x:v>50.57446347505902</x:v>
      </x:c>
      <x:c r="M12" s="188" t="n">
        <x:f>SUMIFS('Raw Data'!$AL$2:$AL$65,'Raw Data'!$Z$2:$Z$65,"ich",'Raw Data'!$N$2:$N$65,"True")</x:f>
        <x:v>0</x:v>
      </x:c>
      <x:c r="N12" s="188" t="n">
        <x:f>SUMIFS('Raw Data'!$AX$2:$AX$65,'Raw Data'!$Z$2:$Z$65,"ich",'Raw Data'!$N$2:$N$65,"True")</x:f>
        <x:v>79</x:v>
      </x:c>
    </x:row>
    <x:row r="13">
      <x:c r="A13" s="106" t="str">
        <x:v>ich</x:v>
      </x:c>
      <x:c r="B13" s="194" t="str">
        <x:v>collision</x:v>
      </x:c>
      <x:c r="C13" s="106" t="n">
        <x:f>COUNTIFS('Raw Data'!$Z$2:$Z$65,"ich",'Raw Data'!$N$2:$N$65,"True")</x:f>
        <x:v>16</x:v>
      </x:c>
      <x:c r="D13" s="112" t="n">
        <x:f>IF(C13=0,0,COUNTIFS('Raw Data'!$Z$2:$Z$65,"ich",'Raw Data'!$N$2:$N$65,"True",'Raw Data'!$BK$2:$BK$65,"True")/C13)</x:f>
        <x:v>1</x:v>
      </x:c>
      <x:c r="E13" s="112" t="n">
        <x:f>IF(C13=0,0,COUNTIFS('Raw Data'!$Z$2:$Z$65,"ich",'Raw Data'!$N$2:$N$65,"True",'Raw Data'!$BN$2:$BN$65,"&gt;0")/C13)</x:f>
        <x:v>0</x:v>
      </x:c>
      <x:c r="F13" s="112" t="n">
        <x:f>IF(C13=0,0,COUNTIFS('Raw Data'!$Z$2:$Z$65,"ich",'Raw Data'!$N$2:$N$65,"True",'Raw Data'!$CE$2:$CE$65,"True")/C13)</x:f>
        <x:v>1</x:v>
      </x:c>
      <x:c r="G13" s="186" t="n">
        <x:f>MEDIAN(_xlfn._xlws.FILTER('Raw Data'!$CC$2:$CC$65,('Raw Data'!$Z$2:$Z$65="ich")*('Raw Data'!$N$2:$N$65="True")))</x:f>
        <x:v>105.5</x:v>
      </x:c>
      <x:c r="H13" s="186" t="n">
        <x:f>AVERAGE(_xlfn._xlws.FILTER('Raw Data'!$CC$2:$CC$65,('Raw Data'!$Z$2:$Z$65="ich")*('Raw Data'!$N$2:$N$65="True")))</x:f>
        <x:v>113.25</x:v>
      </x:c>
      <x:c r="I13" s="108" t="n">
        <x:f>MEDIAN(_xlfn._xlws.FILTER('Raw Data'!$CC$2:$CC$65/'Raw Data'!$F$2:$F$65,('Raw Data'!$Z$2:$Z$65="ich")*('Raw Data'!$N$2:$N$65="True")))</x:f>
        <x:v>0.10550000000000001</x:v>
      </x:c>
      <x:c r="J13" s="108" t="n">
        <x:f>QUARTILE.INC(_xlfn._xlws.FILTER('Raw Data'!$CC$2:$CC$65/'Raw Data'!$F$2:$F$65,('Raw Data'!$Z$2:$Z$65="ich")*('Raw Data'!$N$2:$N$65="True")),3)-QUARTILE.INC(_xlfn._xlws.FILTER('Raw Data'!$CC$2:$CC$65/'Raw Data'!$F$2:$F$65,('Raw Data'!$Z$2:$Z$65="ich")*('Raw Data'!$N$2:$N$65="True")),1)</x:f>
        <x:v>0.03950000000000001</x:v>
      </x:c>
      <x:c r="K13" s="110" t="n">
        <x:f>MEDIAN(_xlfn._xlws.FILTER('Raw Data'!$CD$2:$CD$65,('Raw Data'!$Z$2:$Z$65="ich")*('Raw Data'!$N$2:$N$65="True")))</x:f>
        <x:v>180.73118585004704</x:v>
      </x:c>
      <x:c r="L13" s="110" t="n">
        <x:f>QUARTILE.INC(_xlfn._xlws.FILTER('Raw Data'!$CD$2:$CD$65,('Raw Data'!$Z$2:$Z$65="ich")*('Raw Data'!$N$2:$N$65="True")),3)-QUARTILE.INC(_xlfn._xlws.FILTER('Raw Data'!$CD$2:$CD$65,('Raw Data'!$Z$2:$Z$65="ich")*('Raw Data'!$N$2:$N$65="True")),1)</x:f>
        <x:v>50.83117000004859</x:v>
      </x:c>
      <x:c r="M13" s="188" t="n">
        <x:f>SUMIFS('Raw Data'!$BN$2:$BN$65,'Raw Data'!$Z$2:$Z$65,"ich",'Raw Data'!$N$2:$N$65,"True")</x:f>
        <x:v>0</x:v>
      </x:c>
      <x:c r="N13" s="188" t="n">
        <x:f>SUMIFS('Raw Data'!$BZ$2:$BZ$65,'Raw Data'!$Z$2:$Z$65,"ich",'Raw Data'!$N$2:$N$65,"True")</x:f>
        <x:v>86</x:v>
      </x:c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</x:row>
    <x:row r="15">
      <x:c r="A15" s="232"/>
      <x:c r="B15" s="232"/>
      <x:c r="C15" s="232"/>
      <x:c r="D15" s="232"/>
      <x:c r="E15" s="232"/>
      <x:c r="F15" s="232"/>
      <x:c r="G15" s="232"/>
      <x:c r="H15" s="232"/>
      <x:c r="I15" s="232"/>
      <x:c r="J15" s="232"/>
      <x:c r="K15" s="232"/>
      <x:c r="L15" s="232"/>
      <x:c r="M15" s="232"/>
      <x:c r="N15" s="232"/>
    </x:row>
    <x:row r="16" ht="22" customHeight="1">
      <x:c r="A16" s="126" t="str">
        <x:v>Paired Collision versus Entropy — connected graphs</x:v>
      </x:c>
      <x:c r="B16" s="126" t="str">
        <x:v>Paired Collision versus Entropy — connected graphs</x:v>
      </x:c>
      <x:c r="C16" s="126" t="str">
        <x:v>Paired Collision versus Entropy — connected graphs</x:v>
      </x:c>
      <x:c r="D16" s="126" t="str">
        <x:v>Paired Collision versus Entropy — connected graphs</x:v>
      </x:c>
      <x:c r="E16" s="126" t="str">
        <x:v>Paired Collision versus Entropy — connected graphs</x:v>
      </x:c>
      <x:c r="F16" s="126" t="str">
        <x:v>Paired Collision versus Entropy — connected graphs</x:v>
      </x:c>
      <x:c r="G16" s="126" t="str">
        <x:v>Paired Collision versus Entropy — connected graphs</x:v>
      </x:c>
      <x:c r="H16" s="126" t="str">
        <x:v>Paired Collision versus Entropy — connected graphs</x:v>
      </x:c>
      <x:c r="I16" s="126" t="str">
        <x:v>Paired Collision versus Entropy — connected graphs</x:v>
      </x:c>
      <x:c r="J16" s="126" t="str">
        <x:v>Paired Collision versus Entropy — connected graphs</x:v>
      </x:c>
      <x:c r="K16" s="126" t="str">
        <x:v>Paired Collision versus Entropy — connected graphs</x:v>
      </x:c>
      <x:c r="L16" s="126" t="str">
        <x:v>Paired Collision versus Entropy — connected graphs</x:v>
      </x:c>
      <x:c r="M16" s="232"/>
      <x:c r="N16" s="232"/>
    </x:row>
    <x:row r="17" ht="34" customHeight="1">
      <x:c r="A17" s="100" t="str">
        <x:v>Family</x:v>
      </x:c>
      <x:c r="B17" s="100" t="str">
        <x:v>Pairs</x:v>
      </x:c>
      <x:c r="C17" s="100" t="str">
        <x:v>C size wins</x:v>
      </x:c>
      <x:c r="D17" s="100" t="str">
        <x:v>Ties</x:v>
      </x:c>
      <x:c r="E17" s="100" t="str">
        <x:v>C size losses</x:v>
      </x:c>
      <x:c r="F17" s="100" t="str">
        <x:v>Median C−E</x:v>
      </x:c>
      <x:c r="G17" s="100" t="str">
        <x:v>Mean C−E</x:v>
      </x:c>
      <x:c r="H17" s="100" t="str">
        <x:v>C faster %</x:v>
      </x:c>
      <x:c r="I17" s="100" t="str">
        <x:v>Median C/E time</x:v>
      </x:c>
      <x:c r="J17" s="100" t="str">
        <x:v>C dominates</x:v>
      </x:c>
      <x:c r="K17" s="100" t="str">
        <x:v>E dominates</x:v>
      </x:c>
      <x:c r="L17" s="100" t="str">
        <x:v>Tradeoff</x:v>
      </x:c>
      <x:c r="M17" s="232"/>
      <x:c r="N17" s="232"/>
    </x:row>
    <x:row r="18">
      <x:c r="A18" s="106" t="str">
        <x:v>grid</x:v>
      </x:c>
      <x:c r="B18" s="106" t="n">
        <x:f>COUNTIFS('Raw Data'!$Z$2:$Z$65,"grid",'Raw Data'!$N$2:$N$65,"True")</x:f>
        <x:v>16</x:v>
      </x:c>
      <x:c r="C18" s="106" t="n">
        <x:f>COUNTIFS('Raw Data'!$Z$2:$Z$65,"grid",'Raw Data'!$N$2:$N$65,"True",'Raw Data'!$CN$2:$CN$65,"&lt;0")</x:f>
        <x:v>13</x:v>
      </x:c>
      <x:c r="D18" s="106" t="n">
        <x:f>COUNTIFS('Raw Data'!$Z$2:$Z$65,"grid",'Raw Data'!$N$2:$N$65,"True",'Raw Data'!$CN$2:$CN$65,0)</x:f>
        <x:v>1</x:v>
      </x:c>
      <x:c r="E18" s="106" t="n">
        <x:f>COUNTIFS('Raw Data'!$Z$2:$Z$65,"grid",'Raw Data'!$N$2:$N$65,"True",'Raw Data'!$CN$2:$CN$65,"&gt;0")</x:f>
        <x:v>2</x:v>
      </x:c>
      <x:c r="F18" s="128" t="n">
        <x:f>MEDIAN(_xlfn._xlws.FILTER('Raw Data'!$CN$2:$CN$65,('Raw Data'!$Z$2:$Z$65="grid")*('Raw Data'!$N$2:$N$65="True")))</x:f>
        <x:v>-12.5</x:v>
      </x:c>
      <x:c r="G18" s="128" t="n">
        <x:f>AVERAGE(_xlfn._xlws.FILTER('Raw Data'!$CN$2:$CN$65,('Raw Data'!$Z$2:$Z$65="grid")*('Raw Data'!$N$2:$N$65="True")))</x:f>
        <x:v>-14.4375</x:v>
      </x:c>
      <x:c r="H18" s="112" t="n">
        <x:f>COUNTIFS('Raw Data'!$Z$2:$Z$65,"grid",'Raw Data'!$N$2:$N$65,"True",'Raw Data'!$CT$2:$CT$65,"collision")/B18</x:f>
        <x:v>1</x:v>
      </x:c>
      <x:c r="I18" s="108" t="n">
        <x:f>MEDIAN(_xlfn._xlws.FILTER('Raw Data'!$CQ$2:$CQ$65,('Raw Data'!$Z$2:$Z$65="grid")*('Raw Data'!$N$2:$N$65="True")))</x:f>
        <x:v>0.5478507924000753</x:v>
      </x:c>
      <x:c r="J18" s="106" t="n">
        <x:f>COUNTIFS('Raw Data'!$Z$2:$Z$65,"grid",'Raw Data'!$N$2:$N$65,"True",'Raw Data'!$CU$2:$CU$65,"collision_dominates")</x:f>
        <x:v>14</x:v>
      </x:c>
      <x:c r="K18" s="106" t="n">
        <x:f>COUNTIFS('Raw Data'!$Z$2:$Z$65,"grid",'Raw Data'!$N$2:$N$65,"True",'Raw Data'!$CU$2:$CU$65,"entropy_dominates")</x:f>
        <x:v>0</x:v>
      </x:c>
      <x:c r="L18" s="106" t="n">
        <x:f>COUNTIFS('Raw Data'!$Z$2:$Z$65,"grid",'Raw Data'!$N$2:$N$65,"True",'Raw Data'!$CU$2:$CU$65,"tradeoff")</x:f>
        <x:v>2</x:v>
      </x:c>
      <x:c r="M18" s="232"/>
      <x:c r="N18" s="232"/>
    </x:row>
    <x:row r="19">
      <x:c r="A19" s="106" t="str">
        <x:v>circle</x:v>
      </x:c>
      <x:c r="B19" s="106" t="n">
        <x:f>COUNTIFS('Raw Data'!$Z$2:$Z$65,"circle",'Raw Data'!$N$2:$N$65,"True")</x:f>
        <x:v>16</x:v>
      </x:c>
      <x:c r="C19" s="106" t="n">
        <x:f>COUNTIFS('Raw Data'!$Z$2:$Z$65,"circle",'Raw Data'!$N$2:$N$65,"True",'Raw Data'!$CN$2:$CN$65,"&lt;0")</x:f>
        <x:v>5</x:v>
      </x:c>
      <x:c r="D19" s="106" t="n">
        <x:f>COUNTIFS('Raw Data'!$Z$2:$Z$65,"circle",'Raw Data'!$N$2:$N$65,"True",'Raw Data'!$CN$2:$CN$65,0)</x:f>
        <x:v>4</x:v>
      </x:c>
      <x:c r="E19" s="106" t="n">
        <x:f>COUNTIFS('Raw Data'!$Z$2:$Z$65,"circle",'Raw Data'!$N$2:$N$65,"True",'Raw Data'!$CN$2:$CN$65,"&gt;0")</x:f>
        <x:v>7</x:v>
      </x:c>
      <x:c r="F19" s="128" t="n">
        <x:f>MEDIAN(_xlfn._xlws.FILTER('Raw Data'!$CN$2:$CN$65,('Raw Data'!$Z$2:$Z$65="circle")*('Raw Data'!$N$2:$N$65="True")))</x:f>
        <x:v>0</x:v>
      </x:c>
      <x:c r="G19" s="128" t="n">
        <x:f>AVERAGE(_xlfn._xlws.FILTER('Raw Data'!$CN$2:$CN$65,('Raw Data'!$Z$2:$Z$65="circle")*('Raw Data'!$N$2:$N$65="True")))</x:f>
        <x:v>0.625</x:v>
      </x:c>
      <x:c r="H19" s="112" t="n">
        <x:f>COUNTIFS('Raw Data'!$Z$2:$Z$65,"circle",'Raw Data'!$N$2:$N$65,"True",'Raw Data'!$CT$2:$CT$65,"collision")/B19</x:f>
        <x:v>0.6875</x:v>
      </x:c>
      <x:c r="I19" s="108" t="n">
        <x:f>MEDIAN(_xlfn._xlws.FILTER('Raw Data'!$CQ$2:$CQ$65,('Raw Data'!$Z$2:$Z$65="circle")*('Raw Data'!$N$2:$N$65="True")))</x:f>
        <x:v>0.9379827110783912</x:v>
      </x:c>
      <x:c r="J19" s="106" t="n">
        <x:f>COUNTIFS('Raw Data'!$Z$2:$Z$65,"circle",'Raw Data'!$N$2:$N$65,"True",'Raw Data'!$CU$2:$CU$65,"collision_dominates")</x:f>
        <x:v>5</x:v>
      </x:c>
      <x:c r="K19" s="106" t="n">
        <x:f>COUNTIFS('Raw Data'!$Z$2:$Z$65,"circle",'Raw Data'!$N$2:$N$65,"True",'Raw Data'!$CU$2:$CU$65,"entropy_dominates")</x:f>
        <x:v>3</x:v>
      </x:c>
      <x:c r="L19" s="106" t="n">
        <x:f>COUNTIFS('Raw Data'!$Z$2:$Z$65,"circle",'Raw Data'!$N$2:$N$65,"True",'Raw Data'!$CU$2:$CU$65,"tradeoff")</x:f>
        <x:v>8</x:v>
      </x:c>
      <x:c r="M19" s="232"/>
      <x:c r="N19" s="232"/>
    </x:row>
    <x:row r="20">
      <x:c r="A20" s="106" t="str">
        <x:v>zoomed</x:v>
      </x:c>
      <x:c r="B20" s="106" t="n">
        <x:f>COUNTIFS('Raw Data'!$Z$2:$Z$65,"zoomed",'Raw Data'!$N$2:$N$65,"True")</x:f>
        <x:v>16</x:v>
      </x:c>
      <x:c r="C20" s="106" t="n">
        <x:f>COUNTIFS('Raw Data'!$Z$2:$Z$65,"zoomed",'Raw Data'!$N$2:$N$65,"True",'Raw Data'!$CN$2:$CN$65,"&lt;0")</x:f>
        <x:v>12</x:v>
      </x:c>
      <x:c r="D20" s="106" t="n">
        <x:f>COUNTIFS('Raw Data'!$Z$2:$Z$65,"zoomed",'Raw Data'!$N$2:$N$65,"True",'Raw Data'!$CN$2:$CN$65,0)</x:f>
        <x:v>0</x:v>
      </x:c>
      <x:c r="E20" s="106" t="n">
        <x:f>COUNTIFS('Raw Data'!$Z$2:$Z$65,"zoomed",'Raw Data'!$N$2:$N$65,"True",'Raw Data'!$CN$2:$CN$65,"&gt;0")</x:f>
        <x:v>4</x:v>
      </x:c>
      <x:c r="F20" s="128" t="n">
        <x:f>MEDIAN(_xlfn._xlws.FILTER('Raw Data'!$CN$2:$CN$65,('Raw Data'!$Z$2:$Z$65="zoomed")*('Raw Data'!$N$2:$N$65="True")))</x:f>
        <x:v>-3.5</x:v>
      </x:c>
      <x:c r="G20" s="128" t="n">
        <x:f>AVERAGE(_xlfn._xlws.FILTER('Raw Data'!$CN$2:$CN$65,('Raw Data'!$Z$2:$Z$65="zoomed")*('Raw Data'!$N$2:$N$65="True")))</x:f>
        <x:v>-9.6875</x:v>
      </x:c>
      <x:c r="H20" s="112" t="n">
        <x:f>COUNTIFS('Raw Data'!$Z$2:$Z$65,"zoomed",'Raw Data'!$N$2:$N$65,"True",'Raw Data'!$CT$2:$CT$65,"collision")/B20</x:f>
        <x:v>1</x:v>
      </x:c>
      <x:c r="I20" s="108" t="n">
        <x:f>MEDIAN(_xlfn._xlws.FILTER('Raw Data'!$CQ$2:$CQ$65,('Raw Data'!$Z$2:$Z$65="zoomed")*('Raw Data'!$N$2:$N$65="True")))</x:f>
        <x:v>0.7480737839208482</x:v>
      </x:c>
      <x:c r="J20" s="106" t="n">
        <x:f>COUNTIFS('Raw Data'!$Z$2:$Z$65,"zoomed",'Raw Data'!$N$2:$N$65,"True",'Raw Data'!$CU$2:$CU$65,"collision_dominates")</x:f>
        <x:v>12</x:v>
      </x:c>
      <x:c r="K20" s="106" t="n">
        <x:f>COUNTIFS('Raw Data'!$Z$2:$Z$65,"zoomed",'Raw Data'!$N$2:$N$65,"True",'Raw Data'!$CU$2:$CU$65,"entropy_dominates")</x:f>
        <x:v>0</x:v>
      </x:c>
      <x:c r="L20" s="106" t="n">
        <x:f>COUNTIFS('Raw Data'!$Z$2:$Z$65,"zoomed",'Raw Data'!$N$2:$N$65,"True",'Raw Data'!$CU$2:$CU$65,"tradeoff")</x:f>
        <x:v>4</x:v>
      </x:c>
      <x:c r="M20" s="232"/>
      <x:c r="N20" s="232"/>
    </x:row>
    <x:row r="21">
      <x:c r="A21" s="106" t="str">
        <x:v>ich</x:v>
      </x:c>
      <x:c r="B21" s="106" t="n">
        <x:f>COUNTIFS('Raw Data'!$Z$2:$Z$65,"ich",'Raw Data'!$N$2:$N$65,"True")</x:f>
        <x:v>16</x:v>
      </x:c>
      <x:c r="C21" s="106" t="n">
        <x:f>COUNTIFS('Raw Data'!$Z$2:$Z$65,"ich",'Raw Data'!$N$2:$N$65,"True",'Raw Data'!$CN$2:$CN$65,"&lt;0")</x:f>
        <x:v>6</x:v>
      </x:c>
      <x:c r="D21" s="106" t="n">
        <x:f>COUNTIFS('Raw Data'!$Z$2:$Z$65,"ich",'Raw Data'!$N$2:$N$65,"True",'Raw Data'!$CN$2:$CN$65,0)</x:f>
        <x:v>2</x:v>
      </x:c>
      <x:c r="E21" s="106" t="n">
        <x:f>COUNTIFS('Raw Data'!$Z$2:$Z$65,"ich",'Raw Data'!$N$2:$N$65,"True",'Raw Data'!$CN$2:$CN$65,"&gt;0")</x:f>
        <x:v>8</x:v>
      </x:c>
      <x:c r="F21" s="128" t="n">
        <x:f>MEDIAN(_xlfn._xlws.FILTER('Raw Data'!$CN$2:$CN$65,('Raw Data'!$Z$2:$Z$65="ich")*('Raw Data'!$N$2:$N$65="True")))</x:f>
        <x:v>0.5</x:v>
      </x:c>
      <x:c r="G21" s="128" t="n">
        <x:f>AVERAGE(_xlfn._xlws.FILTER('Raw Data'!$CN$2:$CN$65,('Raw Data'!$Z$2:$Z$65="ich")*('Raw Data'!$N$2:$N$65="True")))</x:f>
        <x:v>0.1875</x:v>
      </x:c>
      <x:c r="H21" s="112" t="n">
        <x:f>COUNTIFS('Raw Data'!$Z$2:$Z$65,"ich",'Raw Data'!$N$2:$N$65,"True",'Raw Data'!$CT$2:$CT$65,"collision")/B21</x:f>
        <x:v>0.75</x:v>
      </x:c>
      <x:c r="I21" s="108" t="n">
        <x:f>MEDIAN(_xlfn._xlws.FILTER('Raw Data'!$CQ$2:$CQ$65,('Raw Data'!$Z$2:$Z$65="ich")*('Raw Data'!$N$2:$N$65="True")))</x:f>
        <x:v>0.9633535115532565</x:v>
      </x:c>
      <x:c r="J21" s="106" t="n">
        <x:f>COUNTIFS('Raw Data'!$Z$2:$Z$65,"ich",'Raw Data'!$N$2:$N$65,"True",'Raw Data'!$CU$2:$CU$65,"collision_dominates")</x:f>
        <x:v>5</x:v>
      </x:c>
      <x:c r="K21" s="106" t="n">
        <x:f>COUNTIFS('Raw Data'!$Z$2:$Z$65,"ich",'Raw Data'!$N$2:$N$65,"True",'Raw Data'!$CU$2:$CU$65,"entropy_dominates")</x:f>
        <x:v>2</x:v>
      </x:c>
      <x:c r="L21" s="106" t="n">
        <x:f>COUNTIFS('Raw Data'!$Z$2:$Z$65,"ich",'Raw Data'!$N$2:$N$65,"True",'Raw Data'!$CU$2:$CU$65,"tradeoff")</x:f>
        <x:v>9</x:v>
      </x:c>
      <x:c r="M21" s="232"/>
      <x:c r="N21" s="232"/>
    </x:row>
    <x:row r="22">
      <x:c r="A22" s="232"/>
      <x:c r="B22" s="232"/>
      <x:c r="C22" s="232"/>
      <x:c r="D22" s="232"/>
      <x:c r="E22" s="232"/>
      <x:c r="F22" s="232"/>
      <x:c r="G22" s="232"/>
      <x:c r="H22" s="232"/>
      <x:c r="I22" s="232"/>
      <x:c r="J22" s="232"/>
      <x:c r="K22" s="232"/>
      <x:c r="L22" s="232"/>
      <x:c r="M22" s="232"/>
      <x:c r="N22" s="232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</x:row>
    <x:row r="24" ht="22" customHeight="1">
      <x:c r="A24" s="200" t="str">
        <x:v>All graphs — sensitivity analysis (includes 0 disconnected graphs)</x:v>
      </x:c>
      <x:c r="B24" s="200" t="str">
        <x:v>All graphs — sensitivity analysis (includes 0 disconnected graphs)</x:v>
      </x:c>
      <x:c r="C24" s="200" t="str">
        <x:v>All graphs — sensitivity analysis (includes 0 disconnected graphs)</x:v>
      </x:c>
      <x:c r="D24" s="200" t="str">
        <x:v>All graphs — sensitivity analysis (includes 0 disconnected graphs)</x:v>
      </x:c>
      <x:c r="E24" s="200" t="str">
        <x:v>All graphs — sensitivity analysis (includes 0 disconnected graphs)</x:v>
      </x:c>
      <x:c r="F24" s="200" t="str">
        <x:v>All graphs — sensitivity analysis (includes 0 disconnected graphs)</x:v>
      </x:c>
      <x:c r="G24" s="200" t="str">
        <x:v>All graphs — sensitivity analysis (includes 0 disconnected graphs)</x:v>
      </x:c>
      <x:c r="H24" s="200" t="str">
        <x:v>All graphs — sensitivity analysis (includes 0 disconnected graphs)</x:v>
      </x:c>
      <x:c r="I24" s="200" t="str">
        <x:v>All graphs — sensitivity analysis (includes 0 disconnected graphs)</x:v>
      </x:c>
      <x:c r="J24" s="200" t="str">
        <x:v>All graphs — sensitivity analysis (includes 0 disconnected graphs)</x:v>
      </x:c>
      <x:c r="K24" s="200" t="str">
        <x:v>All graphs — sensitivity analysis (includes 0 disconnected graphs)</x:v>
      </x:c>
      <x:c r="L24" s="200" t="str">
        <x:v>All graphs — sensitivity analysis (includes 0 disconnected graphs)</x:v>
      </x:c>
      <x:c r="M24" s="200" t="str">
        <x:v>All graphs — sensitivity analysis (includes 0 disconnected graphs)</x:v>
      </x:c>
      <x:c r="N24" s="200" t="str">
        <x:v>All graphs — sensitivity analysis (includes 0 disconnected graphs)</x:v>
      </x:c>
    </x:row>
    <x:row r="25" ht="34" customHeight="1">
      <x:c r="A25" s="100" t="str">
        <x:v>Family</x:v>
      </x:c>
      <x:c r="B25" s="100" t="str">
        <x:v>Strategy</x:v>
      </x:c>
      <x:c r="C25" s="100" t="str">
        <x:v>Runs</x:v>
      </x:c>
      <x:c r="D25" s="100" t="str">
        <x:v>Raw valid %</x:v>
      </x:c>
      <x:c r="E25" s="100" t="str">
        <x:v>Repair needed %</x:v>
      </x:c>
      <x:c r="F25" s="100" t="str">
        <x:v>Final valid %</x:v>
      </x:c>
      <x:c r="G25" s="100" t="str">
        <x:v>Median final size</x:v>
      </x:c>
      <x:c r="H25" s="100" t="str">
        <x:v>Mean final size</x:v>
      </x:c>
      <x:c r="I25" s="100" t="str">
        <x:v>Median size / n</x:v>
      </x:c>
      <x:c r="J25" s="100" t="str">
        <x:v>IQR size / n</x:v>
      </x:c>
      <x:c r="K25" s="100" t="str">
        <x:v>Median total seconds</x:v>
      </x:c>
      <x:c r="L25" s="100" t="str">
        <x:v>IQR total seconds</x:v>
      </x:c>
      <x:c r="M25" s="100" t="str">
        <x:v>Repair probes added</x:v>
      </x:c>
      <x:c r="N25" s="100" t="str">
        <x:v>Common-prune removals</x:v>
      </x:c>
    </x:row>
    <x:row r="26">
      <x:c r="A26" s="106" t="str">
        <x:v>grid</x:v>
      </x:c>
      <x:c r="B26" s="192" t="str">
        <x:v>entropy</x:v>
      </x:c>
      <x:c r="C26" s="106" t="n">
        <x:f>COUNTIFS('Raw Data'!$Z$2:$Z$65,"grid")</x:f>
        <x:v>16</x:v>
      </x:c>
      <x:c r="D26" s="112" t="n">
        <x:f>IF(C26=0,0,COUNTIFS('Raw Data'!$Z$2:$Z$65,"grid",'Raw Data'!$AI$2:$AI$65,"True")/C26)</x:f>
        <x:v>1</x:v>
      </x:c>
      <x:c r="E26" s="112" t="n">
        <x:f>IF(C26=0,0,COUNTIFS('Raw Data'!$Z$2:$Z$65,"grid",'Raw Data'!$AL$2:$AL$65,"&gt;0")/C26)</x:f>
        <x:v>0</x:v>
      </x:c>
      <x:c r="F26" s="112" t="n">
        <x:f>IF(C26=0,0,COUNTIFS('Raw Data'!$Z$2:$Z$65,"grid",'Raw Data'!$BC$2:$BC$65,"True")/C26)</x:f>
        <x:v>1</x:v>
      </x:c>
      <x:c r="G26" s="186" t="n">
        <x:f>MEDIAN(_xlfn._xlws.FILTER('Raw Data'!$BA$2:$BA$65,('Raw Data'!$Z$2:$Z$65="grid")))</x:f>
        <x:v>125.5</x:v>
      </x:c>
      <x:c r="H26" s="186" t="n">
        <x:f>AVERAGE(_xlfn._xlws.FILTER('Raw Data'!$BA$2:$BA$65,('Raw Data'!$Z$2:$Z$65="grid")))</x:f>
        <x:v>132.0625</x:v>
      </x:c>
      <x:c r="I26" s="108" t="n">
        <x:f>MEDIAN(_xlfn._xlws.FILTER('Raw Data'!$BA$2:$BA$65/'Raw Data'!$F$2:$F$65,('Raw Data'!$Z$2:$Z$65="grid")))</x:f>
        <x:v>0.1255</x:v>
      </x:c>
      <x:c r="J26" s="108" t="n">
        <x:f>QUARTILE.INC(_xlfn._xlws.FILTER('Raw Data'!$BA$2:$BA$65/'Raw Data'!$F$2:$F$65,('Raw Data'!$Z$2:$Z$65="grid")),3)-QUARTILE.INC(_xlfn._xlws.FILTER('Raw Data'!$BA$2:$BA$65/'Raw Data'!$F$2:$F$65,('Raw Data'!$Z$2:$Z$65="grid")),1)</x:f>
        <x:v>0.053750000000000006</x:v>
      </x:c>
      <x:c r="K26" s="110" t="n">
        <x:f>MEDIAN(_xlfn._xlws.FILTER('Raw Data'!$BB$2:$BB$65,('Raw Data'!$Z$2:$Z$65="grid")))</x:f>
        <x:v>77.07312149996869</x:v>
      </x:c>
      <x:c r="L26" s="110" t="n">
        <x:f>QUARTILE.INC(_xlfn._xlws.FILTER('Raw Data'!$BB$2:$BB$65,('Raw Data'!$Z$2:$Z$65="grid")),3)-QUARTILE.INC(_xlfn._xlws.FILTER('Raw Data'!$BB$2:$BB$65,('Raw Data'!$Z$2:$Z$65="grid")),1)</x:f>
        <x:v>135.67951217497466</x:v>
      </x:c>
      <x:c r="M26" s="188" t="n">
        <x:f>SUMIFS('Raw Data'!$AL$2:$AL$65,'Raw Data'!$Z$2:$Z$65,"grid")</x:f>
        <x:v>0</x:v>
      </x:c>
      <x:c r="N26" s="188" t="n">
        <x:f>SUMIFS('Raw Data'!$AX$2:$AX$65,'Raw Data'!$Z$2:$Z$65,"grid")</x:f>
        <x:v>0</x:v>
      </x:c>
    </x:row>
    <x:row r="27">
      <x:c r="A27" s="106" t="str">
        <x:v>grid</x:v>
      </x:c>
      <x:c r="B27" s="194" t="str">
        <x:v>collision</x:v>
      </x:c>
      <x:c r="C27" s="106" t="n">
        <x:f>COUNTIFS('Raw Data'!$Z$2:$Z$65,"grid")</x:f>
        <x:v>16</x:v>
      </x:c>
      <x:c r="D27" s="112" t="n">
        <x:f>IF(C27=0,0,COUNTIFS('Raw Data'!$Z$2:$Z$65,"grid",'Raw Data'!$BK$2:$BK$65,"True")/C27)</x:f>
        <x:v>1</x:v>
      </x:c>
      <x:c r="E27" s="112" t="n">
        <x:f>IF(C27=0,0,COUNTIFS('Raw Data'!$Z$2:$Z$65,"grid",'Raw Data'!$BN$2:$BN$65,"&gt;0")/C27)</x:f>
        <x:v>0</x:v>
      </x:c>
      <x:c r="F27" s="112" t="n">
        <x:f>IF(C27=0,0,COUNTIFS('Raw Data'!$Z$2:$Z$65,"grid",'Raw Data'!$CE$2:$CE$65,"True")/C27)</x:f>
        <x:v>1</x:v>
      </x:c>
      <x:c r="G27" s="186" t="n">
        <x:f>MEDIAN(_xlfn._xlws.FILTER('Raw Data'!$CC$2:$CC$65,('Raw Data'!$Z$2:$Z$65="grid")))</x:f>
        <x:v>110</x:v>
      </x:c>
      <x:c r="H27" s="186" t="n">
        <x:f>AVERAGE(_xlfn._xlws.FILTER('Raw Data'!$CC$2:$CC$65,('Raw Data'!$Z$2:$Z$65="grid")))</x:f>
        <x:v>117.625</x:v>
      </x:c>
      <x:c r="I27" s="108" t="n">
        <x:f>MEDIAN(_xlfn._xlws.FILTER('Raw Data'!$CC$2:$CC$65/'Raw Data'!$F$2:$F$65,('Raw Data'!$Z$2:$Z$65="grid")))</x:f>
        <x:v>0.11</x:v>
      </x:c>
      <x:c r="J27" s="108" t="n">
        <x:f>QUARTILE.INC(_xlfn._xlws.FILTER('Raw Data'!$CC$2:$CC$65/'Raw Data'!$F$2:$F$65,('Raw Data'!$Z$2:$Z$65="grid")),3)-QUARTILE.INC(_xlfn._xlws.FILTER('Raw Data'!$CC$2:$CC$65/'Raw Data'!$F$2:$F$65,('Raw Data'!$Z$2:$Z$65="grid")),1)</x:f>
        <x:v>0.03</x:v>
      </x:c>
      <x:c r="K27" s="110" t="n">
        <x:f>MEDIAN(_xlfn._xlws.FILTER('Raw Data'!$CD$2:$CD$65,('Raw Data'!$Z$2:$Z$65="grid")))</x:f>
        <x:v>35.490139050001744</x:v>
      </x:c>
      <x:c r="L27" s="110" t="n">
        <x:f>QUARTILE.INC(_xlfn._xlws.FILTER('Raw Data'!$CD$2:$CD$65,('Raw Data'!$Z$2:$Z$65="grid")),3)-QUARTILE.INC(_xlfn._xlws.FILTER('Raw Data'!$CD$2:$CD$65,('Raw Data'!$Z$2:$Z$65="grid")),1)</x:f>
        <x:v>68.16747127502458</x:v>
      </x:c>
      <x:c r="M27" s="188" t="n">
        <x:f>SUMIFS('Raw Data'!$BN$2:$BN$65,'Raw Data'!$Z$2:$Z$65,"grid")</x:f>
        <x:v>0</x:v>
      </x:c>
      <x:c r="N27" s="188" t="n">
        <x:f>SUMIFS('Raw Data'!$BZ$2:$BZ$65,'Raw Data'!$Z$2:$Z$65,"grid")</x:f>
        <x:v>0</x:v>
      </x:c>
    </x:row>
    <x:row r="28">
      <x:c r="A28" s="106" t="str">
        <x:v>circle</x:v>
      </x:c>
      <x:c r="B28" s="192" t="str">
        <x:v>entropy</x:v>
      </x:c>
      <x:c r="C28" s="106" t="n">
        <x:f>COUNTIFS('Raw Data'!$Z$2:$Z$65,"circle")</x:f>
        <x:v>16</x:v>
      </x:c>
      <x:c r="D28" s="112" t="n">
        <x:f>IF(C28=0,0,COUNTIFS('Raw Data'!$Z$2:$Z$65,"circle",'Raw Data'!$AI$2:$AI$65,"True")/C28)</x:f>
        <x:v>1</x:v>
      </x:c>
      <x:c r="E28" s="112" t="n">
        <x:f>IF(C28=0,0,COUNTIFS('Raw Data'!$Z$2:$Z$65,"circle",'Raw Data'!$AL$2:$AL$65,"&gt;0")/C28)</x:f>
        <x:v>0</x:v>
      </x:c>
      <x:c r="F28" s="112" t="n">
        <x:f>IF(C28=0,0,COUNTIFS('Raw Data'!$Z$2:$Z$65,"circle",'Raw Data'!$BC$2:$BC$65,"True")/C28)</x:f>
        <x:v>1</x:v>
      </x:c>
      <x:c r="G28" s="186" t="n">
        <x:f>MEDIAN(_xlfn._xlws.FILTER('Raw Data'!$BA$2:$BA$65,('Raw Data'!$Z$2:$Z$65="circle")))</x:f>
        <x:v>122</x:v>
      </x:c>
      <x:c r="H28" s="186" t="n">
        <x:f>AVERAGE(_xlfn._xlws.FILTER('Raw Data'!$BA$2:$BA$65,('Raw Data'!$Z$2:$Z$65="circle")))</x:f>
        <x:v>143</x:v>
      </x:c>
      <x:c r="I28" s="108" t="n">
        <x:f>MEDIAN(_xlfn._xlws.FILTER('Raw Data'!$BA$2:$BA$65/'Raw Data'!$F$2:$F$65,('Raw Data'!$Z$2:$Z$65="circle")))</x:f>
        <x:v>0.122</x:v>
      </x:c>
      <x:c r="J28" s="108" t="n">
        <x:f>QUARTILE.INC(_xlfn._xlws.FILTER('Raw Data'!$BA$2:$BA$65/'Raw Data'!$F$2:$F$65,('Raw Data'!$Z$2:$Z$65="circle")),3)-QUARTILE.INC(_xlfn._xlws.FILTER('Raw Data'!$BA$2:$BA$65/'Raw Data'!$F$2:$F$65,('Raw Data'!$Z$2:$Z$65="circle")),1)</x:f>
        <x:v>0.05349999999999999</x:v>
      </x:c>
      <x:c r="K28" s="110" t="n">
        <x:f>MEDIAN(_xlfn._xlws.FILTER('Raw Data'!$BB$2:$BB$65,('Raw Data'!$Z$2:$Z$65="circle")))</x:f>
        <x:v>14.638972449931316</x:v>
      </x:c>
      <x:c r="L28" s="110" t="n">
        <x:f>QUARTILE.INC(_xlfn._xlws.FILTER('Raw Data'!$BB$2:$BB$65,('Raw Data'!$Z$2:$Z$65="circle")),3)-QUARTILE.INC(_xlfn._xlws.FILTER('Raw Data'!$BB$2:$BB$65,('Raw Data'!$Z$2:$Z$65="circle")),1)</x:f>
        <x:v>36.1625430250133</x:v>
      </x:c>
      <x:c r="M28" s="188" t="n">
        <x:f>SUMIFS('Raw Data'!$AL$2:$AL$65,'Raw Data'!$Z$2:$Z$65,"circle")</x:f>
        <x:v>0</x:v>
      </x:c>
      <x:c r="N28" s="188" t="n">
        <x:f>SUMIFS('Raw Data'!$AX$2:$AX$65,'Raw Data'!$Z$2:$Z$65,"circle")</x:f>
        <x:v>0</x:v>
      </x:c>
    </x:row>
    <x:row r="29">
      <x:c r="A29" s="106" t="str">
        <x:v>circle</x:v>
      </x:c>
      <x:c r="B29" s="194" t="str">
        <x:v>collision</x:v>
      </x:c>
      <x:c r="C29" s="106" t="n">
        <x:f>COUNTIFS('Raw Data'!$Z$2:$Z$65,"circle")</x:f>
        <x:v>16</x:v>
      </x:c>
      <x:c r="D29" s="112" t="n">
        <x:f>IF(C29=0,0,COUNTIFS('Raw Data'!$Z$2:$Z$65,"circle",'Raw Data'!$BK$2:$BK$65,"True")/C29)</x:f>
        <x:v>1</x:v>
      </x:c>
      <x:c r="E29" s="112" t="n">
        <x:f>IF(C29=0,0,COUNTIFS('Raw Data'!$Z$2:$Z$65,"circle",'Raw Data'!$BN$2:$BN$65,"&gt;0")/C29)</x:f>
        <x:v>0</x:v>
      </x:c>
      <x:c r="F29" s="112" t="n">
        <x:f>IF(C29=0,0,COUNTIFS('Raw Data'!$Z$2:$Z$65,"circle",'Raw Data'!$CE$2:$CE$65,"True")/C29)</x:f>
        <x:v>1</x:v>
      </x:c>
      <x:c r="G29" s="186" t="n">
        <x:f>MEDIAN(_xlfn._xlws.FILTER('Raw Data'!$CC$2:$CC$65,('Raw Data'!$Z$2:$Z$65="circle")))</x:f>
        <x:v>122</x:v>
      </x:c>
      <x:c r="H29" s="186" t="n">
        <x:f>AVERAGE(_xlfn._xlws.FILTER('Raw Data'!$CC$2:$CC$65,('Raw Data'!$Z$2:$Z$65="circle")))</x:f>
        <x:v>143.625</x:v>
      </x:c>
      <x:c r="I29" s="108" t="n">
        <x:f>MEDIAN(_xlfn._xlws.FILTER('Raw Data'!$CC$2:$CC$65/'Raw Data'!$F$2:$F$65,('Raw Data'!$Z$2:$Z$65="circle")))</x:f>
        <x:v>0.122</x:v>
      </x:c>
      <x:c r="J29" s="108" t="n">
        <x:f>QUARTILE.INC(_xlfn._xlws.FILTER('Raw Data'!$CC$2:$CC$65/'Raw Data'!$F$2:$F$65,('Raw Data'!$Z$2:$Z$65="circle")),3)-QUARTILE.INC(_xlfn._xlws.FILTER('Raw Data'!$CC$2:$CC$65/'Raw Data'!$F$2:$F$65,('Raw Data'!$Z$2:$Z$65="circle")),1)</x:f>
        <x:v>0.055999999999999994</x:v>
      </x:c>
      <x:c r="K29" s="110" t="n">
        <x:f>MEDIAN(_xlfn._xlws.FILTER('Raw Data'!$CD$2:$CD$65,('Raw Data'!$Z$2:$Z$65="circle")))</x:f>
        <x:v>14.782232699973974</x:v>
      </x:c>
      <x:c r="L29" s="110" t="n">
        <x:f>QUARTILE.INC(_xlfn._xlws.FILTER('Raw Data'!$CD$2:$CD$65,('Raw Data'!$Z$2:$Z$65="circle")),3)-QUARTILE.INC(_xlfn._xlws.FILTER('Raw Data'!$CD$2:$CD$65,('Raw Data'!$Z$2:$Z$65="circle")),1)</x:f>
        <x:v>33.71510089994991</x:v>
      </x:c>
      <x:c r="M29" s="188" t="n">
        <x:f>SUMIFS('Raw Data'!$BN$2:$BN$65,'Raw Data'!$Z$2:$Z$65,"circle")</x:f>
        <x:v>0</x:v>
      </x:c>
      <x:c r="N29" s="188" t="n">
        <x:f>SUMIFS('Raw Data'!$BZ$2:$BZ$65,'Raw Data'!$Z$2:$Z$65,"circle")</x:f>
        <x:v>0</x:v>
      </x:c>
    </x:row>
    <x:row r="30">
      <x:c r="A30" s="106" t="str">
        <x:v>zoomed</x:v>
      </x:c>
      <x:c r="B30" s="192" t="str">
        <x:v>entropy</x:v>
      </x:c>
      <x:c r="C30" s="106" t="n">
        <x:f>COUNTIFS('Raw Data'!$Z$2:$Z$65,"zoomed")</x:f>
        <x:v>16</x:v>
      </x:c>
      <x:c r="D30" s="112" t="n">
        <x:f>IF(C30=0,0,COUNTIFS('Raw Data'!$Z$2:$Z$65,"zoomed",'Raw Data'!$AI$2:$AI$65,"True")/C30)</x:f>
        <x:v>1</x:v>
      </x:c>
      <x:c r="E30" s="112" t="n">
        <x:f>IF(C30=0,0,COUNTIFS('Raw Data'!$Z$2:$Z$65,"zoomed",'Raw Data'!$AL$2:$AL$65,"&gt;0")/C30)</x:f>
        <x:v>0</x:v>
      </x:c>
      <x:c r="F30" s="112" t="n">
        <x:f>IF(C30=0,0,COUNTIFS('Raw Data'!$Z$2:$Z$65,"zoomed",'Raw Data'!$BC$2:$BC$65,"True")/C30)</x:f>
        <x:v>1</x:v>
      </x:c>
      <x:c r="G30" s="186" t="n">
        <x:f>MEDIAN(_xlfn._xlws.FILTER('Raw Data'!$BA$2:$BA$65,('Raw Data'!$Z$2:$Z$65="zoomed")))</x:f>
        <x:v>126.5</x:v>
      </x:c>
      <x:c r="H30" s="186" t="n">
        <x:f>AVERAGE(_xlfn._xlws.FILTER('Raw Data'!$BA$2:$BA$65,('Raw Data'!$Z$2:$Z$65="zoomed")))</x:f>
        <x:v>141</x:v>
      </x:c>
      <x:c r="I30" s="108" t="n">
        <x:f>MEDIAN(_xlfn._xlws.FILTER('Raw Data'!$BA$2:$BA$65/'Raw Data'!$F$2:$F$65,('Raw Data'!$Z$2:$Z$65="zoomed")))</x:f>
        <x:v>0.1265</x:v>
      </x:c>
      <x:c r="J30" s="108" t="n">
        <x:f>QUARTILE.INC(_xlfn._xlws.FILTER('Raw Data'!$BA$2:$BA$65/'Raw Data'!$F$2:$F$65,('Raw Data'!$Z$2:$Z$65="zoomed")),3)-QUARTILE.INC(_xlfn._xlws.FILTER('Raw Data'!$BA$2:$BA$65/'Raw Data'!$F$2:$F$65,('Raw Data'!$Z$2:$Z$65="zoomed")),1)</x:f>
        <x:v>0.06050000000000001</x:v>
      </x:c>
      <x:c r="K30" s="110" t="n">
        <x:f>MEDIAN(_xlfn._xlws.FILTER('Raw Data'!$BB$2:$BB$65,('Raw Data'!$Z$2:$Z$65="zoomed")))</x:f>
        <x:v>21.480661449953914</x:v>
      </x:c>
      <x:c r="L30" s="110" t="n">
        <x:f>QUARTILE.INC(_xlfn._xlws.FILTER('Raw Data'!$BB$2:$BB$65,('Raw Data'!$Z$2:$Z$65="zoomed")),3)-QUARTILE.INC(_xlfn._xlws.FILTER('Raw Data'!$BB$2:$BB$65,('Raw Data'!$Z$2:$Z$65="zoomed")),1)</x:f>
        <x:v>46.40906282502692</x:v>
      </x:c>
      <x:c r="M30" s="188" t="n">
        <x:f>SUMIFS('Raw Data'!$AL$2:$AL$65,'Raw Data'!$Z$2:$Z$65,"zoomed")</x:f>
        <x:v>0</x:v>
      </x:c>
      <x:c r="N30" s="188" t="n">
        <x:f>SUMIFS('Raw Data'!$AX$2:$AX$65,'Raw Data'!$Z$2:$Z$65,"zoomed")</x:f>
        <x:v>0</x:v>
      </x:c>
    </x:row>
    <x:row r="31">
      <x:c r="A31" s="106" t="str">
        <x:v>zoomed</x:v>
      </x:c>
      <x:c r="B31" s="194" t="str">
        <x:v>collision</x:v>
      </x:c>
      <x:c r="C31" s="106" t="n">
        <x:f>COUNTIFS('Raw Data'!$Z$2:$Z$65,"zoomed")</x:f>
        <x:v>16</x:v>
      </x:c>
      <x:c r="D31" s="112" t="n">
        <x:f>IF(C31=0,0,COUNTIFS('Raw Data'!$Z$2:$Z$65,"zoomed",'Raw Data'!$BK$2:$BK$65,"True")/C31)</x:f>
        <x:v>0.9375</x:v>
      </x:c>
      <x:c r="E31" s="112" t="n">
        <x:f>IF(C31=0,0,COUNTIFS('Raw Data'!$Z$2:$Z$65,"zoomed",'Raw Data'!$BN$2:$BN$65,"&gt;0")/C31)</x:f>
        <x:v>0.0625</x:v>
      </x:c>
      <x:c r="F31" s="112" t="n">
        <x:f>IF(C31=0,0,COUNTIFS('Raw Data'!$Z$2:$Z$65,"zoomed",'Raw Data'!$CE$2:$CE$65,"True")/C31)</x:f>
        <x:v>1</x:v>
      </x:c>
      <x:c r="G31" s="186" t="n">
        <x:f>MEDIAN(_xlfn._xlws.FILTER('Raw Data'!$CC$2:$CC$65,('Raw Data'!$Z$2:$Z$65="zoomed")))</x:f>
        <x:v>122.5</x:v>
      </x:c>
      <x:c r="H31" s="186" t="n">
        <x:f>AVERAGE(_xlfn._xlws.FILTER('Raw Data'!$CC$2:$CC$65,('Raw Data'!$Z$2:$Z$65="zoomed")))</x:f>
        <x:v>131.3125</x:v>
      </x:c>
      <x:c r="I31" s="108" t="n">
        <x:f>MEDIAN(_xlfn._xlws.FILTER('Raw Data'!$CC$2:$CC$65/'Raw Data'!$F$2:$F$65,('Raw Data'!$Z$2:$Z$65="zoomed")))</x:f>
        <x:v>0.1225</x:v>
      </x:c>
      <x:c r="J31" s="108" t="n">
        <x:f>QUARTILE.INC(_xlfn._xlws.FILTER('Raw Data'!$CC$2:$CC$65/'Raw Data'!$F$2:$F$65,('Raw Data'!$Z$2:$Z$65="zoomed")),3)-QUARTILE.INC(_xlfn._xlws.FILTER('Raw Data'!$CC$2:$CC$65/'Raw Data'!$F$2:$F$65,('Raw Data'!$Z$2:$Z$65="zoomed")),1)</x:f>
        <x:v>0.05399999999999999</x:v>
      </x:c>
      <x:c r="K31" s="110" t="n">
        <x:f>MEDIAN(_xlfn._xlws.FILTER('Raw Data'!$CD$2:$CD$65,('Raw Data'!$Z$2:$Z$65="zoomed")))</x:f>
        <x:v>19.57765955006471</x:v>
      </x:c>
      <x:c r="L31" s="110" t="n">
        <x:f>QUARTILE.INC(_xlfn._xlws.FILTER('Raw Data'!$CD$2:$CD$65,('Raw Data'!$Z$2:$Z$65="zoomed")),3)-QUARTILE.INC(_xlfn._xlws.FILTER('Raw Data'!$CD$2:$CD$65,('Raw Data'!$Z$2:$Z$65="zoomed")),1)</x:f>
        <x:v>31.304805850115365</x:v>
      </x:c>
      <x:c r="M31" s="188" t="n">
        <x:f>SUMIFS('Raw Data'!$BN$2:$BN$65,'Raw Data'!$Z$2:$Z$65,"zoomed")</x:f>
        <x:v>1</x:v>
      </x:c>
      <x:c r="N31" s="188" t="n">
        <x:f>SUMIFS('Raw Data'!$BZ$2:$BZ$65,'Raw Data'!$Z$2:$Z$65,"zoomed")</x:f>
        <x:v>0</x:v>
      </x:c>
    </x:row>
    <x:row r="32">
      <x:c r="A32" s="106" t="str">
        <x:v>ich</x:v>
      </x:c>
      <x:c r="B32" s="192" t="str">
        <x:v>entropy</x:v>
      </x:c>
      <x:c r="C32" s="106" t="n">
        <x:f>COUNTIFS('Raw Data'!$Z$2:$Z$65,"ich")</x:f>
        <x:v>16</x:v>
      </x:c>
      <x:c r="D32" s="112" t="n">
        <x:f>IF(C32=0,0,COUNTIFS('Raw Data'!$Z$2:$Z$65,"ich",'Raw Data'!$AI$2:$AI$65,"True")/C32)</x:f>
        <x:v>1</x:v>
      </x:c>
      <x:c r="E32" s="112" t="n">
        <x:f>IF(C32=0,0,COUNTIFS('Raw Data'!$Z$2:$Z$65,"ich",'Raw Data'!$AL$2:$AL$65,"&gt;0")/C32)</x:f>
        <x:v>0</x:v>
      </x:c>
      <x:c r="F32" s="112" t="n">
        <x:f>IF(C32=0,0,COUNTIFS('Raw Data'!$Z$2:$Z$65,"ich",'Raw Data'!$BC$2:$BC$65,"True")/C32)</x:f>
        <x:v>1</x:v>
      </x:c>
      <x:c r="G32" s="186" t="n">
        <x:f>MEDIAN(_xlfn._xlws.FILTER('Raw Data'!$BA$2:$BA$65,('Raw Data'!$Z$2:$Z$65="ich")))</x:f>
        <x:v>105.5</x:v>
      </x:c>
      <x:c r="H32" s="186" t="n">
        <x:f>AVERAGE(_xlfn._xlws.FILTER('Raw Data'!$BA$2:$BA$65,('Raw Data'!$Z$2:$Z$65="ich")))</x:f>
        <x:v>113.0625</x:v>
      </x:c>
      <x:c r="I32" s="108" t="n">
        <x:f>MEDIAN(_xlfn._xlws.FILTER('Raw Data'!$BA$2:$BA$65/'Raw Data'!$F$2:$F$65,('Raw Data'!$Z$2:$Z$65="ich")))</x:f>
        <x:v>0.10550000000000001</x:v>
      </x:c>
      <x:c r="J32" s="108" t="n">
        <x:f>QUARTILE.INC(_xlfn._xlws.FILTER('Raw Data'!$BA$2:$BA$65/'Raw Data'!$F$2:$F$65,('Raw Data'!$Z$2:$Z$65="ich")),3)-QUARTILE.INC(_xlfn._xlws.FILTER('Raw Data'!$BA$2:$BA$65/'Raw Data'!$F$2:$F$65,('Raw Data'!$Z$2:$Z$65="ich")),1)</x:f>
        <x:v>0.038500000000000006</x:v>
      </x:c>
      <x:c r="K32" s="110" t="n">
        <x:f>MEDIAN(_xlfn._xlws.FILTER('Raw Data'!$BB$2:$BB$65,('Raw Data'!$Z$2:$Z$65="ich")))</x:f>
        <x:v>192.43421834998298</x:v>
      </x:c>
      <x:c r="L32" s="110" t="n">
        <x:f>QUARTILE.INC(_xlfn._xlws.FILTER('Raw Data'!$BB$2:$BB$65,('Raw Data'!$Z$2:$Z$65="ich")),3)-QUARTILE.INC(_xlfn._xlws.FILTER('Raw Data'!$BB$2:$BB$65,('Raw Data'!$Z$2:$Z$65="ich")),1)</x:f>
        <x:v>50.57446347505902</x:v>
      </x:c>
      <x:c r="M32" s="188" t="n">
        <x:f>SUMIFS('Raw Data'!$AL$2:$AL$65,'Raw Data'!$Z$2:$Z$65,"ich")</x:f>
        <x:v>0</x:v>
      </x:c>
      <x:c r="N32" s="188" t="n">
        <x:f>SUMIFS('Raw Data'!$AX$2:$AX$65,'Raw Data'!$Z$2:$Z$65,"ich")</x:f>
        <x:v>79</x:v>
      </x:c>
    </x:row>
    <x:row r="33">
      <x:c r="A33" s="106" t="str">
        <x:v>ich</x:v>
      </x:c>
      <x:c r="B33" s="194" t="str">
        <x:v>collision</x:v>
      </x:c>
      <x:c r="C33" s="106" t="n">
        <x:f>COUNTIFS('Raw Data'!$Z$2:$Z$65,"ich")</x:f>
        <x:v>16</x:v>
      </x:c>
      <x:c r="D33" s="112" t="n">
        <x:f>IF(C33=0,0,COUNTIFS('Raw Data'!$Z$2:$Z$65,"ich",'Raw Data'!$BK$2:$BK$65,"True")/C33)</x:f>
        <x:v>1</x:v>
      </x:c>
      <x:c r="E33" s="112" t="n">
        <x:f>IF(C33=0,0,COUNTIFS('Raw Data'!$Z$2:$Z$65,"ich",'Raw Data'!$BN$2:$BN$65,"&gt;0")/C33)</x:f>
        <x:v>0</x:v>
      </x:c>
      <x:c r="F33" s="112" t="n">
        <x:f>IF(C33=0,0,COUNTIFS('Raw Data'!$Z$2:$Z$65,"ich",'Raw Data'!$CE$2:$CE$65,"True")/C33)</x:f>
        <x:v>1</x:v>
      </x:c>
      <x:c r="G33" s="186" t="n">
        <x:f>MEDIAN(_xlfn._xlws.FILTER('Raw Data'!$CC$2:$CC$65,('Raw Data'!$Z$2:$Z$65="ich")))</x:f>
        <x:v>105.5</x:v>
      </x:c>
      <x:c r="H33" s="186" t="n">
        <x:f>AVERAGE(_xlfn._xlws.FILTER('Raw Data'!$CC$2:$CC$65,('Raw Data'!$Z$2:$Z$65="ich")))</x:f>
        <x:v>113.25</x:v>
      </x:c>
      <x:c r="I33" s="108" t="n">
        <x:f>MEDIAN(_xlfn._xlws.FILTER('Raw Data'!$CC$2:$CC$65/'Raw Data'!$F$2:$F$65,('Raw Data'!$Z$2:$Z$65="ich")))</x:f>
        <x:v>0.10550000000000001</x:v>
      </x:c>
      <x:c r="J33" s="108" t="n">
        <x:f>QUARTILE.INC(_xlfn._xlws.FILTER('Raw Data'!$CC$2:$CC$65/'Raw Data'!$F$2:$F$65,('Raw Data'!$Z$2:$Z$65="ich")),3)-QUARTILE.INC(_xlfn._xlws.FILTER('Raw Data'!$CC$2:$CC$65/'Raw Data'!$F$2:$F$65,('Raw Data'!$Z$2:$Z$65="ich")),1)</x:f>
        <x:v>0.03950000000000001</x:v>
      </x:c>
      <x:c r="K33" s="110" t="n">
        <x:f>MEDIAN(_xlfn._xlws.FILTER('Raw Data'!$CD$2:$CD$65,('Raw Data'!$Z$2:$Z$65="ich")))</x:f>
        <x:v>180.73118585004704</x:v>
      </x:c>
      <x:c r="L33" s="110" t="n">
        <x:f>QUARTILE.INC(_xlfn._xlws.FILTER('Raw Data'!$CD$2:$CD$65,('Raw Data'!$Z$2:$Z$65="ich")),3)-QUARTILE.INC(_xlfn._xlws.FILTER('Raw Data'!$CD$2:$CD$65,('Raw Data'!$Z$2:$Z$65="ich")),1)</x:f>
        <x:v>50.83117000004859</x:v>
      </x:c>
      <x:c r="M33" s="188" t="n">
        <x:f>SUMIFS('Raw Data'!$BN$2:$BN$65,'Raw Data'!$Z$2:$Z$65,"ich")</x:f>
        <x:v>0</x:v>
      </x:c>
      <x:c r="N33" s="188" t="n">
        <x:f>SUMIFS('Raw Data'!$BZ$2:$BZ$65,'Raw Data'!$Z$2:$Z$65,"ich")</x:f>
        <x:v>86</x:v>
      </x:c>
    </x:row>
  </x:sheetData>
  <x:mergeCells>
    <x:mergeCell ref="A1:N2"/>
    <x:mergeCell ref="A3:N3"/>
    <x:mergeCell ref="A4:N4"/>
    <x:mergeCell ref="A16:L16"/>
    <x:mergeCell ref="A24:N24"/>
  </x:mergeCells>
  <x:pageMargins left="0.7" right="0.7" top="0.75" bottom="0.75" header="0.3" footer="0.3"/>
  <x:tableParts count="3">
    <x:tablePart xmlns:r="http://schemas.openxmlformats.org/officeDocument/2006/relationships" r:id="R72bd8ea0704e4318"/>
    <x:tablePart xmlns:r="http://schemas.openxmlformats.org/officeDocument/2006/relationships" r:id="R20864c78f20d47d5"/>
    <x:tablePart xmlns:r="http://schemas.openxmlformats.org/officeDocument/2006/relationships" r:id="Ra238887418c5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0" customHeight="1">
      <x:c r="A1" s="8" t="str">
        <x:v>n=1000 results by radius, method, and scoring rule</x:v>
      </x:c>
      <x:c r="B1" s="8" t="str">
        <x:v>n=1000 results by radius, method, and scoring rule</x:v>
      </x:c>
      <x:c r="C1" s="8" t="str">
        <x:v>n=1000 results by radius, method, and scoring rule</x:v>
      </x:c>
      <x:c r="D1" s="8" t="str">
        <x:v>n=1000 results by radius, method, and scoring rule</x:v>
      </x:c>
      <x:c r="E1" s="8" t="str">
        <x:v>n=1000 results by radius, method, and scoring rule</x:v>
      </x:c>
      <x:c r="F1" s="8" t="str">
        <x:v>n=1000 results by radius, method, and scoring rule</x:v>
      </x:c>
      <x:c r="G1" s="8" t="str">
        <x:v>n=1000 results by radius, method, and scoring rule</x:v>
      </x:c>
      <x:c r="H1" s="8" t="str">
        <x:v>n=1000 results by radius, method, and scoring rule</x:v>
      </x:c>
      <x:c r="I1" s="8" t="str">
        <x:v>n=1000 results by radius, method, and scoring rule</x:v>
      </x:c>
      <x:c r="J1" s="8" t="str">
        <x:v>n=1000 results by radius, method, and scoring rule</x:v>
      </x:c>
      <x:c r="K1" s="8" t="str">
        <x:v>n=1000 results by radius, method, and scoring rule</x:v>
      </x:c>
      <x:c r="L1" s="8" t="str">
        <x:v>n=1000 results by radius, method, and scoring rule</x:v>
      </x:c>
      <x:c r="M1" s="8" t="str">
        <x:v>n=1000 results by radius, method, and scoring rule</x:v>
      </x:c>
      <x:c r="N1" s="8" t="str">
        <x:v>n=1000 results by radius, method, and scoring rule</x:v>
      </x:c>
      <x:c r="O1" s="8" t="str">
        <x:v>n=1000 results by radius, method, and scoring rule</x:v>
      </x:c>
      <x:c r="P1" s="8" t="str">
        <x:v>n=1000 results by radius, method, and scoring rule</x:v>
      </x:c>
      <x:c r="Q1" s="8" t="str">
        <x:v>n=1000 results by radius, method, and scoring rule</x:v>
      </x:c>
    </x:row>
    <x:row r="2" ht="30" customHeight="1">
      <x:c r="A2" s="8" t="str">
        <x:v>n=1000 results by radius, method, and scoring rule</x:v>
      </x:c>
      <x:c r="B2" s="8" t="str">
        <x:v>n=1000 results by radius, method, and scoring rule</x:v>
      </x:c>
      <x:c r="C2" s="8" t="str">
        <x:v>n=1000 results by radius, method, and scoring rule</x:v>
      </x:c>
      <x:c r="D2" s="8" t="str">
        <x:v>n=1000 results by radius, method, and scoring rule</x:v>
      </x:c>
      <x:c r="E2" s="8" t="str">
        <x:v>n=1000 results by radius, method, and scoring rule</x:v>
      </x:c>
      <x:c r="F2" s="8" t="str">
        <x:v>n=1000 results by radius, method, and scoring rule</x:v>
      </x:c>
      <x:c r="G2" s="8" t="str">
        <x:v>n=1000 results by radius, method, and scoring rule</x:v>
      </x:c>
      <x:c r="H2" s="8" t="str">
        <x:v>n=1000 results by radius, method, and scoring rule</x:v>
      </x:c>
      <x:c r="I2" s="8" t="str">
        <x:v>n=1000 results by radius, method, and scoring rule</x:v>
      </x:c>
      <x:c r="J2" s="8" t="str">
        <x:v>n=1000 results by radius, method, and scoring rule</x:v>
      </x:c>
      <x:c r="K2" s="8" t="str">
        <x:v>n=1000 results by radius, method, and scoring rule</x:v>
      </x:c>
      <x:c r="L2" s="8" t="str">
        <x:v>n=1000 results by radius, method, and scoring rule</x:v>
      </x:c>
      <x:c r="M2" s="8" t="str">
        <x:v>n=1000 results by radius, method, and scoring rule</x:v>
      </x:c>
      <x:c r="N2" s="8" t="str">
        <x:v>n=1000 results by radius, method, and scoring rule</x:v>
      </x:c>
      <x:c r="O2" s="8" t="str">
        <x:v>n=1000 results by radius, method, and scoring rule</x:v>
      </x:c>
      <x:c r="P2" s="8" t="str">
        <x:v>n=1000 results by radius, method, and scoring rule</x:v>
      </x:c>
      <x:c r="Q2" s="8" t="str">
        <x:v>n=1000 results by radius, method, and scoring rule</x:v>
      </x:c>
    </x:row>
    <x:row r="3" ht="32" customHeight="1">
      <x:c r="A3" s="16" t="str">
        <x:v>Use this sheet to inspect density and scale effects. Connected-only cells are blank where no connected graph was generated.</x:v>
      </x:c>
      <x:c r="B3" s="16" t="str">
        <x:v>Use this sheet to inspect density and scale effects. Connected-only cells are blank where no connected graph was generated.</x:v>
      </x:c>
      <x:c r="C3" s="16" t="str">
        <x:v>Use this sheet to inspect density and scale effects. Connected-only cells are blank where no connected graph was generated.</x:v>
      </x:c>
      <x:c r="D3" s="16" t="str">
        <x:v>Use this sheet to inspect density and scale effects. Connected-only cells are blank where no connected graph was generated.</x:v>
      </x:c>
      <x:c r="E3" s="16" t="str">
        <x:v>Use this sheet to inspect density and scale effects. Connected-only cells are blank where no connected graph was generated.</x:v>
      </x:c>
      <x:c r="F3" s="16" t="str">
        <x:v>Use this sheet to inspect density and scale effects. Connected-only cells are blank where no connected graph was generated.</x:v>
      </x:c>
      <x:c r="G3" s="16" t="str">
        <x:v>Use this sheet to inspect density and scale effects. Connected-only cells are blank where no connected graph was generated.</x:v>
      </x:c>
      <x:c r="H3" s="16" t="str">
        <x:v>Use this sheet to inspect density and scale effects. Connected-only cells are blank where no connected graph was generated.</x:v>
      </x:c>
      <x:c r="I3" s="16" t="str">
        <x:v>Use this sheet to inspect density and scale effects. Connected-only cells are blank where no connected graph was generated.</x:v>
      </x:c>
      <x:c r="J3" s="16" t="str">
        <x:v>Use this sheet to inspect density and scale effects. Connected-only cells are blank where no connected graph was generated.</x:v>
      </x:c>
      <x:c r="K3" s="16" t="str">
        <x:v>Use this sheet to inspect density and scale effects. Connected-only cells are blank where no connected graph was generated.</x:v>
      </x:c>
      <x:c r="L3" s="16" t="str">
        <x:v>Use this sheet to inspect density and scale effects. Connected-only cells are blank where no connected graph was generated.</x:v>
      </x:c>
      <x:c r="M3" s="16" t="str">
        <x:v>Use this sheet to inspect density and scale effects. Connected-only cells are blank where no connected graph was generated.</x:v>
      </x:c>
      <x:c r="N3" s="16" t="str">
        <x:v>Use this sheet to inspect density and scale effects. Connected-only cells are blank where no connected graph was generated.</x:v>
      </x:c>
      <x:c r="O3" s="16" t="str">
        <x:v>Use this sheet to inspect density and scale effects. Connected-only cells are blank where no connected graph was generated.</x:v>
      </x:c>
      <x:c r="P3" s="16" t="str">
        <x:v>Use this sheet to inspect density and scale effects. Connected-only cells are blank where no connected graph was generated.</x:v>
      </x:c>
      <x:c r="Q3" s="16" t="str">
        <x:v>Use this sheet to inspect density and scale effects. Connected-only cells are blank where no connected graph was generated.</x:v>
      </x:c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</x:row>
    <x:row r="5" ht="34" customHeight="1">
      <x:c r="A5" s="100" t="str">
        <x:v>n</x:v>
      </x:c>
      <x:c r="B5" s="100" t="str">
        <x:v>Radius</x:v>
      </x:c>
      <x:c r="C5" s="100" t="str">
        <x:v>Family</x:v>
      </x:c>
      <x:c r="D5" s="100" t="str">
        <x:v>Strategy</x:v>
      </x:c>
      <x:c r="E5" s="100" t="str">
        <x:v>Runs</x:v>
      </x:c>
      <x:c r="F5" s="100" t="str">
        <x:v>Connected runs</x:v>
      </x:c>
      <x:c r="G5" s="100" t="str">
        <x:v>Mean degree</x:v>
      </x:c>
      <x:c r="H5" s="100" t="str">
        <x:v>Mean density</x:v>
      </x:c>
      <x:c r="I5" s="100" t="str">
        <x:v>Raw valid %</x:v>
      </x:c>
      <x:c r="J5" s="100" t="str">
        <x:v>Repair needed %</x:v>
      </x:c>
      <x:c r="K5" s="100" t="str">
        <x:v>Final valid %</x:v>
      </x:c>
      <x:c r="L5" s="100" t="str">
        <x:v>Common-prune removals</x:v>
      </x:c>
      <x:c r="M5" s="100" t="str">
        <x:v>Median final size</x:v>
      </x:c>
      <x:c r="N5" s="100" t="str">
        <x:v>Median size / n (all)</x:v>
      </x:c>
      <x:c r="O5" s="100" t="str">
        <x:v>Median seconds (all)</x:v>
      </x:c>
      <x:c r="P5" s="100" t="str">
        <x:v>Median size / n (connected)</x:v>
      </x:c>
      <x:c r="Q5" s="100" t="str">
        <x:v>Median seconds (connected)</x:v>
      </x:c>
    </x:row>
    <x:row r="6">
      <x:c r="A6" s="106" t="n">
        <x:v>1000</x:v>
      </x:c>
      <x:c r="B6" s="106" t="n">
        <x:v>0.1</x:v>
      </x:c>
      <x:c r="C6" s="106" t="str">
        <x:v>grid</x:v>
      </x:c>
      <x:c r="D6" s="190" t="str">
        <x:v>entropy</x:v>
      </x:c>
      <x:c r="E6" s="106" t="n">
        <x:f>COUNTIFS('Raw Data'!$F$2:$F$65,1000,'Raw Data'!$G$2:$G$65,0.1,'Raw Data'!$Z$2:$Z$65,"grid")</x:f>
        <x:v>4</x:v>
      </x:c>
      <x:c r="F6" s="106" t="n">
        <x:f>COUNTIFS('Raw Data'!$F$2:$F$65,1000,'Raw Data'!$G$2:$G$65,0.1,'Raw Data'!$Z$2:$Z$65,"grid",'Raw Data'!$N$2:$N$65,"True")</x:f>
        <x:v>4</x:v>
      </x:c>
      <x:c r="G6" s="106" t="n">
        <x:f>AVERAGE(_xlfn._xlws.FILTER('Raw Data'!$P$2:$P$65,('Raw Data'!$F$2:$F$65=1000)*('Raw Data'!$G$2:$G$65=0.1)*('Raw Data'!$Z$2:$Z$65="grid")))</x:f>
        <x:v>28.550000000000004</x:v>
      </x:c>
      <x:c r="H6" s="110" t="n">
        <x:f>AVERAGE(_xlfn._xlws.FILTER('Raw Data'!$T$2:$T$65,('Raw Data'!$F$2:$F$65=1000)*('Raw Data'!$G$2:$G$65=0.1)*('Raw Data'!$Z$2:$Z$65="grid")))</x:f>
        <x:v>0.02857857857857858</x:v>
      </x:c>
      <x:c r="I6" s="112" t="n">
        <x:f>COUNTIFS('Raw Data'!$F$2:$F$65,1000,'Raw Data'!$G$2:$G$65,0.1,'Raw Data'!$Z$2:$Z$65,"grid",'Raw Data'!$AI$2:$AI$65,"True")/E6</x:f>
        <x:v>1</x:v>
      </x:c>
      <x:c r="J6" s="112" t="n">
        <x:f>COUNTIFS('Raw Data'!$F$2:$F$65,1000,'Raw Data'!$G$2:$G$65,0.1,'Raw Data'!$Z$2:$Z$65,"grid",'Raw Data'!$AL$2:$AL$65,"&gt;0")/E6</x:f>
        <x:v>0</x:v>
      </x:c>
      <x:c r="K6" s="112" t="n">
        <x:f>COUNTIFS('Raw Data'!$F$2:$F$65,1000,'Raw Data'!$G$2:$G$65,0.1,'Raw Data'!$Z$2:$Z$65,"grid",'Raw Data'!$BC$2:$BC$65,"True")/E6</x:f>
        <x:v>1</x:v>
      </x:c>
      <x:c r="L6" s="106" t="n">
        <x:f>SUM(_xlfn._xlws.FILTER('Raw Data'!$AX$2:$AX$65,('Raw Data'!$F$2:$F$65=1000)*('Raw Data'!$G$2:$G$65=0.1)*('Raw Data'!$Z$2:$Z$65="grid")))</x:f>
        <x:v>0</x:v>
      </x:c>
      <x:c r="M6" s="106" t="n">
        <x:f>MEDIAN(_xlfn._xlws.FILTER('Raw Data'!$BA$2:$BA$65,('Raw Data'!$F$2:$F$65=1000)*('Raw Data'!$G$2:$G$65=0.1)*('Raw Data'!$Z$2:$Z$65="grid")))</x:f>
        <x:v>94.5</x:v>
      </x:c>
      <x:c r="N6" s="108" t="n">
        <x:f>MEDIAN(_xlfn._xlws.FILTER('Raw Data'!$BA$2:$BA$65/'Raw Data'!$F$2:$F$65,('Raw Data'!$F$2:$F$65=1000)*('Raw Data'!$G$2:$G$65=0.1)*('Raw Data'!$Z$2:$Z$65="grid")))</x:f>
        <x:v>0.0945</x:v>
      </x:c>
      <x:c r="O6" s="110" t="n">
        <x:f>MEDIAN(_xlfn._xlws.FILTER('Raw Data'!$BB$2:$BB$65,('Raw Data'!$F$2:$F$65=1000)*('Raw Data'!$G$2:$G$65=0.1)*('Raw Data'!$Z$2:$Z$65="grid")))</x:f>
        <x:v>6.287331500090659</x:v>
      </x:c>
      <x:c r="P6" s="108" t="n">
        <x:f>IF(F6=0,"",MEDIAN(_xlfn._xlws.FILTER('Raw Data'!$BA$2:$BA$65/'Raw Data'!$F$2:$F$65,('Raw Data'!$F$2:$F$65=1000)*('Raw Data'!$G$2:$G$65=0.1)*('Raw Data'!$Z$2:$Z$65="grid")*('Raw Data'!$N$2:$N$65="True"))))</x:f>
        <x:v>0.0945</x:v>
      </x:c>
      <x:c r="Q6" s="110" t="n">
        <x:f>IF(F6=0,"",MEDIAN(_xlfn._xlws.FILTER('Raw Data'!$BB$2:$BB$65,('Raw Data'!$F$2:$F$65=1000)*('Raw Data'!$G$2:$G$65=0.1)*('Raw Data'!$Z$2:$Z$65="grid")*('Raw Data'!$N$2:$N$65="True"))))</x:f>
        <x:v>6.287331500090659</x:v>
      </x:c>
    </x:row>
    <x:row r="7">
      <x:c r="A7" s="106" t="n">
        <x:v>1000</x:v>
      </x:c>
      <x:c r="B7" s="106" t="n">
        <x:v>0.1</x:v>
      </x:c>
      <x:c r="C7" s="106" t="str">
        <x:v>grid</x:v>
      </x:c>
      <x:c r="D7" s="114" t="str">
        <x:v>collision</x:v>
      </x:c>
      <x:c r="E7" s="106" t="n">
        <x:f>COUNTIFS('Raw Data'!$F$2:$F$65,1000,'Raw Data'!$G$2:$G$65,0.1,'Raw Data'!$Z$2:$Z$65,"grid")</x:f>
        <x:v>4</x:v>
      </x:c>
      <x:c r="F7" s="106" t="n">
        <x:f>COUNTIFS('Raw Data'!$F$2:$F$65,1000,'Raw Data'!$G$2:$G$65,0.1,'Raw Data'!$Z$2:$Z$65,"grid",'Raw Data'!$N$2:$N$65,"True")</x:f>
        <x:v>4</x:v>
      </x:c>
      <x:c r="G7" s="106" t="n">
        <x:f>AVERAGE(_xlfn._xlws.FILTER('Raw Data'!$P$2:$P$65,('Raw Data'!$F$2:$F$65=1000)*('Raw Data'!$G$2:$G$65=0.1)*('Raw Data'!$Z$2:$Z$65="grid")))</x:f>
        <x:v>28.550000000000004</x:v>
      </x:c>
      <x:c r="H7" s="110" t="n">
        <x:f>AVERAGE(_xlfn._xlws.FILTER('Raw Data'!$T$2:$T$65,('Raw Data'!$F$2:$F$65=1000)*('Raw Data'!$G$2:$G$65=0.1)*('Raw Data'!$Z$2:$Z$65="grid")))</x:f>
        <x:v>0.02857857857857858</x:v>
      </x:c>
      <x:c r="I7" s="112" t="n">
        <x:f>COUNTIFS('Raw Data'!$F$2:$F$65,1000,'Raw Data'!$G$2:$G$65,0.1,'Raw Data'!$Z$2:$Z$65,"grid",'Raw Data'!$BK$2:$BK$65,"True")/E7</x:f>
        <x:v>1</x:v>
      </x:c>
      <x:c r="J7" s="112" t="n">
        <x:f>COUNTIFS('Raw Data'!$F$2:$F$65,1000,'Raw Data'!$G$2:$G$65,0.1,'Raw Data'!$Z$2:$Z$65,"grid",'Raw Data'!$BN$2:$BN$65,"&gt;0")/E7</x:f>
        <x:v>0</x:v>
      </x:c>
      <x:c r="K7" s="112" t="n">
        <x:f>COUNTIFS('Raw Data'!$F$2:$F$65,1000,'Raw Data'!$G$2:$G$65,0.1,'Raw Data'!$Z$2:$Z$65,"grid",'Raw Data'!$CE$2:$CE$65,"True")/E7</x:f>
        <x:v>1</x:v>
      </x:c>
      <x:c r="L7" s="106" t="n">
        <x:f>SUM(_xlfn._xlws.FILTER('Raw Data'!$BZ$2:$BZ$65,('Raw Data'!$F$2:$F$65=1000)*('Raw Data'!$G$2:$G$65=0.1)*('Raw Data'!$Z$2:$Z$65="grid")))</x:f>
        <x:v>0</x:v>
      </x:c>
      <x:c r="M7" s="106" t="n">
        <x:f>MEDIAN(_xlfn._xlws.FILTER('Raw Data'!$CC$2:$CC$65,('Raw Data'!$F$2:$F$65=1000)*('Raw Data'!$G$2:$G$65=0.1)*('Raw Data'!$Z$2:$Z$65="grid")))</x:f>
        <x:v>97</x:v>
      </x:c>
      <x:c r="N7" s="108" t="n">
        <x:f>MEDIAN(_xlfn._xlws.FILTER('Raw Data'!$CC$2:$CC$65/'Raw Data'!$F$2:$F$65,('Raw Data'!$F$2:$F$65=1000)*('Raw Data'!$G$2:$G$65=0.1)*('Raw Data'!$Z$2:$Z$65="grid")))</x:f>
        <x:v>0.097</x:v>
      </x:c>
      <x:c r="O7" s="110" t="n">
        <x:f>MEDIAN(_xlfn._xlws.FILTER('Raw Data'!$CD$2:$CD$65,('Raw Data'!$F$2:$F$65=1000)*('Raw Data'!$G$2:$G$65=0.1)*('Raw Data'!$Z$2:$Z$65="grid")))</x:f>
        <x:v>3.363654449931346</x:v>
      </x:c>
      <x:c r="P7" s="108" t="n">
        <x:f>IF(F7=0,"",MEDIAN(_xlfn._xlws.FILTER('Raw Data'!$CC$2:$CC$65/'Raw Data'!$F$2:$F$65,('Raw Data'!$F$2:$F$65=1000)*('Raw Data'!$G$2:$G$65=0.1)*('Raw Data'!$Z$2:$Z$65="grid")*('Raw Data'!$N$2:$N$65="True"))))</x:f>
        <x:v>0.097</x:v>
      </x:c>
      <x:c r="Q7" s="110" t="n">
        <x:f>IF(F7=0,"",MEDIAN(_xlfn._xlws.FILTER('Raw Data'!$CD$2:$CD$65,('Raw Data'!$F$2:$F$65=1000)*('Raw Data'!$G$2:$G$65=0.1)*('Raw Data'!$Z$2:$Z$65="grid")*('Raw Data'!$N$2:$N$65="True"))))</x:f>
        <x:v>3.363654449931346</x:v>
      </x:c>
    </x:row>
    <x:row r="8">
      <x:c r="A8" s="106" t="n">
        <x:v>1000</x:v>
      </x:c>
      <x:c r="B8" s="106" t="n">
        <x:v>0.1</x:v>
      </x:c>
      <x:c r="C8" s="106" t="str">
        <x:v>circle</x:v>
      </x:c>
      <x:c r="D8" s="190" t="str">
        <x:v>entropy</x:v>
      </x:c>
      <x:c r="E8" s="106" t="n">
        <x:f>COUNTIFS('Raw Data'!$F$2:$F$65,1000,'Raw Data'!$G$2:$G$65,0.1,'Raw Data'!$Z$2:$Z$65,"circle")</x:f>
        <x:v>4</x:v>
      </x:c>
      <x:c r="F8" s="106" t="n">
        <x:f>COUNTIFS('Raw Data'!$F$2:$F$65,1000,'Raw Data'!$G$2:$G$65,0.1,'Raw Data'!$Z$2:$Z$65,"circle",'Raw Data'!$N$2:$N$65,"True")</x:f>
        <x:v>4</x:v>
      </x:c>
      <x:c r="G8" s="106" t="n">
        <x:f>AVERAGE(_xlfn._xlws.FILTER('Raw Data'!$P$2:$P$65,('Raw Data'!$F$2:$F$65=1000)*('Raw Data'!$G$2:$G$65=0.1)*('Raw Data'!$Z$2:$Z$65="circle")))</x:f>
        <x:v>28.550000000000004</x:v>
      </x:c>
      <x:c r="H8" s="110" t="n">
        <x:f>AVERAGE(_xlfn._xlws.FILTER('Raw Data'!$T$2:$T$65,('Raw Data'!$F$2:$F$65=1000)*('Raw Data'!$G$2:$G$65=0.1)*('Raw Data'!$Z$2:$Z$65="circle")))</x:f>
        <x:v>0.02857857857857858</x:v>
      </x:c>
      <x:c r="I8" s="112" t="n">
        <x:f>COUNTIFS('Raw Data'!$F$2:$F$65,1000,'Raw Data'!$G$2:$G$65,0.1,'Raw Data'!$Z$2:$Z$65,"circle",'Raw Data'!$AI$2:$AI$65,"True")/E8</x:f>
        <x:v>1</x:v>
      </x:c>
      <x:c r="J8" s="112" t="n">
        <x:f>COUNTIFS('Raw Data'!$F$2:$F$65,1000,'Raw Data'!$G$2:$G$65,0.1,'Raw Data'!$Z$2:$Z$65,"circle",'Raw Data'!$AL$2:$AL$65,"&gt;0")/E8</x:f>
        <x:v>0</x:v>
      </x:c>
      <x:c r="K8" s="112" t="n">
        <x:f>COUNTIFS('Raw Data'!$F$2:$F$65,1000,'Raw Data'!$G$2:$G$65,0.1,'Raw Data'!$Z$2:$Z$65,"circle",'Raw Data'!$BC$2:$BC$65,"True")/E8</x:f>
        <x:v>1</x:v>
      </x:c>
      <x:c r="L8" s="106" t="n">
        <x:f>SUM(_xlfn._xlws.FILTER('Raw Data'!$AX$2:$AX$65,('Raw Data'!$F$2:$F$65=1000)*('Raw Data'!$G$2:$G$65=0.1)*('Raw Data'!$Z$2:$Z$65="circle")))</x:f>
        <x:v>0</x:v>
      </x:c>
      <x:c r="M8" s="106" t="n">
        <x:f>MEDIAN(_xlfn._xlws.FILTER('Raw Data'!$BA$2:$BA$65,('Raw Data'!$F$2:$F$65=1000)*('Raw Data'!$G$2:$G$65=0.1)*('Raw Data'!$Z$2:$Z$65="circle")))</x:f>
        <x:v>96.5</x:v>
      </x:c>
      <x:c r="N8" s="108" t="n">
        <x:f>MEDIAN(_xlfn._xlws.FILTER('Raw Data'!$BA$2:$BA$65/'Raw Data'!$F$2:$F$65,('Raw Data'!$F$2:$F$65=1000)*('Raw Data'!$G$2:$G$65=0.1)*('Raw Data'!$Z$2:$Z$65="circle")))</x:f>
        <x:v>0.0965</x:v>
      </x:c>
      <x:c r="O8" s="110" t="n">
        <x:f>MEDIAN(_xlfn._xlws.FILTER('Raw Data'!$BB$2:$BB$65,('Raw Data'!$F$2:$F$65=1000)*('Raw Data'!$G$2:$G$65=0.1)*('Raw Data'!$Z$2:$Z$65="circle")))</x:f>
        <x:v>6.425057499902323</x:v>
      </x:c>
      <x:c r="P8" s="108" t="n">
        <x:f>IF(F8=0,"",MEDIAN(_xlfn._xlws.FILTER('Raw Data'!$BA$2:$BA$65/'Raw Data'!$F$2:$F$65,('Raw Data'!$F$2:$F$65=1000)*('Raw Data'!$G$2:$G$65=0.1)*('Raw Data'!$Z$2:$Z$65="circle")*('Raw Data'!$N$2:$N$65="True"))))</x:f>
        <x:v>0.0965</x:v>
      </x:c>
      <x:c r="Q8" s="110" t="n">
        <x:f>IF(F8=0,"",MEDIAN(_xlfn._xlws.FILTER('Raw Data'!$BB$2:$BB$65,('Raw Data'!$F$2:$F$65=1000)*('Raw Data'!$G$2:$G$65=0.1)*('Raw Data'!$Z$2:$Z$65="circle")*('Raw Data'!$N$2:$N$65="True"))))</x:f>
        <x:v>6.425057499902323</x:v>
      </x:c>
    </x:row>
    <x:row r="9">
      <x:c r="A9" s="106" t="n">
        <x:v>1000</x:v>
      </x:c>
      <x:c r="B9" s="106" t="n">
        <x:v>0.1</x:v>
      </x:c>
      <x:c r="C9" s="106" t="str">
        <x:v>circle</x:v>
      </x:c>
      <x:c r="D9" s="114" t="str">
        <x:v>collision</x:v>
      </x:c>
      <x:c r="E9" s="106" t="n">
        <x:f>COUNTIFS('Raw Data'!$F$2:$F$65,1000,'Raw Data'!$G$2:$G$65,0.1,'Raw Data'!$Z$2:$Z$65,"circle")</x:f>
        <x:v>4</x:v>
      </x:c>
      <x:c r="F9" s="106" t="n">
        <x:f>COUNTIFS('Raw Data'!$F$2:$F$65,1000,'Raw Data'!$G$2:$G$65,0.1,'Raw Data'!$Z$2:$Z$65,"circle",'Raw Data'!$N$2:$N$65,"True")</x:f>
        <x:v>4</x:v>
      </x:c>
      <x:c r="G9" s="106" t="n">
        <x:f>AVERAGE(_xlfn._xlws.FILTER('Raw Data'!$P$2:$P$65,('Raw Data'!$F$2:$F$65=1000)*('Raw Data'!$G$2:$G$65=0.1)*('Raw Data'!$Z$2:$Z$65="circle")))</x:f>
        <x:v>28.550000000000004</x:v>
      </x:c>
      <x:c r="H9" s="110" t="n">
        <x:f>AVERAGE(_xlfn._xlws.FILTER('Raw Data'!$T$2:$T$65,('Raw Data'!$F$2:$F$65=1000)*('Raw Data'!$G$2:$G$65=0.1)*('Raw Data'!$Z$2:$Z$65="circle")))</x:f>
        <x:v>0.02857857857857858</x:v>
      </x:c>
      <x:c r="I9" s="112" t="n">
        <x:f>COUNTIFS('Raw Data'!$F$2:$F$65,1000,'Raw Data'!$G$2:$G$65,0.1,'Raw Data'!$Z$2:$Z$65,"circle",'Raw Data'!$BK$2:$BK$65,"True")/E9</x:f>
        <x:v>1</x:v>
      </x:c>
      <x:c r="J9" s="112" t="n">
        <x:f>COUNTIFS('Raw Data'!$F$2:$F$65,1000,'Raw Data'!$G$2:$G$65,0.1,'Raw Data'!$Z$2:$Z$65,"circle",'Raw Data'!$BN$2:$BN$65,"&gt;0")/E9</x:f>
        <x:v>0</x:v>
      </x:c>
      <x:c r="K9" s="112" t="n">
        <x:f>COUNTIFS('Raw Data'!$F$2:$F$65,1000,'Raw Data'!$G$2:$G$65,0.1,'Raw Data'!$Z$2:$Z$65,"circle",'Raw Data'!$CE$2:$CE$65,"True")/E9</x:f>
        <x:v>1</x:v>
      </x:c>
      <x:c r="L9" s="106" t="n">
        <x:f>SUM(_xlfn._xlws.FILTER('Raw Data'!$BZ$2:$BZ$65,('Raw Data'!$F$2:$F$65=1000)*('Raw Data'!$G$2:$G$65=0.1)*('Raw Data'!$Z$2:$Z$65="circle")))</x:f>
        <x:v>0</x:v>
      </x:c>
      <x:c r="M9" s="106" t="n">
        <x:f>MEDIAN(_xlfn._xlws.FILTER('Raw Data'!$CC$2:$CC$65,('Raw Data'!$F$2:$F$65=1000)*('Raw Data'!$G$2:$G$65=0.1)*('Raw Data'!$Z$2:$Z$65="circle")))</x:f>
        <x:v>94.5</x:v>
      </x:c>
      <x:c r="N9" s="108" t="n">
        <x:f>MEDIAN(_xlfn._xlws.FILTER('Raw Data'!$CC$2:$CC$65/'Raw Data'!$F$2:$F$65,('Raw Data'!$F$2:$F$65=1000)*('Raw Data'!$G$2:$G$65=0.1)*('Raw Data'!$Z$2:$Z$65="circle")))</x:f>
        <x:v>0.0945</x:v>
      </x:c>
      <x:c r="O9" s="110" t="n">
        <x:f>MEDIAN(_xlfn._xlws.FILTER('Raw Data'!$CD$2:$CD$65,('Raw Data'!$F$2:$F$65=1000)*('Raw Data'!$G$2:$G$65=0.1)*('Raw Data'!$Z$2:$Z$65="circle")))</x:f>
        <x:v>5.742022149963304</x:v>
      </x:c>
      <x:c r="P9" s="108" t="n">
        <x:f>IF(F9=0,"",MEDIAN(_xlfn._xlws.FILTER('Raw Data'!$CC$2:$CC$65/'Raw Data'!$F$2:$F$65,('Raw Data'!$F$2:$F$65=1000)*('Raw Data'!$G$2:$G$65=0.1)*('Raw Data'!$Z$2:$Z$65="circle")*('Raw Data'!$N$2:$N$65="True"))))</x:f>
        <x:v>0.0945</x:v>
      </x:c>
      <x:c r="Q9" s="110" t="n">
        <x:f>IF(F9=0,"",MEDIAN(_xlfn._xlws.FILTER('Raw Data'!$CD$2:$CD$65,('Raw Data'!$F$2:$F$65=1000)*('Raw Data'!$G$2:$G$65=0.1)*('Raw Data'!$Z$2:$Z$65="circle")*('Raw Data'!$N$2:$N$65="True"))))</x:f>
        <x:v>5.742022149963304</x:v>
      </x:c>
    </x:row>
    <x:row r="10">
      <x:c r="A10" s="106" t="n">
        <x:v>1000</x:v>
      </x:c>
      <x:c r="B10" s="106" t="n">
        <x:v>0.1</x:v>
      </x:c>
      <x:c r="C10" s="106" t="str">
        <x:v>zoomed</x:v>
      </x:c>
      <x:c r="D10" s="190" t="str">
        <x:v>entropy</x:v>
      </x:c>
      <x:c r="E10" s="106" t="n">
        <x:f>COUNTIFS('Raw Data'!$F$2:$F$65,1000,'Raw Data'!$G$2:$G$65,0.1,'Raw Data'!$Z$2:$Z$65,"zoomed")</x:f>
        <x:v>4</x:v>
      </x:c>
      <x:c r="F10" s="106" t="n">
        <x:f>COUNTIFS('Raw Data'!$F$2:$F$65,1000,'Raw Data'!$G$2:$G$65,0.1,'Raw Data'!$Z$2:$Z$65,"zoomed",'Raw Data'!$N$2:$N$65,"True")</x:f>
        <x:v>4</x:v>
      </x:c>
      <x:c r="G10" s="106" t="n">
        <x:f>AVERAGE(_xlfn._xlws.FILTER('Raw Data'!$P$2:$P$65,('Raw Data'!$F$2:$F$65=1000)*('Raw Data'!$G$2:$G$65=0.1)*('Raw Data'!$Z$2:$Z$65="zoomed")))</x:f>
        <x:v>28.550000000000004</x:v>
      </x:c>
      <x:c r="H10" s="110" t="n">
        <x:f>AVERAGE(_xlfn._xlws.FILTER('Raw Data'!$T$2:$T$65,('Raw Data'!$F$2:$F$65=1000)*('Raw Data'!$G$2:$G$65=0.1)*('Raw Data'!$Z$2:$Z$65="zoomed")))</x:f>
        <x:v>0.02857857857857858</x:v>
      </x:c>
      <x:c r="I10" s="112" t="n">
        <x:f>COUNTIFS('Raw Data'!$F$2:$F$65,1000,'Raw Data'!$G$2:$G$65,0.1,'Raw Data'!$Z$2:$Z$65,"zoomed",'Raw Data'!$AI$2:$AI$65,"True")/E10</x:f>
        <x:v>1</x:v>
      </x:c>
      <x:c r="J10" s="112" t="n">
        <x:f>COUNTIFS('Raw Data'!$F$2:$F$65,1000,'Raw Data'!$G$2:$G$65,0.1,'Raw Data'!$Z$2:$Z$65,"zoomed",'Raw Data'!$AL$2:$AL$65,"&gt;0")/E10</x:f>
        <x:v>0</x:v>
      </x:c>
      <x:c r="K10" s="112" t="n">
        <x:f>COUNTIFS('Raw Data'!$F$2:$F$65,1000,'Raw Data'!$G$2:$G$65,0.1,'Raw Data'!$Z$2:$Z$65,"zoomed",'Raw Data'!$BC$2:$BC$65,"True")/E10</x:f>
        <x:v>1</x:v>
      </x:c>
      <x:c r="L10" s="106" t="n">
        <x:f>SUM(_xlfn._xlws.FILTER('Raw Data'!$AX$2:$AX$65,('Raw Data'!$F$2:$F$65=1000)*('Raw Data'!$G$2:$G$65=0.1)*('Raw Data'!$Z$2:$Z$65="zoomed")))</x:f>
        <x:v>0</x:v>
      </x:c>
      <x:c r="M10" s="106" t="n">
        <x:f>MEDIAN(_xlfn._xlws.FILTER('Raw Data'!$BA$2:$BA$65,('Raw Data'!$F$2:$F$65=1000)*('Raw Data'!$G$2:$G$65=0.1)*('Raw Data'!$Z$2:$Z$65="zoomed")))</x:f>
        <x:v>95</x:v>
      </x:c>
      <x:c r="N10" s="108" t="n">
        <x:f>MEDIAN(_xlfn._xlws.FILTER('Raw Data'!$BA$2:$BA$65/'Raw Data'!$F$2:$F$65,('Raw Data'!$F$2:$F$65=1000)*('Raw Data'!$G$2:$G$65=0.1)*('Raw Data'!$Z$2:$Z$65="zoomed")))</x:f>
        <x:v>0.095</x:v>
      </x:c>
      <x:c r="O10" s="110" t="n">
        <x:f>MEDIAN(_xlfn._xlws.FILTER('Raw Data'!$BB$2:$BB$65,('Raw Data'!$F$2:$F$65=1000)*('Raw Data'!$G$2:$G$65=0.1)*('Raw Data'!$Z$2:$Z$65="zoomed")))</x:f>
        <x:v>6.618085349968169</x:v>
      </x:c>
      <x:c r="P10" s="108" t="n">
        <x:f>IF(F10=0,"",MEDIAN(_xlfn._xlws.FILTER('Raw Data'!$BA$2:$BA$65/'Raw Data'!$F$2:$F$65,('Raw Data'!$F$2:$F$65=1000)*('Raw Data'!$G$2:$G$65=0.1)*('Raw Data'!$Z$2:$Z$65="zoomed")*('Raw Data'!$N$2:$N$65="True"))))</x:f>
        <x:v>0.095</x:v>
      </x:c>
      <x:c r="Q10" s="110" t="n">
        <x:f>IF(F10=0,"",MEDIAN(_xlfn._xlws.FILTER('Raw Data'!$BB$2:$BB$65,('Raw Data'!$F$2:$F$65=1000)*('Raw Data'!$G$2:$G$65=0.1)*('Raw Data'!$Z$2:$Z$65="zoomed")*('Raw Data'!$N$2:$N$65="True"))))</x:f>
        <x:v>6.618085349968169</x:v>
      </x:c>
    </x:row>
    <x:row r="11">
      <x:c r="A11" s="106" t="n">
        <x:v>1000</x:v>
      </x:c>
      <x:c r="B11" s="106" t="n">
        <x:v>0.1</x:v>
      </x:c>
      <x:c r="C11" s="106" t="str">
        <x:v>zoomed</x:v>
      </x:c>
      <x:c r="D11" s="114" t="str">
        <x:v>collision</x:v>
      </x:c>
      <x:c r="E11" s="106" t="n">
        <x:f>COUNTIFS('Raw Data'!$F$2:$F$65,1000,'Raw Data'!$G$2:$G$65,0.1,'Raw Data'!$Z$2:$Z$65,"zoomed")</x:f>
        <x:v>4</x:v>
      </x:c>
      <x:c r="F11" s="106" t="n">
        <x:f>COUNTIFS('Raw Data'!$F$2:$F$65,1000,'Raw Data'!$G$2:$G$65,0.1,'Raw Data'!$Z$2:$Z$65,"zoomed",'Raw Data'!$N$2:$N$65,"True")</x:f>
        <x:v>4</x:v>
      </x:c>
      <x:c r="G11" s="106" t="n">
        <x:f>AVERAGE(_xlfn._xlws.FILTER('Raw Data'!$P$2:$P$65,('Raw Data'!$F$2:$F$65=1000)*('Raw Data'!$G$2:$G$65=0.1)*('Raw Data'!$Z$2:$Z$65="zoomed")))</x:f>
        <x:v>28.550000000000004</x:v>
      </x:c>
      <x:c r="H11" s="110" t="n">
        <x:f>AVERAGE(_xlfn._xlws.FILTER('Raw Data'!$T$2:$T$65,('Raw Data'!$F$2:$F$65=1000)*('Raw Data'!$G$2:$G$65=0.1)*('Raw Data'!$Z$2:$Z$65="zoomed")))</x:f>
        <x:v>0.02857857857857858</x:v>
      </x:c>
      <x:c r="I11" s="112" t="n">
        <x:f>COUNTIFS('Raw Data'!$F$2:$F$65,1000,'Raw Data'!$G$2:$G$65,0.1,'Raw Data'!$Z$2:$Z$65,"zoomed",'Raw Data'!$BK$2:$BK$65,"True")/E11</x:f>
        <x:v>1</x:v>
      </x:c>
      <x:c r="J11" s="112" t="n">
        <x:f>COUNTIFS('Raw Data'!$F$2:$F$65,1000,'Raw Data'!$G$2:$G$65,0.1,'Raw Data'!$Z$2:$Z$65,"zoomed",'Raw Data'!$BN$2:$BN$65,"&gt;0")/E11</x:f>
        <x:v>0</x:v>
      </x:c>
      <x:c r="K11" s="112" t="n">
        <x:f>COUNTIFS('Raw Data'!$F$2:$F$65,1000,'Raw Data'!$G$2:$G$65,0.1,'Raw Data'!$Z$2:$Z$65,"zoomed",'Raw Data'!$CE$2:$CE$65,"True")/E11</x:f>
        <x:v>1</x:v>
      </x:c>
      <x:c r="L11" s="106" t="n">
        <x:f>SUM(_xlfn._xlws.FILTER('Raw Data'!$BZ$2:$BZ$65,('Raw Data'!$F$2:$F$65=1000)*('Raw Data'!$G$2:$G$65=0.1)*('Raw Data'!$Z$2:$Z$65="zoomed")))</x:f>
        <x:v>0</x:v>
      </x:c>
      <x:c r="M11" s="106" t="n">
        <x:f>MEDIAN(_xlfn._xlws.FILTER('Raw Data'!$CC$2:$CC$65,('Raw Data'!$F$2:$F$65=1000)*('Raw Data'!$G$2:$G$65=0.1)*('Raw Data'!$Z$2:$Z$65="zoomed")))</x:f>
        <x:v>96.5</x:v>
      </x:c>
      <x:c r="N11" s="108" t="n">
        <x:f>MEDIAN(_xlfn._xlws.FILTER('Raw Data'!$CC$2:$CC$65/'Raw Data'!$F$2:$F$65,('Raw Data'!$F$2:$F$65=1000)*('Raw Data'!$G$2:$G$65=0.1)*('Raw Data'!$Z$2:$Z$65="zoomed")))</x:f>
        <x:v>0.0965</x:v>
      </x:c>
      <x:c r="O11" s="110" t="n">
        <x:f>MEDIAN(_xlfn._xlws.FILTER('Raw Data'!$CD$2:$CD$65,('Raw Data'!$F$2:$F$65=1000)*('Raw Data'!$G$2:$G$65=0.1)*('Raw Data'!$Z$2:$Z$65="zoomed")))</x:f>
        <x:v>4.750168400001712</x:v>
      </x:c>
      <x:c r="P11" s="108" t="n">
        <x:f>IF(F11=0,"",MEDIAN(_xlfn._xlws.FILTER('Raw Data'!$CC$2:$CC$65/'Raw Data'!$F$2:$F$65,('Raw Data'!$F$2:$F$65=1000)*('Raw Data'!$G$2:$G$65=0.1)*('Raw Data'!$Z$2:$Z$65="zoomed")*('Raw Data'!$N$2:$N$65="True"))))</x:f>
        <x:v>0.0965</x:v>
      </x:c>
      <x:c r="Q11" s="110" t="n">
        <x:f>IF(F11=0,"",MEDIAN(_xlfn._xlws.FILTER('Raw Data'!$CD$2:$CD$65,('Raw Data'!$F$2:$F$65=1000)*('Raw Data'!$G$2:$G$65=0.1)*('Raw Data'!$Z$2:$Z$65="zoomed")*('Raw Data'!$N$2:$N$65="True"))))</x:f>
        <x:v>4.750168400001712</x:v>
      </x:c>
    </x:row>
    <x:row r="12">
      <x:c r="A12" s="106" t="n">
        <x:v>1000</x:v>
      </x:c>
      <x:c r="B12" s="106" t="n">
        <x:v>0.1</x:v>
      </x:c>
      <x:c r="C12" s="106" t="str">
        <x:v>ich</x:v>
      </x:c>
      <x:c r="D12" s="190" t="str">
        <x:v>entropy</x:v>
      </x:c>
      <x:c r="E12" s="106" t="n">
        <x:f>COUNTIFS('Raw Data'!$F$2:$F$65,1000,'Raw Data'!$G$2:$G$65,0.1,'Raw Data'!$Z$2:$Z$65,"ich")</x:f>
        <x:v>4</x:v>
      </x:c>
      <x:c r="F12" s="106" t="n">
        <x:f>COUNTIFS('Raw Data'!$F$2:$F$65,1000,'Raw Data'!$G$2:$G$65,0.1,'Raw Data'!$Z$2:$Z$65,"ich",'Raw Data'!$N$2:$N$65,"True")</x:f>
        <x:v>4</x:v>
      </x:c>
      <x:c r="G12" s="106" t="n">
        <x:f>AVERAGE(_xlfn._xlws.FILTER('Raw Data'!$P$2:$P$65,('Raw Data'!$F$2:$F$65=1000)*('Raw Data'!$G$2:$G$65=0.1)*('Raw Data'!$Z$2:$Z$65="ich")))</x:f>
        <x:v>28.550000000000004</x:v>
      </x:c>
      <x:c r="H12" s="110" t="n">
        <x:f>AVERAGE(_xlfn._xlws.FILTER('Raw Data'!$T$2:$T$65,('Raw Data'!$F$2:$F$65=1000)*('Raw Data'!$G$2:$G$65=0.1)*('Raw Data'!$Z$2:$Z$65="ich")))</x:f>
        <x:v>0.02857857857857858</x:v>
      </x:c>
      <x:c r="I12" s="112" t="n">
        <x:f>COUNTIFS('Raw Data'!$F$2:$F$65,1000,'Raw Data'!$G$2:$G$65,0.1,'Raw Data'!$Z$2:$Z$65,"ich",'Raw Data'!$AI$2:$AI$65,"True")/E12</x:f>
        <x:v>1</x:v>
      </x:c>
      <x:c r="J12" s="112" t="n">
        <x:f>COUNTIFS('Raw Data'!$F$2:$F$65,1000,'Raw Data'!$G$2:$G$65,0.1,'Raw Data'!$Z$2:$Z$65,"ich",'Raw Data'!$AL$2:$AL$65,"&gt;0")/E12</x:f>
        <x:v>0</x:v>
      </x:c>
      <x:c r="K12" s="112" t="n">
        <x:f>COUNTIFS('Raw Data'!$F$2:$F$65,1000,'Raw Data'!$G$2:$G$65,0.1,'Raw Data'!$Z$2:$Z$65,"ich",'Raw Data'!$BC$2:$BC$65,"True")/E12</x:f>
        <x:v>1</x:v>
      </x:c>
      <x:c r="L12" s="106" t="n">
        <x:f>SUM(_xlfn._xlws.FILTER('Raw Data'!$AX$2:$AX$65,('Raw Data'!$F$2:$F$65=1000)*('Raw Data'!$G$2:$G$65=0.1)*('Raw Data'!$Z$2:$Z$65="ich")))</x:f>
        <x:v>27</x:v>
      </x:c>
      <x:c r="M12" s="106" t="n">
        <x:f>MEDIAN(_xlfn._xlws.FILTER('Raw Data'!$BA$2:$BA$65,('Raw Data'!$F$2:$F$65=1000)*('Raw Data'!$G$2:$G$65=0.1)*('Raw Data'!$Z$2:$Z$65="ich")))</x:f>
        <x:v>89.5</x:v>
      </x:c>
      <x:c r="N12" s="108" t="n">
        <x:f>MEDIAN(_xlfn._xlws.FILTER('Raw Data'!$BA$2:$BA$65/'Raw Data'!$F$2:$F$65,('Raw Data'!$F$2:$F$65=1000)*('Raw Data'!$G$2:$G$65=0.1)*('Raw Data'!$Z$2:$Z$65="ich")))</x:f>
        <x:v>0.0895</x:v>
      </x:c>
      <x:c r="O12" s="110" t="n">
        <x:f>MEDIAN(_xlfn._xlws.FILTER('Raw Data'!$BB$2:$BB$65,('Raw Data'!$F$2:$F$65=1000)*('Raw Data'!$G$2:$G$65=0.1)*('Raw Data'!$Z$2:$Z$65="ich")))</x:f>
        <x:v>144.05192890000762</x:v>
      </x:c>
      <x:c r="P12" s="108" t="n">
        <x:f>IF(F12=0,"",MEDIAN(_xlfn._xlws.FILTER('Raw Data'!$BA$2:$BA$65/'Raw Data'!$F$2:$F$65,('Raw Data'!$F$2:$F$65=1000)*('Raw Data'!$G$2:$G$65=0.1)*('Raw Data'!$Z$2:$Z$65="ich")*('Raw Data'!$N$2:$N$65="True"))))</x:f>
        <x:v>0.0895</x:v>
      </x:c>
      <x:c r="Q12" s="110" t="n">
        <x:f>IF(F12=0,"",MEDIAN(_xlfn._xlws.FILTER('Raw Data'!$BB$2:$BB$65,('Raw Data'!$F$2:$F$65=1000)*('Raw Data'!$G$2:$G$65=0.1)*('Raw Data'!$Z$2:$Z$65="ich")*('Raw Data'!$N$2:$N$65="True"))))</x:f>
        <x:v>144.05192890000762</x:v>
      </x:c>
    </x:row>
    <x:row r="13">
      <x:c r="A13" s="106" t="n">
        <x:v>1000</x:v>
      </x:c>
      <x:c r="B13" s="106" t="n">
        <x:v>0.1</x:v>
      </x:c>
      <x:c r="C13" s="106" t="str">
        <x:v>ich</x:v>
      </x:c>
      <x:c r="D13" s="114" t="str">
        <x:v>collision</x:v>
      </x:c>
      <x:c r="E13" s="106" t="n">
        <x:f>COUNTIFS('Raw Data'!$F$2:$F$65,1000,'Raw Data'!$G$2:$G$65,0.1,'Raw Data'!$Z$2:$Z$65,"ich")</x:f>
        <x:v>4</x:v>
      </x:c>
      <x:c r="F13" s="106" t="n">
        <x:f>COUNTIFS('Raw Data'!$F$2:$F$65,1000,'Raw Data'!$G$2:$G$65,0.1,'Raw Data'!$Z$2:$Z$65,"ich",'Raw Data'!$N$2:$N$65,"True")</x:f>
        <x:v>4</x:v>
      </x:c>
      <x:c r="G13" s="106" t="n">
        <x:f>AVERAGE(_xlfn._xlws.FILTER('Raw Data'!$P$2:$P$65,('Raw Data'!$F$2:$F$65=1000)*('Raw Data'!$G$2:$G$65=0.1)*('Raw Data'!$Z$2:$Z$65="ich")))</x:f>
        <x:v>28.550000000000004</x:v>
      </x:c>
      <x:c r="H13" s="110" t="n">
        <x:f>AVERAGE(_xlfn._xlws.FILTER('Raw Data'!$T$2:$T$65,('Raw Data'!$F$2:$F$65=1000)*('Raw Data'!$G$2:$G$65=0.1)*('Raw Data'!$Z$2:$Z$65="ich")))</x:f>
        <x:v>0.02857857857857858</x:v>
      </x:c>
      <x:c r="I13" s="112" t="n">
        <x:f>COUNTIFS('Raw Data'!$F$2:$F$65,1000,'Raw Data'!$G$2:$G$65,0.1,'Raw Data'!$Z$2:$Z$65,"ich",'Raw Data'!$BK$2:$BK$65,"True")/E13</x:f>
        <x:v>1</x:v>
      </x:c>
      <x:c r="J13" s="112" t="n">
        <x:f>COUNTIFS('Raw Data'!$F$2:$F$65,1000,'Raw Data'!$G$2:$G$65,0.1,'Raw Data'!$Z$2:$Z$65,"ich",'Raw Data'!$BN$2:$BN$65,"&gt;0")/E13</x:f>
        <x:v>0</x:v>
      </x:c>
      <x:c r="K13" s="112" t="n">
        <x:f>COUNTIFS('Raw Data'!$F$2:$F$65,1000,'Raw Data'!$G$2:$G$65,0.1,'Raw Data'!$Z$2:$Z$65,"ich",'Raw Data'!$CE$2:$CE$65,"True")/E13</x:f>
        <x:v>1</x:v>
      </x:c>
      <x:c r="L13" s="106" t="n">
        <x:f>SUM(_xlfn._xlws.FILTER('Raw Data'!$BZ$2:$BZ$65,('Raw Data'!$F$2:$F$65=1000)*('Raw Data'!$G$2:$G$65=0.1)*('Raw Data'!$Z$2:$Z$65="ich")))</x:f>
        <x:v>27</x:v>
      </x:c>
      <x:c r="M13" s="106" t="n">
        <x:f>MEDIAN(_xlfn._xlws.FILTER('Raw Data'!$CC$2:$CC$65,('Raw Data'!$F$2:$F$65=1000)*('Raw Data'!$G$2:$G$65=0.1)*('Raw Data'!$Z$2:$Z$65="ich")))</x:f>
        <x:v>91.5</x:v>
      </x:c>
      <x:c r="N13" s="108" t="n">
        <x:f>MEDIAN(_xlfn._xlws.FILTER('Raw Data'!$CC$2:$CC$65/'Raw Data'!$F$2:$F$65,('Raw Data'!$F$2:$F$65=1000)*('Raw Data'!$G$2:$G$65=0.1)*('Raw Data'!$Z$2:$Z$65="ich")))</x:f>
        <x:v>0.0915</x:v>
      </x:c>
      <x:c r="O13" s="110" t="n">
        <x:f>MEDIAN(_xlfn._xlws.FILTER('Raw Data'!$CD$2:$CD$65,('Raw Data'!$F$2:$F$65=1000)*('Raw Data'!$G$2:$G$65=0.1)*('Raw Data'!$Z$2:$Z$65="ich")))</x:f>
        <x:v>137.9601411499316</x:v>
      </x:c>
      <x:c r="P13" s="108" t="n">
        <x:f>IF(F13=0,"",MEDIAN(_xlfn._xlws.FILTER('Raw Data'!$CC$2:$CC$65/'Raw Data'!$F$2:$F$65,('Raw Data'!$F$2:$F$65=1000)*('Raw Data'!$G$2:$G$65=0.1)*('Raw Data'!$Z$2:$Z$65="ich")*('Raw Data'!$N$2:$N$65="True"))))</x:f>
        <x:v>0.0915</x:v>
      </x:c>
      <x:c r="Q13" s="110" t="n">
        <x:f>IF(F13=0,"",MEDIAN(_xlfn._xlws.FILTER('Raw Data'!$CD$2:$CD$65,('Raw Data'!$F$2:$F$65=1000)*('Raw Data'!$G$2:$G$65=0.1)*('Raw Data'!$Z$2:$Z$65="ich")*('Raw Data'!$N$2:$N$65="True"))))</x:f>
        <x:v>137.9601411499316</x:v>
      </x:c>
    </x:row>
    <x:row r="14">
      <x:c r="A14" s="106" t="n">
        <x:v>1000</x:v>
      </x:c>
      <x:c r="B14" s="106" t="n">
        <x:v>0.3</x:v>
      </x:c>
      <x:c r="C14" s="106" t="str">
        <x:v>grid</x:v>
      </x:c>
      <x:c r="D14" s="190" t="str">
        <x:v>entropy</x:v>
      </x:c>
      <x:c r="E14" s="106" t="n">
        <x:f>COUNTIFS('Raw Data'!$F$2:$F$65,1000,'Raw Data'!$G$2:$G$65,0.3,'Raw Data'!$Z$2:$Z$65,"grid")</x:f>
        <x:v>4</x:v>
      </x:c>
      <x:c r="F14" s="106" t="n">
        <x:f>COUNTIFS('Raw Data'!$F$2:$F$65,1000,'Raw Data'!$G$2:$G$65,0.3,'Raw Data'!$Z$2:$Z$65,"grid",'Raw Data'!$N$2:$N$65,"True")</x:f>
        <x:v>4</x:v>
      </x:c>
      <x:c r="G14" s="106" t="n">
        <x:f>AVERAGE(_xlfn._xlws.FILTER('Raw Data'!$P$2:$P$65,('Raw Data'!$F$2:$F$65=1000)*('Raw Data'!$G$2:$G$65=0.3)*('Raw Data'!$Z$2:$Z$65="grid")))</x:f>
        <x:v>214.678</x:v>
      </x:c>
      <x:c r="H14" s="110" t="n">
        <x:f>AVERAGE(_xlfn._xlws.FILTER('Raw Data'!$T$2:$T$65,('Raw Data'!$F$2:$F$65=1000)*('Raw Data'!$G$2:$G$65=0.3)*('Raw Data'!$Z$2:$Z$65="grid")))</x:f>
        <x:v>0.21489289289289287</x:v>
      </x:c>
      <x:c r="I14" s="112" t="n">
        <x:f>COUNTIFS('Raw Data'!$F$2:$F$65,1000,'Raw Data'!$G$2:$G$65,0.3,'Raw Data'!$Z$2:$Z$65,"grid",'Raw Data'!$AI$2:$AI$65,"True")/E14</x:f>
        <x:v>1</x:v>
      </x:c>
      <x:c r="J14" s="112" t="n">
        <x:f>COUNTIFS('Raw Data'!$F$2:$F$65,1000,'Raw Data'!$G$2:$G$65,0.3,'Raw Data'!$Z$2:$Z$65,"grid",'Raw Data'!$AL$2:$AL$65,"&gt;0")/E14</x:f>
        <x:v>0</x:v>
      </x:c>
      <x:c r="K14" s="112" t="n">
        <x:f>COUNTIFS('Raw Data'!$F$2:$F$65,1000,'Raw Data'!$G$2:$G$65,0.3,'Raw Data'!$Z$2:$Z$65,"grid",'Raw Data'!$BC$2:$BC$65,"True")/E14</x:f>
        <x:v>1</x:v>
      </x:c>
      <x:c r="L14" s="106" t="n">
        <x:f>SUM(_xlfn._xlws.FILTER('Raw Data'!$AX$2:$AX$65,('Raw Data'!$F$2:$F$65=1000)*('Raw Data'!$G$2:$G$65=0.3)*('Raw Data'!$Z$2:$Z$65="grid")))</x:f>
        <x:v>0</x:v>
      </x:c>
      <x:c r="M14" s="106" t="n">
        <x:f>MEDIAN(_xlfn._xlws.FILTER('Raw Data'!$BA$2:$BA$65,('Raw Data'!$F$2:$F$65=1000)*('Raw Data'!$G$2:$G$65=0.3)*('Raw Data'!$Z$2:$Z$65="grid")))</x:f>
        <x:v>106</x:v>
      </x:c>
      <x:c r="N14" s="108" t="n">
        <x:f>MEDIAN(_xlfn._xlws.FILTER('Raw Data'!$BA$2:$BA$65/'Raw Data'!$F$2:$F$65,('Raw Data'!$F$2:$F$65=1000)*('Raw Data'!$G$2:$G$65=0.3)*('Raw Data'!$Z$2:$Z$65="grid")))</x:f>
        <x:v>0.106</x:v>
      </x:c>
      <x:c r="O14" s="110" t="n">
        <x:f>MEDIAN(_xlfn._xlws.FILTER('Raw Data'!$BB$2:$BB$65,('Raw Data'!$F$2:$F$65=1000)*('Raw Data'!$G$2:$G$65=0.3)*('Raw Data'!$Z$2:$Z$65="grid")))</x:f>
        <x:v>14.412355349981226</x:v>
      </x:c>
      <x:c r="P14" s="108" t="n">
        <x:f>IF(F14=0,"",MEDIAN(_xlfn._xlws.FILTER('Raw Data'!$BA$2:$BA$65/'Raw Data'!$F$2:$F$65,('Raw Data'!$F$2:$F$65=1000)*('Raw Data'!$G$2:$G$65=0.3)*('Raw Data'!$Z$2:$Z$65="grid")*('Raw Data'!$N$2:$N$65="True"))))</x:f>
        <x:v>0.106</x:v>
      </x:c>
      <x:c r="Q14" s="110" t="n">
        <x:f>IF(F14=0,"",MEDIAN(_xlfn._xlws.FILTER('Raw Data'!$BB$2:$BB$65,('Raw Data'!$F$2:$F$65=1000)*('Raw Data'!$G$2:$G$65=0.3)*('Raw Data'!$Z$2:$Z$65="grid")*('Raw Data'!$N$2:$N$65="True"))))</x:f>
        <x:v>14.412355349981226</x:v>
      </x:c>
    </x:row>
    <x:row r="15">
      <x:c r="A15" s="106" t="n">
        <x:v>1000</x:v>
      </x:c>
      <x:c r="B15" s="106" t="n">
        <x:v>0.3</x:v>
      </x:c>
      <x:c r="C15" s="106" t="str">
        <x:v>grid</x:v>
      </x:c>
      <x:c r="D15" s="114" t="str">
        <x:v>collision</x:v>
      </x:c>
      <x:c r="E15" s="106" t="n">
        <x:f>COUNTIFS('Raw Data'!$F$2:$F$65,1000,'Raw Data'!$G$2:$G$65,0.3,'Raw Data'!$Z$2:$Z$65,"grid")</x:f>
        <x:v>4</x:v>
      </x:c>
      <x:c r="F15" s="106" t="n">
        <x:f>COUNTIFS('Raw Data'!$F$2:$F$65,1000,'Raw Data'!$G$2:$G$65,0.3,'Raw Data'!$Z$2:$Z$65,"grid",'Raw Data'!$N$2:$N$65,"True")</x:f>
        <x:v>4</x:v>
      </x:c>
      <x:c r="G15" s="106" t="n">
        <x:f>AVERAGE(_xlfn._xlws.FILTER('Raw Data'!$P$2:$P$65,('Raw Data'!$F$2:$F$65=1000)*('Raw Data'!$G$2:$G$65=0.3)*('Raw Data'!$Z$2:$Z$65="grid")))</x:f>
        <x:v>214.678</x:v>
      </x:c>
      <x:c r="H15" s="110" t="n">
        <x:f>AVERAGE(_xlfn._xlws.FILTER('Raw Data'!$T$2:$T$65,('Raw Data'!$F$2:$F$65=1000)*('Raw Data'!$G$2:$G$65=0.3)*('Raw Data'!$Z$2:$Z$65="grid")))</x:f>
        <x:v>0.21489289289289287</x:v>
      </x:c>
      <x:c r="I15" s="112" t="n">
        <x:f>COUNTIFS('Raw Data'!$F$2:$F$65,1000,'Raw Data'!$G$2:$G$65,0.3,'Raw Data'!$Z$2:$Z$65,"grid",'Raw Data'!$BK$2:$BK$65,"True")/E15</x:f>
        <x:v>1</x:v>
      </x:c>
      <x:c r="J15" s="112" t="n">
        <x:f>COUNTIFS('Raw Data'!$F$2:$F$65,1000,'Raw Data'!$G$2:$G$65,0.3,'Raw Data'!$Z$2:$Z$65,"grid",'Raw Data'!$BN$2:$BN$65,"&gt;0")/E15</x:f>
        <x:v>0</x:v>
      </x:c>
      <x:c r="K15" s="112" t="n">
        <x:f>COUNTIFS('Raw Data'!$F$2:$F$65,1000,'Raw Data'!$G$2:$G$65,0.3,'Raw Data'!$Z$2:$Z$65,"grid",'Raw Data'!$CE$2:$CE$65,"True")/E15</x:f>
        <x:v>1</x:v>
      </x:c>
      <x:c r="L15" s="106" t="n">
        <x:f>SUM(_xlfn._xlws.FILTER('Raw Data'!$BZ$2:$BZ$65,('Raw Data'!$F$2:$F$65=1000)*('Raw Data'!$G$2:$G$65=0.3)*('Raw Data'!$Z$2:$Z$65="grid")))</x:f>
        <x:v>0</x:v>
      </x:c>
      <x:c r="M15" s="106" t="n">
        <x:f>MEDIAN(_xlfn._xlws.FILTER('Raw Data'!$CC$2:$CC$65,('Raw Data'!$F$2:$F$65=1000)*('Raw Data'!$G$2:$G$65=0.3)*('Raw Data'!$Z$2:$Z$65="grid")))</x:f>
        <x:v>102</x:v>
      </x:c>
      <x:c r="N15" s="108" t="n">
        <x:f>MEDIAN(_xlfn._xlws.FILTER('Raw Data'!$CC$2:$CC$65/'Raw Data'!$F$2:$F$65,('Raw Data'!$F$2:$F$65=1000)*('Raw Data'!$G$2:$G$65=0.3)*('Raw Data'!$Z$2:$Z$65="grid")))</x:f>
        <x:v>0.102</x:v>
      </x:c>
      <x:c r="O15" s="110" t="n">
        <x:f>MEDIAN(_xlfn._xlws.FILTER('Raw Data'!$CD$2:$CD$65,('Raw Data'!$F$2:$F$65=1000)*('Raw Data'!$G$2:$G$65=0.3)*('Raw Data'!$Z$2:$Z$65="grid")))</x:f>
        <x:v>9.85220245004166</x:v>
      </x:c>
      <x:c r="P15" s="108" t="n">
        <x:f>IF(F15=0,"",MEDIAN(_xlfn._xlws.FILTER('Raw Data'!$CC$2:$CC$65/'Raw Data'!$F$2:$F$65,('Raw Data'!$F$2:$F$65=1000)*('Raw Data'!$G$2:$G$65=0.3)*('Raw Data'!$Z$2:$Z$65="grid")*('Raw Data'!$N$2:$N$65="True"))))</x:f>
        <x:v>0.102</x:v>
      </x:c>
      <x:c r="Q15" s="110" t="n">
        <x:f>IF(F15=0,"",MEDIAN(_xlfn._xlws.FILTER('Raw Data'!$CD$2:$CD$65,('Raw Data'!$F$2:$F$65=1000)*('Raw Data'!$G$2:$G$65=0.3)*('Raw Data'!$Z$2:$Z$65="grid")*('Raw Data'!$N$2:$N$65="True"))))</x:f>
        <x:v>9.85220245004166</x:v>
      </x:c>
    </x:row>
    <x:row r="16">
      <x:c r="A16" s="106" t="n">
        <x:v>1000</x:v>
      </x:c>
      <x:c r="B16" s="106" t="n">
        <x:v>0.3</x:v>
      </x:c>
      <x:c r="C16" s="106" t="str">
        <x:v>circle</x:v>
      </x:c>
      <x:c r="D16" s="190" t="str">
        <x:v>entropy</x:v>
      </x:c>
      <x:c r="E16" s="106" t="n">
        <x:f>COUNTIFS('Raw Data'!$F$2:$F$65,1000,'Raw Data'!$G$2:$G$65,0.3,'Raw Data'!$Z$2:$Z$65,"circle")</x:f>
        <x:v>4</x:v>
      </x:c>
      <x:c r="F16" s="106" t="n">
        <x:f>COUNTIFS('Raw Data'!$F$2:$F$65,1000,'Raw Data'!$G$2:$G$65,0.3,'Raw Data'!$Z$2:$Z$65,"circle",'Raw Data'!$N$2:$N$65,"True")</x:f>
        <x:v>4</x:v>
      </x:c>
      <x:c r="G16" s="106" t="n">
        <x:f>AVERAGE(_xlfn._xlws.FILTER('Raw Data'!$P$2:$P$65,('Raw Data'!$F$2:$F$65=1000)*('Raw Data'!$G$2:$G$65=0.3)*('Raw Data'!$Z$2:$Z$65="circle")))</x:f>
        <x:v>214.678</x:v>
      </x:c>
      <x:c r="H16" s="110" t="n">
        <x:f>AVERAGE(_xlfn._xlws.FILTER('Raw Data'!$T$2:$T$65,('Raw Data'!$F$2:$F$65=1000)*('Raw Data'!$G$2:$G$65=0.3)*('Raw Data'!$Z$2:$Z$65="circle")))</x:f>
        <x:v>0.21489289289289287</x:v>
      </x:c>
      <x:c r="I16" s="112" t="n">
        <x:f>COUNTIFS('Raw Data'!$F$2:$F$65,1000,'Raw Data'!$G$2:$G$65,0.3,'Raw Data'!$Z$2:$Z$65,"circle",'Raw Data'!$AI$2:$AI$65,"True")/E16</x:f>
        <x:v>1</x:v>
      </x:c>
      <x:c r="J16" s="112" t="n">
        <x:f>COUNTIFS('Raw Data'!$F$2:$F$65,1000,'Raw Data'!$G$2:$G$65,0.3,'Raw Data'!$Z$2:$Z$65,"circle",'Raw Data'!$AL$2:$AL$65,"&gt;0")/E16</x:f>
        <x:v>0</x:v>
      </x:c>
      <x:c r="K16" s="112" t="n">
        <x:f>COUNTIFS('Raw Data'!$F$2:$F$65,1000,'Raw Data'!$G$2:$G$65,0.3,'Raw Data'!$Z$2:$Z$65,"circle",'Raw Data'!$BC$2:$BC$65,"True")/E16</x:f>
        <x:v>1</x:v>
      </x:c>
      <x:c r="L16" s="106" t="n">
        <x:f>SUM(_xlfn._xlws.FILTER('Raw Data'!$AX$2:$AX$65,('Raw Data'!$F$2:$F$65=1000)*('Raw Data'!$G$2:$G$65=0.3)*('Raw Data'!$Z$2:$Z$65="circle")))</x:f>
        <x:v>0</x:v>
      </x:c>
      <x:c r="M16" s="106" t="n">
        <x:f>MEDIAN(_xlfn._xlws.FILTER('Raw Data'!$BA$2:$BA$65,('Raw Data'!$F$2:$F$65=1000)*('Raw Data'!$G$2:$G$65=0.3)*('Raw Data'!$Z$2:$Z$65="circle")))</x:f>
        <x:v>105</x:v>
      </x:c>
      <x:c r="N16" s="108" t="n">
        <x:f>MEDIAN(_xlfn._xlws.FILTER('Raw Data'!$BA$2:$BA$65/'Raw Data'!$F$2:$F$65,('Raw Data'!$F$2:$F$65=1000)*('Raw Data'!$G$2:$G$65=0.3)*('Raw Data'!$Z$2:$Z$65="circle")))</x:f>
        <x:v>0.105</x:v>
      </x:c>
      <x:c r="O16" s="110" t="n">
        <x:f>MEDIAN(_xlfn._xlws.FILTER('Raw Data'!$BB$2:$BB$65,('Raw Data'!$F$2:$F$65=1000)*('Raw Data'!$G$2:$G$65=0.3)*('Raw Data'!$Z$2:$Z$65="circle")))</x:f>
        <x:v>6.9619027500157245</x:v>
      </x:c>
      <x:c r="P16" s="108" t="n">
        <x:f>IF(F16=0,"",MEDIAN(_xlfn._xlws.FILTER('Raw Data'!$BA$2:$BA$65/'Raw Data'!$F$2:$F$65,('Raw Data'!$F$2:$F$65=1000)*('Raw Data'!$G$2:$G$65=0.3)*('Raw Data'!$Z$2:$Z$65="circle")*('Raw Data'!$N$2:$N$65="True"))))</x:f>
        <x:v>0.105</x:v>
      </x:c>
      <x:c r="Q16" s="110" t="n">
        <x:f>IF(F16=0,"",MEDIAN(_xlfn._xlws.FILTER('Raw Data'!$BB$2:$BB$65,('Raw Data'!$F$2:$F$65=1000)*('Raw Data'!$G$2:$G$65=0.3)*('Raw Data'!$Z$2:$Z$65="circle")*('Raw Data'!$N$2:$N$65="True"))))</x:f>
        <x:v>6.9619027500157245</x:v>
      </x:c>
    </x:row>
    <x:row r="17">
      <x:c r="A17" s="106" t="n">
        <x:v>1000</x:v>
      </x:c>
      <x:c r="B17" s="106" t="n">
        <x:v>0.3</x:v>
      </x:c>
      <x:c r="C17" s="106" t="str">
        <x:v>circle</x:v>
      </x:c>
      <x:c r="D17" s="114" t="str">
        <x:v>collision</x:v>
      </x:c>
      <x:c r="E17" s="106" t="n">
        <x:f>COUNTIFS('Raw Data'!$F$2:$F$65,1000,'Raw Data'!$G$2:$G$65,0.3,'Raw Data'!$Z$2:$Z$65,"circle")</x:f>
        <x:v>4</x:v>
      </x:c>
      <x:c r="F17" s="106" t="n">
        <x:f>COUNTIFS('Raw Data'!$F$2:$F$65,1000,'Raw Data'!$G$2:$G$65,0.3,'Raw Data'!$Z$2:$Z$65,"circle",'Raw Data'!$N$2:$N$65,"True")</x:f>
        <x:v>4</x:v>
      </x:c>
      <x:c r="G17" s="106" t="n">
        <x:f>AVERAGE(_xlfn._xlws.FILTER('Raw Data'!$P$2:$P$65,('Raw Data'!$F$2:$F$65=1000)*('Raw Data'!$G$2:$G$65=0.3)*('Raw Data'!$Z$2:$Z$65="circle")))</x:f>
        <x:v>214.678</x:v>
      </x:c>
      <x:c r="H17" s="110" t="n">
        <x:f>AVERAGE(_xlfn._xlws.FILTER('Raw Data'!$T$2:$T$65,('Raw Data'!$F$2:$F$65=1000)*('Raw Data'!$G$2:$G$65=0.3)*('Raw Data'!$Z$2:$Z$65="circle")))</x:f>
        <x:v>0.21489289289289287</x:v>
      </x:c>
      <x:c r="I17" s="112" t="n">
        <x:f>COUNTIFS('Raw Data'!$F$2:$F$65,1000,'Raw Data'!$G$2:$G$65,0.3,'Raw Data'!$Z$2:$Z$65,"circle",'Raw Data'!$BK$2:$BK$65,"True")/E17</x:f>
        <x:v>1</x:v>
      </x:c>
      <x:c r="J17" s="112" t="n">
        <x:f>COUNTIFS('Raw Data'!$F$2:$F$65,1000,'Raw Data'!$G$2:$G$65,0.3,'Raw Data'!$Z$2:$Z$65,"circle",'Raw Data'!$BN$2:$BN$65,"&gt;0")/E17</x:f>
        <x:v>0</x:v>
      </x:c>
      <x:c r="K17" s="112" t="n">
        <x:f>COUNTIFS('Raw Data'!$F$2:$F$65,1000,'Raw Data'!$G$2:$G$65,0.3,'Raw Data'!$Z$2:$Z$65,"circle",'Raw Data'!$CE$2:$CE$65,"True")/E17</x:f>
        <x:v>1</x:v>
      </x:c>
      <x:c r="L17" s="106" t="n">
        <x:f>SUM(_xlfn._xlws.FILTER('Raw Data'!$BZ$2:$BZ$65,('Raw Data'!$F$2:$F$65=1000)*('Raw Data'!$G$2:$G$65=0.3)*('Raw Data'!$Z$2:$Z$65="circle")))</x:f>
        <x:v>0</x:v>
      </x:c>
      <x:c r="M17" s="106" t="n">
        <x:f>MEDIAN(_xlfn._xlws.FILTER('Raw Data'!$CC$2:$CC$65,('Raw Data'!$F$2:$F$65=1000)*('Raw Data'!$G$2:$G$65=0.3)*('Raw Data'!$Z$2:$Z$65="circle")))</x:f>
        <x:v>106.5</x:v>
      </x:c>
      <x:c r="N17" s="108" t="n">
        <x:f>MEDIAN(_xlfn._xlws.FILTER('Raw Data'!$CC$2:$CC$65/'Raw Data'!$F$2:$F$65,('Raw Data'!$F$2:$F$65=1000)*('Raw Data'!$G$2:$G$65=0.3)*('Raw Data'!$Z$2:$Z$65="circle")))</x:f>
        <x:v>0.1065</x:v>
      </x:c>
      <x:c r="O17" s="110" t="n">
        <x:f>MEDIAN(_xlfn._xlws.FILTER('Raw Data'!$CD$2:$CD$65,('Raw Data'!$F$2:$F$65=1000)*('Raw Data'!$G$2:$G$65=0.3)*('Raw Data'!$Z$2:$Z$65="circle")))</x:f>
        <x:v>6.931464800029062</x:v>
      </x:c>
      <x:c r="P17" s="108" t="n">
        <x:f>IF(F17=0,"",MEDIAN(_xlfn._xlws.FILTER('Raw Data'!$CC$2:$CC$65/'Raw Data'!$F$2:$F$65,('Raw Data'!$F$2:$F$65=1000)*('Raw Data'!$G$2:$G$65=0.3)*('Raw Data'!$Z$2:$Z$65="circle")*('Raw Data'!$N$2:$N$65="True"))))</x:f>
        <x:v>0.1065</x:v>
      </x:c>
      <x:c r="Q17" s="110" t="n">
        <x:f>IF(F17=0,"",MEDIAN(_xlfn._xlws.FILTER('Raw Data'!$CD$2:$CD$65,('Raw Data'!$F$2:$F$65=1000)*('Raw Data'!$G$2:$G$65=0.3)*('Raw Data'!$Z$2:$Z$65="circle")*('Raw Data'!$N$2:$N$65="True"))))</x:f>
        <x:v>6.931464800029062</x:v>
      </x:c>
    </x:row>
    <x:row r="18">
      <x:c r="A18" s="106" t="n">
        <x:v>1000</x:v>
      </x:c>
      <x:c r="B18" s="106" t="n">
        <x:v>0.3</x:v>
      </x:c>
      <x:c r="C18" s="106" t="str">
        <x:v>zoomed</x:v>
      </x:c>
      <x:c r="D18" s="190" t="str">
        <x:v>entropy</x:v>
      </x:c>
      <x:c r="E18" s="106" t="n">
        <x:f>COUNTIFS('Raw Data'!$F$2:$F$65,1000,'Raw Data'!$G$2:$G$65,0.3,'Raw Data'!$Z$2:$Z$65,"zoomed")</x:f>
        <x:v>4</x:v>
      </x:c>
      <x:c r="F18" s="106" t="n">
        <x:f>COUNTIFS('Raw Data'!$F$2:$F$65,1000,'Raw Data'!$G$2:$G$65,0.3,'Raw Data'!$Z$2:$Z$65,"zoomed",'Raw Data'!$N$2:$N$65,"True")</x:f>
        <x:v>4</x:v>
      </x:c>
      <x:c r="G18" s="106" t="n">
        <x:f>AVERAGE(_xlfn._xlws.FILTER('Raw Data'!$P$2:$P$65,('Raw Data'!$F$2:$F$65=1000)*('Raw Data'!$G$2:$G$65=0.3)*('Raw Data'!$Z$2:$Z$65="zoomed")))</x:f>
        <x:v>214.678</x:v>
      </x:c>
      <x:c r="H18" s="110" t="n">
        <x:f>AVERAGE(_xlfn._xlws.FILTER('Raw Data'!$T$2:$T$65,('Raw Data'!$F$2:$F$65=1000)*('Raw Data'!$G$2:$G$65=0.3)*('Raw Data'!$Z$2:$Z$65="zoomed")))</x:f>
        <x:v>0.21489289289289287</x:v>
      </x:c>
      <x:c r="I18" s="112" t="n">
        <x:f>COUNTIFS('Raw Data'!$F$2:$F$65,1000,'Raw Data'!$G$2:$G$65,0.3,'Raw Data'!$Z$2:$Z$65,"zoomed",'Raw Data'!$AI$2:$AI$65,"True")/E18</x:f>
        <x:v>1</x:v>
      </x:c>
      <x:c r="J18" s="112" t="n">
        <x:f>COUNTIFS('Raw Data'!$F$2:$F$65,1000,'Raw Data'!$G$2:$G$65,0.3,'Raw Data'!$Z$2:$Z$65,"zoomed",'Raw Data'!$AL$2:$AL$65,"&gt;0")/E18</x:f>
        <x:v>0</x:v>
      </x:c>
      <x:c r="K18" s="112" t="n">
        <x:f>COUNTIFS('Raw Data'!$F$2:$F$65,1000,'Raw Data'!$G$2:$G$65,0.3,'Raw Data'!$Z$2:$Z$65,"zoomed",'Raw Data'!$BC$2:$BC$65,"True")/E18</x:f>
        <x:v>1</x:v>
      </x:c>
      <x:c r="L18" s="106" t="n">
        <x:f>SUM(_xlfn._xlws.FILTER('Raw Data'!$AX$2:$AX$65,('Raw Data'!$F$2:$F$65=1000)*('Raw Data'!$G$2:$G$65=0.3)*('Raw Data'!$Z$2:$Z$65="zoomed")))</x:f>
        <x:v>0</x:v>
      </x:c>
      <x:c r="M18" s="106" t="n">
        <x:f>MEDIAN(_xlfn._xlws.FILTER('Raw Data'!$BA$2:$BA$65,('Raw Data'!$F$2:$F$65=1000)*('Raw Data'!$G$2:$G$65=0.3)*('Raw Data'!$Z$2:$Z$65="zoomed")))</x:f>
        <x:v>104.5</x:v>
      </x:c>
      <x:c r="N18" s="108" t="n">
        <x:f>MEDIAN(_xlfn._xlws.FILTER('Raw Data'!$BA$2:$BA$65/'Raw Data'!$F$2:$F$65,('Raw Data'!$F$2:$F$65=1000)*('Raw Data'!$G$2:$G$65=0.3)*('Raw Data'!$Z$2:$Z$65="zoomed")))</x:f>
        <x:v>0.1045</x:v>
      </x:c>
      <x:c r="O18" s="110" t="n">
        <x:f>MEDIAN(_xlfn._xlws.FILTER('Raw Data'!$BB$2:$BB$65,('Raw Data'!$F$2:$F$65=1000)*('Raw Data'!$G$2:$G$65=0.3)*('Raw Data'!$Z$2:$Z$65="zoomed")))</x:f>
        <x:v>11.137597299995832</x:v>
      </x:c>
      <x:c r="P18" s="108" t="n">
        <x:f>IF(F18=0,"",MEDIAN(_xlfn._xlws.FILTER('Raw Data'!$BA$2:$BA$65/'Raw Data'!$F$2:$F$65,('Raw Data'!$F$2:$F$65=1000)*('Raw Data'!$G$2:$G$65=0.3)*('Raw Data'!$Z$2:$Z$65="zoomed")*('Raw Data'!$N$2:$N$65="True"))))</x:f>
        <x:v>0.1045</x:v>
      </x:c>
      <x:c r="Q18" s="110" t="n">
        <x:f>IF(F18=0,"",MEDIAN(_xlfn._xlws.FILTER('Raw Data'!$BB$2:$BB$65,('Raw Data'!$F$2:$F$65=1000)*('Raw Data'!$G$2:$G$65=0.3)*('Raw Data'!$Z$2:$Z$65="zoomed")*('Raw Data'!$N$2:$N$65="True"))))</x:f>
        <x:v>11.137597299995832</x:v>
      </x:c>
    </x:row>
    <x:row r="19">
      <x:c r="A19" s="106" t="n">
        <x:v>1000</x:v>
      </x:c>
      <x:c r="B19" s="106" t="n">
        <x:v>0.3</x:v>
      </x:c>
      <x:c r="C19" s="106" t="str">
        <x:v>zoomed</x:v>
      </x:c>
      <x:c r="D19" s="114" t="str">
        <x:v>collision</x:v>
      </x:c>
      <x:c r="E19" s="106" t="n">
        <x:f>COUNTIFS('Raw Data'!$F$2:$F$65,1000,'Raw Data'!$G$2:$G$65,0.3,'Raw Data'!$Z$2:$Z$65,"zoomed")</x:f>
        <x:v>4</x:v>
      </x:c>
      <x:c r="F19" s="106" t="n">
        <x:f>COUNTIFS('Raw Data'!$F$2:$F$65,1000,'Raw Data'!$G$2:$G$65,0.3,'Raw Data'!$Z$2:$Z$65,"zoomed",'Raw Data'!$N$2:$N$65,"True")</x:f>
        <x:v>4</x:v>
      </x:c>
      <x:c r="G19" s="106" t="n">
        <x:f>AVERAGE(_xlfn._xlws.FILTER('Raw Data'!$P$2:$P$65,('Raw Data'!$F$2:$F$65=1000)*('Raw Data'!$G$2:$G$65=0.3)*('Raw Data'!$Z$2:$Z$65="zoomed")))</x:f>
        <x:v>214.678</x:v>
      </x:c>
      <x:c r="H19" s="110" t="n">
        <x:f>AVERAGE(_xlfn._xlws.FILTER('Raw Data'!$T$2:$T$65,('Raw Data'!$F$2:$F$65=1000)*('Raw Data'!$G$2:$G$65=0.3)*('Raw Data'!$Z$2:$Z$65="zoomed")))</x:f>
        <x:v>0.21489289289289287</x:v>
      </x:c>
      <x:c r="I19" s="112" t="n">
        <x:f>COUNTIFS('Raw Data'!$F$2:$F$65,1000,'Raw Data'!$G$2:$G$65,0.3,'Raw Data'!$Z$2:$Z$65,"zoomed",'Raw Data'!$BK$2:$BK$65,"True")/E19</x:f>
        <x:v>1</x:v>
      </x:c>
      <x:c r="J19" s="112" t="n">
        <x:f>COUNTIFS('Raw Data'!$F$2:$F$65,1000,'Raw Data'!$G$2:$G$65,0.3,'Raw Data'!$Z$2:$Z$65,"zoomed",'Raw Data'!$BN$2:$BN$65,"&gt;0")/E19</x:f>
        <x:v>0</x:v>
      </x:c>
      <x:c r="K19" s="112" t="n">
        <x:f>COUNTIFS('Raw Data'!$F$2:$F$65,1000,'Raw Data'!$G$2:$G$65,0.3,'Raw Data'!$Z$2:$Z$65,"zoomed",'Raw Data'!$CE$2:$CE$65,"True")/E19</x:f>
        <x:v>1</x:v>
      </x:c>
      <x:c r="L19" s="106" t="n">
        <x:f>SUM(_xlfn._xlws.FILTER('Raw Data'!$BZ$2:$BZ$65,('Raw Data'!$F$2:$F$65=1000)*('Raw Data'!$G$2:$G$65=0.3)*('Raw Data'!$Z$2:$Z$65="zoomed")))</x:f>
        <x:v>0</x:v>
      </x:c>
      <x:c r="M19" s="106" t="n">
        <x:f>MEDIAN(_xlfn._xlws.FILTER('Raw Data'!$CC$2:$CC$65,('Raw Data'!$F$2:$F$65=1000)*('Raw Data'!$G$2:$G$65=0.3)*('Raw Data'!$Z$2:$Z$65="zoomed")))</x:f>
        <x:v>104</x:v>
      </x:c>
      <x:c r="N19" s="108" t="n">
        <x:f>MEDIAN(_xlfn._xlws.FILTER('Raw Data'!$CC$2:$CC$65/'Raw Data'!$F$2:$F$65,('Raw Data'!$F$2:$F$65=1000)*('Raw Data'!$G$2:$G$65=0.3)*('Raw Data'!$Z$2:$Z$65="zoomed")))</x:f>
        <x:v>0.10400000000000001</x:v>
      </x:c>
      <x:c r="O19" s="110" t="n">
        <x:f>MEDIAN(_xlfn._xlws.FILTER('Raw Data'!$CD$2:$CD$65,('Raw Data'!$F$2:$F$65=1000)*('Raw Data'!$G$2:$G$65=0.3)*('Raw Data'!$Z$2:$Z$65="zoomed")))</x:f>
        <x:v>8.818064549996052</x:v>
      </x:c>
      <x:c r="P19" s="108" t="n">
        <x:f>IF(F19=0,"",MEDIAN(_xlfn._xlws.FILTER('Raw Data'!$CC$2:$CC$65/'Raw Data'!$F$2:$F$65,('Raw Data'!$F$2:$F$65=1000)*('Raw Data'!$G$2:$G$65=0.3)*('Raw Data'!$Z$2:$Z$65="zoomed")*('Raw Data'!$N$2:$N$65="True"))))</x:f>
        <x:v>0.10400000000000001</x:v>
      </x:c>
      <x:c r="Q19" s="110" t="n">
        <x:f>IF(F19=0,"",MEDIAN(_xlfn._xlws.FILTER('Raw Data'!$CD$2:$CD$65,('Raw Data'!$F$2:$F$65=1000)*('Raw Data'!$G$2:$G$65=0.3)*('Raw Data'!$Z$2:$Z$65="zoomed")*('Raw Data'!$N$2:$N$65="True"))))</x:f>
        <x:v>8.818064549996052</x:v>
      </x:c>
    </x:row>
    <x:row r="20">
      <x:c r="A20" s="106" t="n">
        <x:v>1000</x:v>
      </x:c>
      <x:c r="B20" s="106" t="n">
        <x:v>0.3</x:v>
      </x:c>
      <x:c r="C20" s="106" t="str">
        <x:v>ich</x:v>
      </x:c>
      <x:c r="D20" s="190" t="str">
        <x:v>entropy</x:v>
      </x:c>
      <x:c r="E20" s="106" t="n">
        <x:f>COUNTIFS('Raw Data'!$F$2:$F$65,1000,'Raw Data'!$G$2:$G$65,0.3,'Raw Data'!$Z$2:$Z$65,"ich")</x:f>
        <x:v>4</x:v>
      </x:c>
      <x:c r="F20" s="106" t="n">
        <x:f>COUNTIFS('Raw Data'!$F$2:$F$65,1000,'Raw Data'!$G$2:$G$65,0.3,'Raw Data'!$Z$2:$Z$65,"ich",'Raw Data'!$N$2:$N$65,"True")</x:f>
        <x:v>4</x:v>
      </x:c>
      <x:c r="G20" s="106" t="n">
        <x:f>AVERAGE(_xlfn._xlws.FILTER('Raw Data'!$P$2:$P$65,('Raw Data'!$F$2:$F$65=1000)*('Raw Data'!$G$2:$G$65=0.3)*('Raw Data'!$Z$2:$Z$65="ich")))</x:f>
        <x:v>214.678</x:v>
      </x:c>
      <x:c r="H20" s="110" t="n">
        <x:f>AVERAGE(_xlfn._xlws.FILTER('Raw Data'!$T$2:$T$65,('Raw Data'!$F$2:$F$65=1000)*('Raw Data'!$G$2:$G$65=0.3)*('Raw Data'!$Z$2:$Z$65="ich")))</x:f>
        <x:v>0.21489289289289287</x:v>
      </x:c>
      <x:c r="I20" s="112" t="n">
        <x:f>COUNTIFS('Raw Data'!$F$2:$F$65,1000,'Raw Data'!$G$2:$G$65,0.3,'Raw Data'!$Z$2:$Z$65,"ich",'Raw Data'!$AI$2:$AI$65,"True")/E20</x:f>
        <x:v>1</x:v>
      </x:c>
      <x:c r="J20" s="112" t="n">
        <x:f>COUNTIFS('Raw Data'!$F$2:$F$65,1000,'Raw Data'!$G$2:$G$65,0.3,'Raw Data'!$Z$2:$Z$65,"ich",'Raw Data'!$AL$2:$AL$65,"&gt;0")/E20</x:f>
        <x:v>0</x:v>
      </x:c>
      <x:c r="K20" s="112" t="n">
        <x:f>COUNTIFS('Raw Data'!$F$2:$F$65,1000,'Raw Data'!$G$2:$G$65,0.3,'Raw Data'!$Z$2:$Z$65,"ich",'Raw Data'!$BC$2:$BC$65,"True")/E20</x:f>
        <x:v>1</x:v>
      </x:c>
      <x:c r="L20" s="106" t="n">
        <x:f>SUM(_xlfn._xlws.FILTER('Raw Data'!$AX$2:$AX$65,('Raw Data'!$F$2:$F$65=1000)*('Raw Data'!$G$2:$G$65=0.3)*('Raw Data'!$Z$2:$Z$65="ich")))</x:f>
        <x:v>22</x:v>
      </x:c>
      <x:c r="M20" s="106" t="n">
        <x:f>MEDIAN(_xlfn._xlws.FILTER('Raw Data'!$BA$2:$BA$65,('Raw Data'!$F$2:$F$65=1000)*('Raw Data'!$G$2:$G$65=0.3)*('Raw Data'!$Z$2:$Z$65="ich")))</x:f>
        <x:v>88.5</x:v>
      </x:c>
      <x:c r="N20" s="108" t="n">
        <x:f>MEDIAN(_xlfn._xlws.FILTER('Raw Data'!$BA$2:$BA$65/'Raw Data'!$F$2:$F$65,('Raw Data'!$F$2:$F$65=1000)*('Raw Data'!$G$2:$G$65=0.3)*('Raw Data'!$Z$2:$Z$65="ich")))</x:f>
        <x:v>0.0885</x:v>
      </x:c>
      <x:c r="O20" s="110" t="n">
        <x:f>MEDIAN(_xlfn._xlws.FILTER('Raw Data'!$BB$2:$BB$65,('Raw Data'!$F$2:$F$65=1000)*('Raw Data'!$G$2:$G$65=0.3)*('Raw Data'!$Z$2:$Z$65="ich")))</x:f>
        <x:v>184.40126709989272</x:v>
      </x:c>
      <x:c r="P20" s="108" t="n">
        <x:f>IF(F20=0,"",MEDIAN(_xlfn._xlws.FILTER('Raw Data'!$BA$2:$BA$65/'Raw Data'!$F$2:$F$65,('Raw Data'!$F$2:$F$65=1000)*('Raw Data'!$G$2:$G$65=0.3)*('Raw Data'!$Z$2:$Z$65="ich")*('Raw Data'!$N$2:$N$65="True"))))</x:f>
        <x:v>0.0885</x:v>
      </x:c>
      <x:c r="Q20" s="110" t="n">
        <x:f>IF(F20=0,"",MEDIAN(_xlfn._xlws.FILTER('Raw Data'!$BB$2:$BB$65,('Raw Data'!$F$2:$F$65=1000)*('Raw Data'!$G$2:$G$65=0.3)*('Raw Data'!$Z$2:$Z$65="ich")*('Raw Data'!$N$2:$N$65="True"))))</x:f>
        <x:v>184.40126709989272</x:v>
      </x:c>
    </x:row>
    <x:row r="21">
      <x:c r="A21" s="106" t="n">
        <x:v>1000</x:v>
      </x:c>
      <x:c r="B21" s="106" t="n">
        <x:v>0.3</x:v>
      </x:c>
      <x:c r="C21" s="106" t="str">
        <x:v>ich</x:v>
      </x:c>
      <x:c r="D21" s="114" t="str">
        <x:v>collision</x:v>
      </x:c>
      <x:c r="E21" s="106" t="n">
        <x:f>COUNTIFS('Raw Data'!$F$2:$F$65,1000,'Raw Data'!$G$2:$G$65,0.3,'Raw Data'!$Z$2:$Z$65,"ich")</x:f>
        <x:v>4</x:v>
      </x:c>
      <x:c r="F21" s="106" t="n">
        <x:f>COUNTIFS('Raw Data'!$F$2:$F$65,1000,'Raw Data'!$G$2:$G$65,0.3,'Raw Data'!$Z$2:$Z$65,"ich",'Raw Data'!$N$2:$N$65,"True")</x:f>
        <x:v>4</x:v>
      </x:c>
      <x:c r="G21" s="106" t="n">
        <x:f>AVERAGE(_xlfn._xlws.FILTER('Raw Data'!$P$2:$P$65,('Raw Data'!$F$2:$F$65=1000)*('Raw Data'!$G$2:$G$65=0.3)*('Raw Data'!$Z$2:$Z$65="ich")))</x:f>
        <x:v>214.678</x:v>
      </x:c>
      <x:c r="H21" s="110" t="n">
        <x:f>AVERAGE(_xlfn._xlws.FILTER('Raw Data'!$T$2:$T$65,('Raw Data'!$F$2:$F$65=1000)*('Raw Data'!$G$2:$G$65=0.3)*('Raw Data'!$Z$2:$Z$65="ich")))</x:f>
        <x:v>0.21489289289289287</x:v>
      </x:c>
      <x:c r="I21" s="112" t="n">
        <x:f>COUNTIFS('Raw Data'!$F$2:$F$65,1000,'Raw Data'!$G$2:$G$65,0.3,'Raw Data'!$Z$2:$Z$65,"ich",'Raw Data'!$BK$2:$BK$65,"True")/E21</x:f>
        <x:v>1</x:v>
      </x:c>
      <x:c r="J21" s="112" t="n">
        <x:f>COUNTIFS('Raw Data'!$F$2:$F$65,1000,'Raw Data'!$G$2:$G$65,0.3,'Raw Data'!$Z$2:$Z$65,"ich",'Raw Data'!$BN$2:$BN$65,"&gt;0")/E21</x:f>
        <x:v>0</x:v>
      </x:c>
      <x:c r="K21" s="112" t="n">
        <x:f>COUNTIFS('Raw Data'!$F$2:$F$65,1000,'Raw Data'!$G$2:$G$65,0.3,'Raw Data'!$Z$2:$Z$65,"ich",'Raw Data'!$CE$2:$CE$65,"True")/E21</x:f>
        <x:v>1</x:v>
      </x:c>
      <x:c r="L21" s="106" t="n">
        <x:f>SUM(_xlfn._xlws.FILTER('Raw Data'!$BZ$2:$BZ$65,('Raw Data'!$F$2:$F$65=1000)*('Raw Data'!$G$2:$G$65=0.3)*('Raw Data'!$Z$2:$Z$65="ich")))</x:f>
        <x:v>20</x:v>
      </x:c>
      <x:c r="M21" s="106" t="n">
        <x:f>MEDIAN(_xlfn._xlws.FILTER('Raw Data'!$CC$2:$CC$65,('Raw Data'!$F$2:$F$65=1000)*('Raw Data'!$G$2:$G$65=0.3)*('Raw Data'!$Z$2:$Z$65="ich")))</x:f>
        <x:v>88.5</x:v>
      </x:c>
      <x:c r="N21" s="108" t="n">
        <x:f>MEDIAN(_xlfn._xlws.FILTER('Raw Data'!$CC$2:$CC$65/'Raw Data'!$F$2:$F$65,('Raw Data'!$F$2:$F$65=1000)*('Raw Data'!$G$2:$G$65=0.3)*('Raw Data'!$Z$2:$Z$65="ich")))</x:f>
        <x:v>0.0885</x:v>
      </x:c>
      <x:c r="O21" s="110" t="n">
        <x:f>MEDIAN(_xlfn._xlws.FILTER('Raw Data'!$CD$2:$CD$65,('Raw Data'!$F$2:$F$65=1000)*('Raw Data'!$G$2:$G$65=0.3)*('Raw Data'!$Z$2:$Z$65="ich")))</x:f>
        <x:v>170.74404995003715</x:v>
      </x:c>
      <x:c r="P21" s="108" t="n">
        <x:f>IF(F21=0,"",MEDIAN(_xlfn._xlws.FILTER('Raw Data'!$CC$2:$CC$65/'Raw Data'!$F$2:$F$65,('Raw Data'!$F$2:$F$65=1000)*('Raw Data'!$G$2:$G$65=0.3)*('Raw Data'!$Z$2:$Z$65="ich")*('Raw Data'!$N$2:$N$65="True"))))</x:f>
        <x:v>0.0885</x:v>
      </x:c>
      <x:c r="Q21" s="110" t="n">
        <x:f>IF(F21=0,"",MEDIAN(_xlfn._xlws.FILTER('Raw Data'!$CD$2:$CD$65,('Raw Data'!$F$2:$F$65=1000)*('Raw Data'!$G$2:$G$65=0.3)*('Raw Data'!$Z$2:$Z$65="ich")*('Raw Data'!$N$2:$N$65="True"))))</x:f>
        <x:v>170.74404995003715</x:v>
      </x:c>
    </x:row>
    <x:row r="22">
      <x:c r="A22" s="106" t="n">
        <x:v>1000</x:v>
      </x:c>
      <x:c r="B22" s="106" t="n">
        <x:v>0.5</x:v>
      </x:c>
      <x:c r="C22" s="106" t="str">
        <x:v>grid</x:v>
      </x:c>
      <x:c r="D22" s="190" t="str">
        <x:v>entropy</x:v>
      </x:c>
      <x:c r="E22" s="106" t="n">
        <x:f>COUNTIFS('Raw Data'!$F$2:$F$65,1000,'Raw Data'!$G$2:$G$65,0.5,'Raw Data'!$Z$2:$Z$65,"grid")</x:f>
        <x:v>4</x:v>
      </x:c>
      <x:c r="F22" s="106" t="n">
        <x:f>COUNTIFS('Raw Data'!$F$2:$F$65,1000,'Raw Data'!$G$2:$G$65,0.5,'Raw Data'!$Z$2:$Z$65,"grid",'Raw Data'!$N$2:$N$65,"True")</x:f>
        <x:v>4</x:v>
      </x:c>
      <x:c r="G22" s="106" t="n">
        <x:f>AVERAGE(_xlfn._xlws.FILTER('Raw Data'!$P$2:$P$65,('Raw Data'!$F$2:$F$65=1000)*('Raw Data'!$G$2:$G$65=0.5)*('Raw Data'!$Z$2:$Z$65="grid")))</x:f>
        <x:v>480.05249999999995</x:v>
      </x:c>
      <x:c r="H22" s="110" t="n">
        <x:f>AVERAGE(_xlfn._xlws.FILTER('Raw Data'!$T$2:$T$65,('Raw Data'!$F$2:$F$65=1000)*('Raw Data'!$G$2:$G$65=0.5)*('Raw Data'!$Z$2:$Z$65="grid")))</x:f>
        <x:v>0.480533033033033</x:v>
      </x:c>
      <x:c r="I22" s="112" t="n">
        <x:f>COUNTIFS('Raw Data'!$F$2:$F$65,1000,'Raw Data'!$G$2:$G$65,0.5,'Raw Data'!$Z$2:$Z$65,"grid",'Raw Data'!$AI$2:$AI$65,"True")/E22</x:f>
        <x:v>1</x:v>
      </x:c>
      <x:c r="J22" s="112" t="n">
        <x:f>COUNTIFS('Raw Data'!$F$2:$F$65,1000,'Raw Data'!$G$2:$G$65,0.5,'Raw Data'!$Z$2:$Z$65,"grid",'Raw Data'!$AL$2:$AL$65,"&gt;0")/E22</x:f>
        <x:v>0</x:v>
      </x:c>
      <x:c r="K22" s="112" t="n">
        <x:f>COUNTIFS('Raw Data'!$F$2:$F$65,1000,'Raw Data'!$G$2:$G$65,0.5,'Raw Data'!$Z$2:$Z$65,"grid",'Raw Data'!$BC$2:$BC$65,"True")/E22</x:f>
        <x:v>1</x:v>
      </x:c>
      <x:c r="L22" s="106" t="n">
        <x:f>SUM(_xlfn._xlws.FILTER('Raw Data'!$AX$2:$AX$65,('Raw Data'!$F$2:$F$65=1000)*('Raw Data'!$G$2:$G$65=0.5)*('Raw Data'!$Z$2:$Z$65="grid")))</x:f>
        <x:v>0</x:v>
      </x:c>
      <x:c r="M22" s="106" t="n">
        <x:f>MEDIAN(_xlfn._xlws.FILTER('Raw Data'!$BA$2:$BA$65,('Raw Data'!$F$2:$F$65=1000)*('Raw Data'!$G$2:$G$65=0.5)*('Raw Data'!$Z$2:$Z$65="grid")))</x:f>
        <x:v>147</x:v>
      </x:c>
      <x:c r="N22" s="108" t="n">
        <x:f>MEDIAN(_xlfn._xlws.FILTER('Raw Data'!$BA$2:$BA$65/'Raw Data'!$F$2:$F$65,('Raw Data'!$F$2:$F$65=1000)*('Raw Data'!$G$2:$G$65=0.5)*('Raw Data'!$Z$2:$Z$65="grid")))</x:f>
        <x:v>0.147</x:v>
      </x:c>
      <x:c r="O22" s="110" t="n">
        <x:f>MEDIAN(_xlfn._xlws.FILTER('Raw Data'!$BB$2:$BB$65,('Raw Data'!$F$2:$F$65=1000)*('Raw Data'!$G$2:$G$65=0.5)*('Raw Data'!$Z$2:$Z$65="grid")))</x:f>
        <x:v>162.92647424992174</x:v>
      </x:c>
      <x:c r="P22" s="108" t="n">
        <x:f>IF(F22=0,"",MEDIAN(_xlfn._xlws.FILTER('Raw Data'!$BA$2:$BA$65/'Raw Data'!$F$2:$F$65,('Raw Data'!$F$2:$F$65=1000)*('Raw Data'!$G$2:$G$65=0.5)*('Raw Data'!$Z$2:$Z$65="grid")*('Raw Data'!$N$2:$N$65="True"))))</x:f>
        <x:v>0.147</x:v>
      </x:c>
      <x:c r="Q22" s="110" t="n">
        <x:f>IF(F22=0,"",MEDIAN(_xlfn._xlws.FILTER('Raw Data'!$BB$2:$BB$65,('Raw Data'!$F$2:$F$65=1000)*('Raw Data'!$G$2:$G$65=0.5)*('Raw Data'!$Z$2:$Z$65="grid")*('Raw Data'!$N$2:$N$65="True"))))</x:f>
        <x:v>162.92647424992174</x:v>
      </x:c>
    </x:row>
    <x:row r="23">
      <x:c r="A23" s="106" t="n">
        <x:v>1000</x:v>
      </x:c>
      <x:c r="B23" s="106" t="n">
        <x:v>0.5</x:v>
      </x:c>
      <x:c r="C23" s="106" t="str">
        <x:v>grid</x:v>
      </x:c>
      <x:c r="D23" s="114" t="str">
        <x:v>collision</x:v>
      </x:c>
      <x:c r="E23" s="106" t="n">
        <x:f>COUNTIFS('Raw Data'!$F$2:$F$65,1000,'Raw Data'!$G$2:$G$65,0.5,'Raw Data'!$Z$2:$Z$65,"grid")</x:f>
        <x:v>4</x:v>
      </x:c>
      <x:c r="F23" s="106" t="n">
        <x:f>COUNTIFS('Raw Data'!$F$2:$F$65,1000,'Raw Data'!$G$2:$G$65,0.5,'Raw Data'!$Z$2:$Z$65,"grid",'Raw Data'!$N$2:$N$65,"True")</x:f>
        <x:v>4</x:v>
      </x:c>
      <x:c r="G23" s="106" t="n">
        <x:f>AVERAGE(_xlfn._xlws.FILTER('Raw Data'!$P$2:$P$65,('Raw Data'!$F$2:$F$65=1000)*('Raw Data'!$G$2:$G$65=0.5)*('Raw Data'!$Z$2:$Z$65="grid")))</x:f>
        <x:v>480.05249999999995</x:v>
      </x:c>
      <x:c r="H23" s="110" t="n">
        <x:f>AVERAGE(_xlfn._xlws.FILTER('Raw Data'!$T$2:$T$65,('Raw Data'!$F$2:$F$65=1000)*('Raw Data'!$G$2:$G$65=0.5)*('Raw Data'!$Z$2:$Z$65="grid")))</x:f>
        <x:v>0.480533033033033</x:v>
      </x:c>
      <x:c r="I23" s="112" t="n">
        <x:f>COUNTIFS('Raw Data'!$F$2:$F$65,1000,'Raw Data'!$G$2:$G$65,0.5,'Raw Data'!$Z$2:$Z$65,"grid",'Raw Data'!$BK$2:$BK$65,"True")/E23</x:f>
        <x:v>1</x:v>
      </x:c>
      <x:c r="J23" s="112" t="n">
        <x:f>COUNTIFS('Raw Data'!$F$2:$F$65,1000,'Raw Data'!$G$2:$G$65,0.5,'Raw Data'!$Z$2:$Z$65,"grid",'Raw Data'!$BN$2:$BN$65,"&gt;0")/E23</x:f>
        <x:v>0</x:v>
      </x:c>
      <x:c r="K23" s="112" t="n">
        <x:f>COUNTIFS('Raw Data'!$F$2:$F$65,1000,'Raw Data'!$G$2:$G$65,0.5,'Raw Data'!$Z$2:$Z$65,"grid",'Raw Data'!$CE$2:$CE$65,"True")/E23</x:f>
        <x:v>1</x:v>
      </x:c>
      <x:c r="L23" s="106" t="n">
        <x:f>SUM(_xlfn._xlws.FILTER('Raw Data'!$BZ$2:$BZ$65,('Raw Data'!$F$2:$F$65=1000)*('Raw Data'!$G$2:$G$65=0.5)*('Raw Data'!$Z$2:$Z$65="grid")))</x:f>
        <x:v>0</x:v>
      </x:c>
      <x:c r="M23" s="106" t="n">
        <x:f>MEDIAN(_xlfn._xlws.FILTER('Raw Data'!$CC$2:$CC$65,('Raw Data'!$F$2:$F$65=1000)*('Raw Data'!$G$2:$G$65=0.5)*('Raw Data'!$Z$2:$Z$65="grid")))</x:f>
        <x:v>117.5</x:v>
      </x:c>
      <x:c r="N23" s="108" t="n">
        <x:f>MEDIAN(_xlfn._xlws.FILTER('Raw Data'!$CC$2:$CC$65/'Raw Data'!$F$2:$F$65,('Raw Data'!$F$2:$F$65=1000)*('Raw Data'!$G$2:$G$65=0.5)*('Raw Data'!$Z$2:$Z$65="grid")))</x:f>
        <x:v>0.1175</x:v>
      </x:c>
      <x:c r="O23" s="110" t="n">
        <x:f>MEDIAN(_xlfn._xlws.FILTER('Raw Data'!$CD$2:$CD$65,('Raw Data'!$F$2:$F$65=1000)*('Raw Data'!$G$2:$G$65=0.5)*('Raw Data'!$Z$2:$Z$65="grid")))</x:f>
        <x:v>72.20220914995298</x:v>
      </x:c>
      <x:c r="P23" s="108" t="n">
        <x:f>IF(F23=0,"",MEDIAN(_xlfn._xlws.FILTER('Raw Data'!$CC$2:$CC$65/'Raw Data'!$F$2:$F$65,('Raw Data'!$F$2:$F$65=1000)*('Raw Data'!$G$2:$G$65=0.5)*('Raw Data'!$Z$2:$Z$65="grid")*('Raw Data'!$N$2:$N$65="True"))))</x:f>
        <x:v>0.1175</x:v>
      </x:c>
      <x:c r="Q23" s="110" t="n">
        <x:f>IF(F23=0,"",MEDIAN(_xlfn._xlws.FILTER('Raw Data'!$CD$2:$CD$65,('Raw Data'!$F$2:$F$65=1000)*('Raw Data'!$G$2:$G$65=0.5)*('Raw Data'!$Z$2:$Z$65="grid")*('Raw Data'!$N$2:$N$65="True"))))</x:f>
        <x:v>72.20220914995298</x:v>
      </x:c>
    </x:row>
    <x:row r="24">
      <x:c r="A24" s="106" t="n">
        <x:v>1000</x:v>
      </x:c>
      <x:c r="B24" s="106" t="n">
        <x:v>0.5</x:v>
      </x:c>
      <x:c r="C24" s="106" t="str">
        <x:v>circle</x:v>
      </x:c>
      <x:c r="D24" s="190" t="str">
        <x:v>entropy</x:v>
      </x:c>
      <x:c r="E24" s="106" t="n">
        <x:f>COUNTIFS('Raw Data'!$F$2:$F$65,1000,'Raw Data'!$G$2:$G$65,0.5,'Raw Data'!$Z$2:$Z$65,"circle")</x:f>
        <x:v>4</x:v>
      </x:c>
      <x:c r="F24" s="106" t="n">
        <x:f>COUNTIFS('Raw Data'!$F$2:$F$65,1000,'Raw Data'!$G$2:$G$65,0.5,'Raw Data'!$Z$2:$Z$65,"circle",'Raw Data'!$N$2:$N$65,"True")</x:f>
        <x:v>4</x:v>
      </x:c>
      <x:c r="G24" s="106" t="n">
        <x:f>AVERAGE(_xlfn._xlws.FILTER('Raw Data'!$P$2:$P$65,('Raw Data'!$F$2:$F$65=1000)*('Raw Data'!$G$2:$G$65=0.5)*('Raw Data'!$Z$2:$Z$65="circle")))</x:f>
        <x:v>480.05249999999995</x:v>
      </x:c>
      <x:c r="H24" s="110" t="n">
        <x:f>AVERAGE(_xlfn._xlws.FILTER('Raw Data'!$T$2:$T$65,('Raw Data'!$F$2:$F$65=1000)*('Raw Data'!$G$2:$G$65=0.5)*('Raw Data'!$Z$2:$Z$65="circle")))</x:f>
        <x:v>0.480533033033033</x:v>
      </x:c>
      <x:c r="I24" s="112" t="n">
        <x:f>COUNTIFS('Raw Data'!$F$2:$F$65,1000,'Raw Data'!$G$2:$G$65,0.5,'Raw Data'!$Z$2:$Z$65,"circle",'Raw Data'!$AI$2:$AI$65,"True")/E24</x:f>
        <x:v>1</x:v>
      </x:c>
      <x:c r="J24" s="112" t="n">
        <x:f>COUNTIFS('Raw Data'!$F$2:$F$65,1000,'Raw Data'!$G$2:$G$65,0.5,'Raw Data'!$Z$2:$Z$65,"circle",'Raw Data'!$AL$2:$AL$65,"&gt;0")/E24</x:f>
        <x:v>0</x:v>
      </x:c>
      <x:c r="K24" s="112" t="n">
        <x:f>COUNTIFS('Raw Data'!$F$2:$F$65,1000,'Raw Data'!$G$2:$G$65,0.5,'Raw Data'!$Z$2:$Z$65,"circle",'Raw Data'!$BC$2:$BC$65,"True")/E24</x:f>
        <x:v>1</x:v>
      </x:c>
      <x:c r="L24" s="106" t="n">
        <x:f>SUM(_xlfn._xlws.FILTER('Raw Data'!$AX$2:$AX$65,('Raw Data'!$F$2:$F$65=1000)*('Raw Data'!$G$2:$G$65=0.5)*('Raw Data'!$Z$2:$Z$65="circle")))</x:f>
        <x:v>0</x:v>
      </x:c>
      <x:c r="M24" s="106" t="n">
        <x:f>MEDIAN(_xlfn._xlws.FILTER('Raw Data'!$BA$2:$BA$65,('Raw Data'!$F$2:$F$65=1000)*('Raw Data'!$G$2:$G$65=0.5)*('Raw Data'!$Z$2:$Z$65="circle")))</x:f>
        <x:v>139</x:v>
      </x:c>
      <x:c r="N24" s="108" t="n">
        <x:f>MEDIAN(_xlfn._xlws.FILTER('Raw Data'!$BA$2:$BA$65/'Raw Data'!$F$2:$F$65,('Raw Data'!$F$2:$F$65=1000)*('Raw Data'!$G$2:$G$65=0.5)*('Raw Data'!$Z$2:$Z$65="circle")))</x:f>
        <x:v>0.139</x:v>
      </x:c>
      <x:c r="O24" s="110" t="n">
        <x:f>MEDIAN(_xlfn._xlws.FILTER('Raw Data'!$BB$2:$BB$65,('Raw Data'!$F$2:$F$65=1000)*('Raw Data'!$G$2:$G$65=0.5)*('Raw Data'!$Z$2:$Z$65="circle")))</x:f>
        <x:v>26.811247250007</x:v>
      </x:c>
      <x:c r="P24" s="108" t="n">
        <x:f>IF(F24=0,"",MEDIAN(_xlfn._xlws.FILTER('Raw Data'!$BA$2:$BA$65/'Raw Data'!$F$2:$F$65,('Raw Data'!$F$2:$F$65=1000)*('Raw Data'!$G$2:$G$65=0.5)*('Raw Data'!$Z$2:$Z$65="circle")*('Raw Data'!$N$2:$N$65="True"))))</x:f>
        <x:v>0.139</x:v>
      </x:c>
      <x:c r="Q24" s="110" t="n">
        <x:f>IF(F24=0,"",MEDIAN(_xlfn._xlws.FILTER('Raw Data'!$BB$2:$BB$65,('Raw Data'!$F$2:$F$65=1000)*('Raw Data'!$G$2:$G$65=0.5)*('Raw Data'!$Z$2:$Z$65="circle")*('Raw Data'!$N$2:$N$65="True"))))</x:f>
        <x:v>26.811247250007</x:v>
      </x:c>
    </x:row>
    <x:row r="25">
      <x:c r="A25" s="106" t="n">
        <x:v>1000</x:v>
      </x:c>
      <x:c r="B25" s="106" t="n">
        <x:v>0.5</x:v>
      </x:c>
      <x:c r="C25" s="106" t="str">
        <x:v>circle</x:v>
      </x:c>
      <x:c r="D25" s="114" t="str">
        <x:v>collision</x:v>
      </x:c>
      <x:c r="E25" s="106" t="n">
        <x:f>COUNTIFS('Raw Data'!$F$2:$F$65,1000,'Raw Data'!$G$2:$G$65,0.5,'Raw Data'!$Z$2:$Z$65,"circle")</x:f>
        <x:v>4</x:v>
      </x:c>
      <x:c r="F25" s="106" t="n">
        <x:f>COUNTIFS('Raw Data'!$F$2:$F$65,1000,'Raw Data'!$G$2:$G$65,0.5,'Raw Data'!$Z$2:$Z$65,"circle",'Raw Data'!$N$2:$N$65,"True")</x:f>
        <x:v>4</x:v>
      </x:c>
      <x:c r="G25" s="106" t="n">
        <x:f>AVERAGE(_xlfn._xlws.FILTER('Raw Data'!$P$2:$P$65,('Raw Data'!$F$2:$F$65=1000)*('Raw Data'!$G$2:$G$65=0.5)*('Raw Data'!$Z$2:$Z$65="circle")))</x:f>
        <x:v>480.05249999999995</x:v>
      </x:c>
      <x:c r="H25" s="110" t="n">
        <x:f>AVERAGE(_xlfn._xlws.FILTER('Raw Data'!$T$2:$T$65,('Raw Data'!$F$2:$F$65=1000)*('Raw Data'!$G$2:$G$65=0.5)*('Raw Data'!$Z$2:$Z$65="circle")))</x:f>
        <x:v>0.480533033033033</x:v>
      </x:c>
      <x:c r="I25" s="112" t="n">
        <x:f>COUNTIFS('Raw Data'!$F$2:$F$65,1000,'Raw Data'!$G$2:$G$65,0.5,'Raw Data'!$Z$2:$Z$65,"circle",'Raw Data'!$BK$2:$BK$65,"True")/E25</x:f>
        <x:v>1</x:v>
      </x:c>
      <x:c r="J25" s="112" t="n">
        <x:f>COUNTIFS('Raw Data'!$F$2:$F$65,1000,'Raw Data'!$G$2:$G$65,0.5,'Raw Data'!$Z$2:$Z$65,"circle",'Raw Data'!$BN$2:$BN$65,"&gt;0")/E25</x:f>
        <x:v>0</x:v>
      </x:c>
      <x:c r="K25" s="112" t="n">
        <x:f>COUNTIFS('Raw Data'!$F$2:$F$65,1000,'Raw Data'!$G$2:$G$65,0.5,'Raw Data'!$Z$2:$Z$65,"circle",'Raw Data'!$CE$2:$CE$65,"True")/E25</x:f>
        <x:v>1</x:v>
      </x:c>
      <x:c r="L25" s="106" t="n">
        <x:f>SUM(_xlfn._xlws.FILTER('Raw Data'!$BZ$2:$BZ$65,('Raw Data'!$F$2:$F$65=1000)*('Raw Data'!$G$2:$G$65=0.5)*('Raw Data'!$Z$2:$Z$65="circle")))</x:f>
        <x:v>0</x:v>
      </x:c>
      <x:c r="M25" s="106" t="n">
        <x:f>MEDIAN(_xlfn._xlws.FILTER('Raw Data'!$CC$2:$CC$65,('Raw Data'!$F$2:$F$65=1000)*('Raw Data'!$G$2:$G$65=0.5)*('Raw Data'!$Z$2:$Z$65="circle")))</x:f>
        <x:v>138.5</x:v>
      </x:c>
      <x:c r="N25" s="108" t="n">
        <x:f>MEDIAN(_xlfn._xlws.FILTER('Raw Data'!$CC$2:$CC$65/'Raw Data'!$F$2:$F$65,('Raw Data'!$F$2:$F$65=1000)*('Raw Data'!$G$2:$G$65=0.5)*('Raw Data'!$Z$2:$Z$65="circle")))</x:f>
        <x:v>0.1385</x:v>
      </x:c>
      <x:c r="O25" s="110" t="n">
        <x:f>MEDIAN(_xlfn._xlws.FILTER('Raw Data'!$CD$2:$CD$65,('Raw Data'!$F$2:$F$65=1000)*('Raw Data'!$G$2:$G$65=0.5)*('Raw Data'!$Z$2:$Z$65="circle")))</x:f>
        <x:v>25.283131350006443</x:v>
      </x:c>
      <x:c r="P25" s="108" t="n">
        <x:f>IF(F25=0,"",MEDIAN(_xlfn._xlws.FILTER('Raw Data'!$CC$2:$CC$65/'Raw Data'!$F$2:$F$65,('Raw Data'!$F$2:$F$65=1000)*('Raw Data'!$G$2:$G$65=0.5)*('Raw Data'!$Z$2:$Z$65="circle")*('Raw Data'!$N$2:$N$65="True"))))</x:f>
        <x:v>0.1385</x:v>
      </x:c>
      <x:c r="Q25" s="110" t="n">
        <x:f>IF(F25=0,"",MEDIAN(_xlfn._xlws.FILTER('Raw Data'!$CD$2:$CD$65,('Raw Data'!$F$2:$F$65=1000)*('Raw Data'!$G$2:$G$65=0.5)*('Raw Data'!$Z$2:$Z$65="circle")*('Raw Data'!$N$2:$N$65="True"))))</x:f>
        <x:v>25.283131350006443</x:v>
      </x:c>
    </x:row>
    <x:row r="26">
      <x:c r="A26" s="106" t="n">
        <x:v>1000</x:v>
      </x:c>
      <x:c r="B26" s="106" t="n">
        <x:v>0.5</x:v>
      </x:c>
      <x:c r="C26" s="106" t="str">
        <x:v>zoomed</x:v>
      </x:c>
      <x:c r="D26" s="190" t="str">
        <x:v>entropy</x:v>
      </x:c>
      <x:c r="E26" s="106" t="n">
        <x:f>COUNTIFS('Raw Data'!$F$2:$F$65,1000,'Raw Data'!$G$2:$G$65,0.5,'Raw Data'!$Z$2:$Z$65,"zoomed")</x:f>
        <x:v>4</x:v>
      </x:c>
      <x:c r="F26" s="106" t="n">
        <x:f>COUNTIFS('Raw Data'!$F$2:$F$65,1000,'Raw Data'!$G$2:$G$65,0.5,'Raw Data'!$Z$2:$Z$65,"zoomed",'Raw Data'!$N$2:$N$65,"True")</x:f>
        <x:v>4</x:v>
      </x:c>
      <x:c r="G26" s="106" t="n">
        <x:f>AVERAGE(_xlfn._xlws.FILTER('Raw Data'!$P$2:$P$65,('Raw Data'!$F$2:$F$65=1000)*('Raw Data'!$G$2:$G$65=0.5)*('Raw Data'!$Z$2:$Z$65="zoomed")))</x:f>
        <x:v>480.05249999999995</x:v>
      </x:c>
      <x:c r="H26" s="110" t="n">
        <x:f>AVERAGE(_xlfn._xlws.FILTER('Raw Data'!$T$2:$T$65,('Raw Data'!$F$2:$F$65=1000)*('Raw Data'!$G$2:$G$65=0.5)*('Raw Data'!$Z$2:$Z$65="zoomed")))</x:f>
        <x:v>0.480533033033033</x:v>
      </x:c>
      <x:c r="I26" s="112" t="n">
        <x:f>COUNTIFS('Raw Data'!$F$2:$F$65,1000,'Raw Data'!$G$2:$G$65,0.5,'Raw Data'!$Z$2:$Z$65,"zoomed",'Raw Data'!$AI$2:$AI$65,"True")/E26</x:f>
        <x:v>1</x:v>
      </x:c>
      <x:c r="J26" s="112" t="n">
        <x:f>COUNTIFS('Raw Data'!$F$2:$F$65,1000,'Raw Data'!$G$2:$G$65,0.5,'Raw Data'!$Z$2:$Z$65,"zoomed",'Raw Data'!$AL$2:$AL$65,"&gt;0")/E26</x:f>
        <x:v>0</x:v>
      </x:c>
      <x:c r="K26" s="112" t="n">
        <x:f>COUNTIFS('Raw Data'!$F$2:$F$65,1000,'Raw Data'!$G$2:$G$65,0.5,'Raw Data'!$Z$2:$Z$65,"zoomed",'Raw Data'!$BC$2:$BC$65,"True")/E26</x:f>
        <x:v>1</x:v>
      </x:c>
      <x:c r="L26" s="106" t="n">
        <x:f>SUM(_xlfn._xlws.FILTER('Raw Data'!$AX$2:$AX$65,('Raw Data'!$F$2:$F$65=1000)*('Raw Data'!$G$2:$G$65=0.5)*('Raw Data'!$Z$2:$Z$65="zoomed")))</x:f>
        <x:v>0</x:v>
      </x:c>
      <x:c r="M26" s="106" t="n">
        <x:f>MEDIAN(_xlfn._xlws.FILTER('Raw Data'!$BA$2:$BA$65,('Raw Data'!$F$2:$F$65=1000)*('Raw Data'!$G$2:$G$65=0.5)*('Raw Data'!$Z$2:$Z$65="zoomed")))</x:f>
        <x:v>143</x:v>
      </x:c>
      <x:c r="N26" s="108" t="n">
        <x:f>MEDIAN(_xlfn._xlws.FILTER('Raw Data'!$BA$2:$BA$65/'Raw Data'!$F$2:$F$65,('Raw Data'!$F$2:$F$65=1000)*('Raw Data'!$G$2:$G$65=0.5)*('Raw Data'!$Z$2:$Z$65="zoomed")))</x:f>
        <x:v>0.143</x:v>
      </x:c>
      <x:c r="O26" s="110" t="n">
        <x:f>MEDIAN(_xlfn._xlws.FILTER('Raw Data'!$BB$2:$BB$65,('Raw Data'!$F$2:$F$65=1000)*('Raw Data'!$G$2:$G$65=0.5)*('Raw Data'!$Z$2:$Z$65="zoomed")))</x:f>
        <x:v>43.96719239995582</x:v>
      </x:c>
      <x:c r="P26" s="108" t="n">
        <x:f>IF(F26=0,"",MEDIAN(_xlfn._xlws.FILTER('Raw Data'!$BA$2:$BA$65/'Raw Data'!$F$2:$F$65,('Raw Data'!$F$2:$F$65=1000)*('Raw Data'!$G$2:$G$65=0.5)*('Raw Data'!$Z$2:$Z$65="zoomed")*('Raw Data'!$N$2:$N$65="True"))))</x:f>
        <x:v>0.143</x:v>
      </x:c>
      <x:c r="Q26" s="110" t="n">
        <x:f>IF(F26=0,"",MEDIAN(_xlfn._xlws.FILTER('Raw Data'!$BB$2:$BB$65,('Raw Data'!$F$2:$F$65=1000)*('Raw Data'!$G$2:$G$65=0.5)*('Raw Data'!$Z$2:$Z$65="zoomed")*('Raw Data'!$N$2:$N$65="True"))))</x:f>
        <x:v>43.96719239995582</x:v>
      </x:c>
    </x:row>
    <x:row r="27">
      <x:c r="A27" s="106" t="n">
        <x:v>1000</x:v>
      </x:c>
      <x:c r="B27" s="106" t="n">
        <x:v>0.5</x:v>
      </x:c>
      <x:c r="C27" s="106" t="str">
        <x:v>zoomed</x:v>
      </x:c>
      <x:c r="D27" s="114" t="str">
        <x:v>collision</x:v>
      </x:c>
      <x:c r="E27" s="106" t="n">
        <x:f>COUNTIFS('Raw Data'!$F$2:$F$65,1000,'Raw Data'!$G$2:$G$65,0.5,'Raw Data'!$Z$2:$Z$65,"zoomed")</x:f>
        <x:v>4</x:v>
      </x:c>
      <x:c r="F27" s="106" t="n">
        <x:f>COUNTIFS('Raw Data'!$F$2:$F$65,1000,'Raw Data'!$G$2:$G$65,0.5,'Raw Data'!$Z$2:$Z$65,"zoomed",'Raw Data'!$N$2:$N$65,"True")</x:f>
        <x:v>4</x:v>
      </x:c>
      <x:c r="G27" s="106" t="n">
        <x:f>AVERAGE(_xlfn._xlws.FILTER('Raw Data'!$P$2:$P$65,('Raw Data'!$F$2:$F$65=1000)*('Raw Data'!$G$2:$G$65=0.5)*('Raw Data'!$Z$2:$Z$65="zoomed")))</x:f>
        <x:v>480.05249999999995</x:v>
      </x:c>
      <x:c r="H27" s="110" t="n">
        <x:f>AVERAGE(_xlfn._xlws.FILTER('Raw Data'!$T$2:$T$65,('Raw Data'!$F$2:$F$65=1000)*('Raw Data'!$G$2:$G$65=0.5)*('Raw Data'!$Z$2:$Z$65="zoomed")))</x:f>
        <x:v>0.480533033033033</x:v>
      </x:c>
      <x:c r="I27" s="112" t="n">
        <x:f>COUNTIFS('Raw Data'!$F$2:$F$65,1000,'Raw Data'!$G$2:$G$65,0.5,'Raw Data'!$Z$2:$Z$65,"zoomed",'Raw Data'!$BK$2:$BK$65,"True")/E27</x:f>
        <x:v>0.75</x:v>
      </x:c>
      <x:c r="J27" s="112" t="n">
        <x:f>COUNTIFS('Raw Data'!$F$2:$F$65,1000,'Raw Data'!$G$2:$G$65,0.5,'Raw Data'!$Z$2:$Z$65,"zoomed",'Raw Data'!$BN$2:$BN$65,"&gt;0")/E27</x:f>
        <x:v>0.25</x:v>
      </x:c>
      <x:c r="K27" s="112" t="n">
        <x:f>COUNTIFS('Raw Data'!$F$2:$F$65,1000,'Raw Data'!$G$2:$G$65,0.5,'Raw Data'!$Z$2:$Z$65,"zoomed",'Raw Data'!$CE$2:$CE$65,"True")/E27</x:f>
        <x:v>1</x:v>
      </x:c>
      <x:c r="L27" s="106" t="n">
        <x:f>SUM(_xlfn._xlws.FILTER('Raw Data'!$BZ$2:$BZ$65,('Raw Data'!$F$2:$F$65=1000)*('Raw Data'!$G$2:$G$65=0.5)*('Raw Data'!$Z$2:$Z$65="zoomed")))</x:f>
        <x:v>0</x:v>
      </x:c>
      <x:c r="M27" s="106" t="n">
        <x:f>MEDIAN(_xlfn._xlws.FILTER('Raw Data'!$CC$2:$CC$65,('Raw Data'!$F$2:$F$65=1000)*('Raw Data'!$G$2:$G$65=0.5)*('Raw Data'!$Z$2:$Z$65="zoomed")))</x:f>
        <x:v>137</x:v>
      </x:c>
      <x:c r="N27" s="108" t="n">
        <x:f>MEDIAN(_xlfn._xlws.FILTER('Raw Data'!$CC$2:$CC$65/'Raw Data'!$F$2:$F$65,('Raw Data'!$F$2:$F$65=1000)*('Raw Data'!$G$2:$G$65=0.5)*('Raw Data'!$Z$2:$Z$65="zoomed")))</x:f>
        <x:v>0.137</x:v>
      </x:c>
      <x:c r="O27" s="110" t="n">
        <x:f>MEDIAN(_xlfn._xlws.FILTER('Raw Data'!$CD$2:$CD$65,('Raw Data'!$F$2:$F$65=1000)*('Raw Data'!$G$2:$G$65=0.5)*('Raw Data'!$Z$2:$Z$65="zoomed")))</x:f>
        <x:v>30.343760949966963</x:v>
      </x:c>
      <x:c r="P27" s="108" t="n">
        <x:f>IF(F27=0,"",MEDIAN(_xlfn._xlws.FILTER('Raw Data'!$CC$2:$CC$65/'Raw Data'!$F$2:$F$65,('Raw Data'!$F$2:$F$65=1000)*('Raw Data'!$G$2:$G$65=0.5)*('Raw Data'!$Z$2:$Z$65="zoomed")*('Raw Data'!$N$2:$N$65="True"))))</x:f>
        <x:v>0.137</x:v>
      </x:c>
      <x:c r="Q27" s="110" t="n">
        <x:f>IF(F27=0,"",MEDIAN(_xlfn._xlws.FILTER('Raw Data'!$CD$2:$CD$65,('Raw Data'!$F$2:$F$65=1000)*('Raw Data'!$G$2:$G$65=0.5)*('Raw Data'!$Z$2:$Z$65="zoomed")*('Raw Data'!$N$2:$N$65="True"))))</x:f>
        <x:v>30.343760949966963</x:v>
      </x:c>
    </x:row>
    <x:row r="28">
      <x:c r="A28" s="106" t="n">
        <x:v>1000</x:v>
      </x:c>
      <x:c r="B28" s="106" t="n">
        <x:v>0.5</x:v>
      </x:c>
      <x:c r="C28" s="106" t="str">
        <x:v>ich</x:v>
      </x:c>
      <x:c r="D28" s="190" t="str">
        <x:v>entropy</x:v>
      </x:c>
      <x:c r="E28" s="106" t="n">
        <x:f>COUNTIFS('Raw Data'!$F$2:$F$65,1000,'Raw Data'!$G$2:$G$65,0.5,'Raw Data'!$Z$2:$Z$65,"ich")</x:f>
        <x:v>4</x:v>
      </x:c>
      <x:c r="F28" s="106" t="n">
        <x:f>COUNTIFS('Raw Data'!$F$2:$F$65,1000,'Raw Data'!$G$2:$G$65,0.5,'Raw Data'!$Z$2:$Z$65,"ich",'Raw Data'!$N$2:$N$65,"True")</x:f>
        <x:v>4</x:v>
      </x:c>
      <x:c r="G28" s="106" t="n">
        <x:f>AVERAGE(_xlfn._xlws.FILTER('Raw Data'!$P$2:$P$65,('Raw Data'!$F$2:$F$65=1000)*('Raw Data'!$G$2:$G$65=0.5)*('Raw Data'!$Z$2:$Z$65="ich")))</x:f>
        <x:v>480.05249999999995</x:v>
      </x:c>
      <x:c r="H28" s="110" t="n">
        <x:f>AVERAGE(_xlfn._xlws.FILTER('Raw Data'!$T$2:$T$65,('Raw Data'!$F$2:$F$65=1000)*('Raw Data'!$G$2:$G$65=0.5)*('Raw Data'!$Z$2:$Z$65="ich")))</x:f>
        <x:v>0.480533033033033</x:v>
      </x:c>
      <x:c r="I28" s="112" t="n">
        <x:f>COUNTIFS('Raw Data'!$F$2:$F$65,1000,'Raw Data'!$G$2:$G$65,0.5,'Raw Data'!$Z$2:$Z$65,"ich",'Raw Data'!$AI$2:$AI$65,"True")/E28</x:f>
        <x:v>1</x:v>
      </x:c>
      <x:c r="J28" s="112" t="n">
        <x:f>COUNTIFS('Raw Data'!$F$2:$F$65,1000,'Raw Data'!$G$2:$G$65,0.5,'Raw Data'!$Z$2:$Z$65,"ich",'Raw Data'!$AL$2:$AL$65,"&gt;0")/E28</x:f>
        <x:v>0</x:v>
      </x:c>
      <x:c r="K28" s="112" t="n">
        <x:f>COUNTIFS('Raw Data'!$F$2:$F$65,1000,'Raw Data'!$G$2:$G$65,0.5,'Raw Data'!$Z$2:$Z$65,"ich",'Raw Data'!$BC$2:$BC$65,"True")/E28</x:f>
        <x:v>1</x:v>
      </x:c>
      <x:c r="L28" s="106" t="n">
        <x:f>SUM(_xlfn._xlws.FILTER('Raw Data'!$AX$2:$AX$65,('Raw Data'!$F$2:$F$65=1000)*('Raw Data'!$G$2:$G$65=0.5)*('Raw Data'!$Z$2:$Z$65="ich")))</x:f>
        <x:v>10</x:v>
      </x:c>
      <x:c r="M28" s="106" t="n">
        <x:f>MEDIAN(_xlfn._xlws.FILTER('Raw Data'!$BA$2:$BA$65,('Raw Data'!$F$2:$F$65=1000)*('Raw Data'!$G$2:$G$65=0.5)*('Raw Data'!$Z$2:$Z$65="ich")))</x:f>
        <x:v>117.5</x:v>
      </x:c>
      <x:c r="N28" s="108" t="n">
        <x:f>MEDIAN(_xlfn._xlws.FILTER('Raw Data'!$BA$2:$BA$65/'Raw Data'!$F$2:$F$65,('Raw Data'!$F$2:$F$65=1000)*('Raw Data'!$G$2:$G$65=0.5)*('Raw Data'!$Z$2:$Z$65="ich")))</x:f>
        <x:v>0.1175</x:v>
      </x:c>
      <x:c r="O28" s="110" t="n">
        <x:f>MEDIAN(_xlfn._xlws.FILTER('Raw Data'!$BB$2:$BB$65,('Raw Data'!$F$2:$F$65=1000)*('Raw Data'!$G$2:$G$65=0.5)*('Raw Data'!$Z$2:$Z$65="ich")))</x:f>
        <x:v>209.62926955003059</x:v>
      </x:c>
      <x:c r="P28" s="108" t="n">
        <x:f>IF(F28=0,"",MEDIAN(_xlfn._xlws.FILTER('Raw Data'!$BA$2:$BA$65/'Raw Data'!$F$2:$F$65,('Raw Data'!$F$2:$F$65=1000)*('Raw Data'!$G$2:$G$65=0.5)*('Raw Data'!$Z$2:$Z$65="ich")*('Raw Data'!$N$2:$N$65="True"))))</x:f>
        <x:v>0.1175</x:v>
      </x:c>
      <x:c r="Q28" s="110" t="n">
        <x:f>IF(F28=0,"",MEDIAN(_xlfn._xlws.FILTER('Raw Data'!$BB$2:$BB$65,('Raw Data'!$F$2:$F$65=1000)*('Raw Data'!$G$2:$G$65=0.5)*('Raw Data'!$Z$2:$Z$65="ich")*('Raw Data'!$N$2:$N$65="True"))))</x:f>
        <x:v>209.62926955003059</x:v>
      </x:c>
    </x:row>
    <x:row r="29">
      <x:c r="A29" s="106" t="n">
        <x:v>1000</x:v>
      </x:c>
      <x:c r="B29" s="106" t="n">
        <x:v>0.5</x:v>
      </x:c>
      <x:c r="C29" s="106" t="str">
        <x:v>ich</x:v>
      </x:c>
      <x:c r="D29" s="114" t="str">
        <x:v>collision</x:v>
      </x:c>
      <x:c r="E29" s="106" t="n">
        <x:f>COUNTIFS('Raw Data'!$F$2:$F$65,1000,'Raw Data'!$G$2:$G$65,0.5,'Raw Data'!$Z$2:$Z$65,"ich")</x:f>
        <x:v>4</x:v>
      </x:c>
      <x:c r="F29" s="106" t="n">
        <x:f>COUNTIFS('Raw Data'!$F$2:$F$65,1000,'Raw Data'!$G$2:$G$65,0.5,'Raw Data'!$Z$2:$Z$65,"ich",'Raw Data'!$N$2:$N$65,"True")</x:f>
        <x:v>4</x:v>
      </x:c>
      <x:c r="G29" s="106" t="n">
        <x:f>AVERAGE(_xlfn._xlws.FILTER('Raw Data'!$P$2:$P$65,('Raw Data'!$F$2:$F$65=1000)*('Raw Data'!$G$2:$G$65=0.5)*('Raw Data'!$Z$2:$Z$65="ich")))</x:f>
        <x:v>480.05249999999995</x:v>
      </x:c>
      <x:c r="H29" s="110" t="n">
        <x:f>AVERAGE(_xlfn._xlws.FILTER('Raw Data'!$T$2:$T$65,('Raw Data'!$F$2:$F$65=1000)*('Raw Data'!$G$2:$G$65=0.5)*('Raw Data'!$Z$2:$Z$65="ich")))</x:f>
        <x:v>0.480533033033033</x:v>
      </x:c>
      <x:c r="I29" s="112" t="n">
        <x:f>COUNTIFS('Raw Data'!$F$2:$F$65,1000,'Raw Data'!$G$2:$G$65,0.5,'Raw Data'!$Z$2:$Z$65,"ich",'Raw Data'!$BK$2:$BK$65,"True")/E29</x:f>
        <x:v>1</x:v>
      </x:c>
      <x:c r="J29" s="112" t="n">
        <x:f>COUNTIFS('Raw Data'!$F$2:$F$65,1000,'Raw Data'!$G$2:$G$65,0.5,'Raw Data'!$Z$2:$Z$65,"ich",'Raw Data'!$BN$2:$BN$65,"&gt;0")/E29</x:f>
        <x:v>0</x:v>
      </x:c>
      <x:c r="K29" s="112" t="n">
        <x:f>COUNTIFS('Raw Data'!$F$2:$F$65,1000,'Raw Data'!$G$2:$G$65,0.5,'Raw Data'!$Z$2:$Z$65,"ich",'Raw Data'!$CE$2:$CE$65,"True")/E29</x:f>
        <x:v>1</x:v>
      </x:c>
      <x:c r="L29" s="106" t="n">
        <x:f>SUM(_xlfn._xlws.FILTER('Raw Data'!$BZ$2:$BZ$65,('Raw Data'!$F$2:$F$65=1000)*('Raw Data'!$G$2:$G$65=0.5)*('Raw Data'!$Z$2:$Z$65="ich")))</x:f>
        <x:v>16</x:v>
      </x:c>
      <x:c r="M29" s="106" t="n">
        <x:f>MEDIAN(_xlfn._xlws.FILTER('Raw Data'!$CC$2:$CC$65,('Raw Data'!$F$2:$F$65=1000)*('Raw Data'!$G$2:$G$65=0.5)*('Raw Data'!$Z$2:$Z$65="ich")))</x:f>
        <x:v>117.5</x:v>
      </x:c>
      <x:c r="N29" s="108" t="n">
        <x:f>MEDIAN(_xlfn._xlws.FILTER('Raw Data'!$CC$2:$CC$65/'Raw Data'!$F$2:$F$65,('Raw Data'!$F$2:$F$65=1000)*('Raw Data'!$G$2:$G$65=0.5)*('Raw Data'!$Z$2:$Z$65="ich")))</x:f>
        <x:v>0.1175</x:v>
      </x:c>
      <x:c r="O29" s="110" t="n">
        <x:f>MEDIAN(_xlfn._xlws.FILTER('Raw Data'!$CD$2:$CD$65,('Raw Data'!$F$2:$F$65=1000)*('Raw Data'!$G$2:$G$65=0.5)*('Raw Data'!$Z$2:$Z$65="ich")))</x:f>
        <x:v>222.18897154997103</x:v>
      </x:c>
      <x:c r="P29" s="108" t="n">
        <x:f>IF(F29=0,"",MEDIAN(_xlfn._xlws.FILTER('Raw Data'!$CC$2:$CC$65/'Raw Data'!$F$2:$F$65,('Raw Data'!$F$2:$F$65=1000)*('Raw Data'!$G$2:$G$65=0.5)*('Raw Data'!$Z$2:$Z$65="ich")*('Raw Data'!$N$2:$N$65="True"))))</x:f>
        <x:v>0.1175</x:v>
      </x:c>
      <x:c r="Q29" s="110" t="n">
        <x:f>IF(F29=0,"",MEDIAN(_xlfn._xlws.FILTER('Raw Data'!$CD$2:$CD$65,('Raw Data'!$F$2:$F$65=1000)*('Raw Data'!$G$2:$G$65=0.5)*('Raw Data'!$Z$2:$Z$65="ich")*('Raw Data'!$N$2:$N$65="True"))))</x:f>
        <x:v>222.18897154997103</x:v>
      </x:c>
    </x:row>
    <x:row r="30">
      <x:c r="A30" s="106" t="n">
        <x:v>1000</x:v>
      </x:c>
      <x:c r="B30" s="106" t="n">
        <x:v>0.7</x:v>
      </x:c>
      <x:c r="C30" s="106" t="str">
        <x:v>grid</x:v>
      </x:c>
      <x:c r="D30" s="190" t="str">
        <x:v>entropy</x:v>
      </x:c>
      <x:c r="E30" s="106" t="n">
        <x:f>COUNTIFS('Raw Data'!$F$2:$F$65,1000,'Raw Data'!$G$2:$G$65,0.7,'Raw Data'!$Z$2:$Z$65,"grid")</x:f>
        <x:v>4</x:v>
      </x:c>
      <x:c r="F30" s="106" t="n">
        <x:f>COUNTIFS('Raw Data'!$F$2:$F$65,1000,'Raw Data'!$G$2:$G$65,0.7,'Raw Data'!$Z$2:$Z$65,"grid",'Raw Data'!$N$2:$N$65,"True")</x:f>
        <x:v>4</x:v>
      </x:c>
      <x:c r="G30" s="106" t="n">
        <x:f>AVERAGE(_xlfn._xlws.FILTER('Raw Data'!$P$2:$P$65,('Raw Data'!$F$2:$F$65=1000)*('Raw Data'!$G$2:$G$65=0.7)*('Raw Data'!$Z$2:$Z$65="grid")))</x:f>
        <x:v>746.3065</x:v>
      </x:c>
      <x:c r="H30" s="110" t="n">
        <x:f>AVERAGE(_xlfn._xlws.FILTER('Raw Data'!$T$2:$T$65,('Raw Data'!$F$2:$F$65=1000)*('Raw Data'!$G$2:$G$65=0.7)*('Raw Data'!$Z$2:$Z$65="grid")))</x:f>
        <x:v>0.7470535535535535</x:v>
      </x:c>
      <x:c r="I30" s="112" t="n">
        <x:f>COUNTIFS('Raw Data'!$F$2:$F$65,1000,'Raw Data'!$G$2:$G$65,0.7,'Raw Data'!$Z$2:$Z$65,"grid",'Raw Data'!$AI$2:$AI$65,"True")/E30</x:f>
        <x:v>1</x:v>
      </x:c>
      <x:c r="J30" s="112" t="n">
        <x:f>COUNTIFS('Raw Data'!$F$2:$F$65,1000,'Raw Data'!$G$2:$G$65,0.7,'Raw Data'!$Z$2:$Z$65,"grid",'Raw Data'!$AL$2:$AL$65,"&gt;0")/E30</x:f>
        <x:v>0</x:v>
      </x:c>
      <x:c r="K30" s="112" t="n">
        <x:f>COUNTIFS('Raw Data'!$F$2:$F$65,1000,'Raw Data'!$G$2:$G$65,0.7,'Raw Data'!$Z$2:$Z$65,"grid",'Raw Data'!$BC$2:$BC$65,"True")/E30</x:f>
        <x:v>1</x:v>
      </x:c>
      <x:c r="L30" s="106" t="n">
        <x:f>SUM(_xlfn._xlws.FILTER('Raw Data'!$AX$2:$AX$65,('Raw Data'!$F$2:$F$65=1000)*('Raw Data'!$G$2:$G$65=0.7)*('Raw Data'!$Z$2:$Z$65="grid")))</x:f>
        <x:v>0</x:v>
      </x:c>
      <x:c r="M30" s="106" t="n">
        <x:f>MEDIAN(_xlfn._xlws.FILTER('Raw Data'!$BA$2:$BA$65,('Raw Data'!$F$2:$F$65=1000)*('Raw Data'!$G$2:$G$65=0.7)*('Raw Data'!$Z$2:$Z$65="grid")))</x:f>
        <x:v>179</x:v>
      </x:c>
      <x:c r="N30" s="108" t="n">
        <x:f>MEDIAN(_xlfn._xlws.FILTER('Raw Data'!$BA$2:$BA$65/'Raw Data'!$F$2:$F$65,('Raw Data'!$F$2:$F$65=1000)*('Raw Data'!$G$2:$G$65=0.7)*('Raw Data'!$Z$2:$Z$65="grid")))</x:f>
        <x:v>0.179</x:v>
      </x:c>
      <x:c r="O30" s="110" t="n">
        <x:f>MEDIAN(_xlfn._xlws.FILTER('Raw Data'!$BB$2:$BB$65,('Raw Data'!$F$2:$F$65=1000)*('Raw Data'!$G$2:$G$65=0.7)*('Raw Data'!$Z$2:$Z$65="grid")))</x:f>
        <x:v>143.5059391000541</x:v>
      </x:c>
      <x:c r="P30" s="108" t="n">
        <x:f>IF(F30=0,"",MEDIAN(_xlfn._xlws.FILTER('Raw Data'!$BA$2:$BA$65/'Raw Data'!$F$2:$F$65,('Raw Data'!$F$2:$F$65=1000)*('Raw Data'!$G$2:$G$65=0.7)*('Raw Data'!$Z$2:$Z$65="grid")*('Raw Data'!$N$2:$N$65="True"))))</x:f>
        <x:v>0.179</x:v>
      </x:c>
      <x:c r="Q30" s="110" t="n">
        <x:f>IF(F30=0,"",MEDIAN(_xlfn._xlws.FILTER('Raw Data'!$BB$2:$BB$65,('Raw Data'!$F$2:$F$65=1000)*('Raw Data'!$G$2:$G$65=0.7)*('Raw Data'!$Z$2:$Z$65="grid")*('Raw Data'!$N$2:$N$65="True"))))</x:f>
        <x:v>143.5059391000541</x:v>
      </x:c>
    </x:row>
    <x:row r="31">
      <x:c r="A31" s="106" t="n">
        <x:v>1000</x:v>
      </x:c>
      <x:c r="B31" s="106" t="n">
        <x:v>0.7</x:v>
      </x:c>
      <x:c r="C31" s="106" t="str">
        <x:v>grid</x:v>
      </x:c>
      <x:c r="D31" s="114" t="str">
        <x:v>collision</x:v>
      </x:c>
      <x:c r="E31" s="106" t="n">
        <x:f>COUNTIFS('Raw Data'!$F$2:$F$65,1000,'Raw Data'!$G$2:$G$65,0.7,'Raw Data'!$Z$2:$Z$65,"grid")</x:f>
        <x:v>4</x:v>
      </x:c>
      <x:c r="F31" s="106" t="n">
        <x:f>COUNTIFS('Raw Data'!$F$2:$F$65,1000,'Raw Data'!$G$2:$G$65,0.7,'Raw Data'!$Z$2:$Z$65,"grid",'Raw Data'!$N$2:$N$65,"True")</x:f>
        <x:v>4</x:v>
      </x:c>
      <x:c r="G31" s="106" t="n">
        <x:f>AVERAGE(_xlfn._xlws.FILTER('Raw Data'!$P$2:$P$65,('Raw Data'!$F$2:$F$65=1000)*('Raw Data'!$G$2:$G$65=0.7)*('Raw Data'!$Z$2:$Z$65="grid")))</x:f>
        <x:v>746.3065</x:v>
      </x:c>
      <x:c r="H31" s="110" t="n">
        <x:f>AVERAGE(_xlfn._xlws.FILTER('Raw Data'!$T$2:$T$65,('Raw Data'!$F$2:$F$65=1000)*('Raw Data'!$G$2:$G$65=0.7)*('Raw Data'!$Z$2:$Z$65="grid")))</x:f>
        <x:v>0.7470535535535535</x:v>
      </x:c>
      <x:c r="I31" s="112" t="n">
        <x:f>COUNTIFS('Raw Data'!$F$2:$F$65,1000,'Raw Data'!$G$2:$G$65,0.7,'Raw Data'!$Z$2:$Z$65,"grid",'Raw Data'!$BK$2:$BK$65,"True")/E31</x:f>
        <x:v>1</x:v>
      </x:c>
      <x:c r="J31" s="112" t="n">
        <x:f>COUNTIFS('Raw Data'!$F$2:$F$65,1000,'Raw Data'!$G$2:$G$65,0.7,'Raw Data'!$Z$2:$Z$65,"grid",'Raw Data'!$BN$2:$BN$65,"&gt;0")/E31</x:f>
        <x:v>0</x:v>
      </x:c>
      <x:c r="K31" s="112" t="n">
        <x:f>COUNTIFS('Raw Data'!$F$2:$F$65,1000,'Raw Data'!$G$2:$G$65,0.7,'Raw Data'!$Z$2:$Z$65,"grid",'Raw Data'!$CE$2:$CE$65,"True")/E31</x:f>
        <x:v>1</x:v>
      </x:c>
      <x:c r="L31" s="106" t="n">
        <x:f>SUM(_xlfn._xlws.FILTER('Raw Data'!$BZ$2:$BZ$65,('Raw Data'!$F$2:$F$65=1000)*('Raw Data'!$G$2:$G$65=0.7)*('Raw Data'!$Z$2:$Z$65="grid")))</x:f>
        <x:v>0</x:v>
      </x:c>
      <x:c r="M31" s="106" t="n">
        <x:f>MEDIAN(_xlfn._xlws.FILTER('Raw Data'!$CC$2:$CC$65,('Raw Data'!$F$2:$F$65=1000)*('Raw Data'!$G$2:$G$65=0.7)*('Raw Data'!$Z$2:$Z$65="grid")))</x:f>
        <x:v>156</x:v>
      </x:c>
      <x:c r="N31" s="108" t="n">
        <x:f>MEDIAN(_xlfn._xlws.FILTER('Raw Data'!$CC$2:$CC$65/'Raw Data'!$F$2:$F$65,('Raw Data'!$F$2:$F$65=1000)*('Raw Data'!$G$2:$G$65=0.7)*('Raw Data'!$Z$2:$Z$65="grid")))</x:f>
        <x:v>0.156</x:v>
      </x:c>
      <x:c r="O31" s="110" t="n">
        <x:f>MEDIAN(_xlfn._xlws.FILTER('Raw Data'!$CD$2:$CD$65,('Raw Data'!$F$2:$F$65=1000)*('Raw Data'!$G$2:$G$65=0.7)*('Raw Data'!$Z$2:$Z$65="grid")))</x:f>
        <x:v>83.12478279997595</x:v>
      </x:c>
      <x:c r="P31" s="108" t="n">
        <x:f>IF(F31=0,"",MEDIAN(_xlfn._xlws.FILTER('Raw Data'!$CC$2:$CC$65/'Raw Data'!$F$2:$F$65,('Raw Data'!$F$2:$F$65=1000)*('Raw Data'!$G$2:$G$65=0.7)*('Raw Data'!$Z$2:$Z$65="grid")*('Raw Data'!$N$2:$N$65="True"))))</x:f>
        <x:v>0.156</x:v>
      </x:c>
      <x:c r="Q31" s="110" t="n">
        <x:f>IF(F31=0,"",MEDIAN(_xlfn._xlws.FILTER('Raw Data'!$CD$2:$CD$65,('Raw Data'!$F$2:$F$65=1000)*('Raw Data'!$G$2:$G$65=0.7)*('Raw Data'!$Z$2:$Z$65="grid")*('Raw Data'!$N$2:$N$65="True"))))</x:f>
        <x:v>83.12478279997595</x:v>
      </x:c>
    </x:row>
    <x:row r="32">
      <x:c r="A32" s="106" t="n">
        <x:v>1000</x:v>
      </x:c>
      <x:c r="B32" s="106" t="n">
        <x:v>0.7</x:v>
      </x:c>
      <x:c r="C32" s="106" t="str">
        <x:v>circle</x:v>
      </x:c>
      <x:c r="D32" s="190" t="str">
        <x:v>entropy</x:v>
      </x:c>
      <x:c r="E32" s="106" t="n">
        <x:f>COUNTIFS('Raw Data'!$F$2:$F$65,1000,'Raw Data'!$G$2:$G$65,0.7,'Raw Data'!$Z$2:$Z$65,"circle")</x:f>
        <x:v>4</x:v>
      </x:c>
      <x:c r="F32" s="106" t="n">
        <x:f>COUNTIFS('Raw Data'!$F$2:$F$65,1000,'Raw Data'!$G$2:$G$65,0.7,'Raw Data'!$Z$2:$Z$65,"circle",'Raw Data'!$N$2:$N$65,"True")</x:f>
        <x:v>4</x:v>
      </x:c>
      <x:c r="G32" s="106" t="n">
        <x:f>AVERAGE(_xlfn._xlws.FILTER('Raw Data'!$P$2:$P$65,('Raw Data'!$F$2:$F$65=1000)*('Raw Data'!$G$2:$G$65=0.7)*('Raw Data'!$Z$2:$Z$65="circle")))</x:f>
        <x:v>746.3065</x:v>
      </x:c>
      <x:c r="H32" s="110" t="n">
        <x:f>AVERAGE(_xlfn._xlws.FILTER('Raw Data'!$T$2:$T$65,('Raw Data'!$F$2:$F$65=1000)*('Raw Data'!$G$2:$G$65=0.7)*('Raw Data'!$Z$2:$Z$65="circle")))</x:f>
        <x:v>0.7470535535535535</x:v>
      </x:c>
      <x:c r="I32" s="112" t="n">
        <x:f>COUNTIFS('Raw Data'!$F$2:$F$65,1000,'Raw Data'!$G$2:$G$65,0.7,'Raw Data'!$Z$2:$Z$65,"circle",'Raw Data'!$AI$2:$AI$65,"True")/E32</x:f>
        <x:v>1</x:v>
      </x:c>
      <x:c r="J32" s="112" t="n">
        <x:f>COUNTIFS('Raw Data'!$F$2:$F$65,1000,'Raw Data'!$G$2:$G$65,0.7,'Raw Data'!$Z$2:$Z$65,"circle",'Raw Data'!$AL$2:$AL$65,"&gt;0")/E32</x:f>
        <x:v>0</x:v>
      </x:c>
      <x:c r="K32" s="112" t="n">
        <x:f>COUNTIFS('Raw Data'!$F$2:$F$65,1000,'Raw Data'!$G$2:$G$65,0.7,'Raw Data'!$Z$2:$Z$65,"circle",'Raw Data'!$BC$2:$BC$65,"True")/E32</x:f>
        <x:v>1</x:v>
      </x:c>
      <x:c r="L32" s="106" t="n">
        <x:f>SUM(_xlfn._xlws.FILTER('Raw Data'!$AX$2:$AX$65,('Raw Data'!$F$2:$F$65=1000)*('Raw Data'!$G$2:$G$65=0.7)*('Raw Data'!$Z$2:$Z$65="circle")))</x:f>
        <x:v>0</x:v>
      </x:c>
      <x:c r="M32" s="106" t="n">
        <x:f>MEDIAN(_xlfn._xlws.FILTER('Raw Data'!$BA$2:$BA$65,('Raw Data'!$F$2:$F$65=1000)*('Raw Data'!$G$2:$G$65=0.7)*('Raw Data'!$Z$2:$Z$65="circle")))</x:f>
        <x:v>238.5</x:v>
      </x:c>
      <x:c r="N32" s="108" t="n">
        <x:f>MEDIAN(_xlfn._xlws.FILTER('Raw Data'!$BA$2:$BA$65/'Raw Data'!$F$2:$F$65,('Raw Data'!$F$2:$F$65=1000)*('Raw Data'!$G$2:$G$65=0.7)*('Raw Data'!$Z$2:$Z$65="circle")))</x:f>
        <x:v>0.2385</x:v>
      </x:c>
      <x:c r="O32" s="110" t="n">
        <x:f>MEDIAN(_xlfn._xlws.FILTER('Raw Data'!$BB$2:$BB$65,('Raw Data'!$F$2:$F$65=1000)*('Raw Data'!$G$2:$G$65=0.7)*('Raw Data'!$Z$2:$Z$65="circle")))</x:f>
        <x:v>80.63761815009639</x:v>
      </x:c>
      <x:c r="P32" s="108" t="n">
        <x:f>IF(F32=0,"",MEDIAN(_xlfn._xlws.FILTER('Raw Data'!$BA$2:$BA$65/'Raw Data'!$F$2:$F$65,('Raw Data'!$F$2:$F$65=1000)*('Raw Data'!$G$2:$G$65=0.7)*('Raw Data'!$Z$2:$Z$65="circle")*('Raw Data'!$N$2:$N$65="True"))))</x:f>
        <x:v>0.2385</x:v>
      </x:c>
      <x:c r="Q32" s="110" t="n">
        <x:f>IF(F32=0,"",MEDIAN(_xlfn._xlws.FILTER('Raw Data'!$BB$2:$BB$65,('Raw Data'!$F$2:$F$65=1000)*('Raw Data'!$G$2:$G$65=0.7)*('Raw Data'!$Z$2:$Z$65="circle")*('Raw Data'!$N$2:$N$65="True"))))</x:f>
        <x:v>80.63761815009639</x:v>
      </x:c>
    </x:row>
    <x:row r="33">
      <x:c r="A33" s="106" t="n">
        <x:v>1000</x:v>
      </x:c>
      <x:c r="B33" s="106" t="n">
        <x:v>0.7</x:v>
      </x:c>
      <x:c r="C33" s="106" t="str">
        <x:v>circle</x:v>
      </x:c>
      <x:c r="D33" s="114" t="str">
        <x:v>collision</x:v>
      </x:c>
      <x:c r="E33" s="106" t="n">
        <x:f>COUNTIFS('Raw Data'!$F$2:$F$65,1000,'Raw Data'!$G$2:$G$65,0.7,'Raw Data'!$Z$2:$Z$65,"circle")</x:f>
        <x:v>4</x:v>
      </x:c>
      <x:c r="F33" s="106" t="n">
        <x:f>COUNTIFS('Raw Data'!$F$2:$F$65,1000,'Raw Data'!$G$2:$G$65,0.7,'Raw Data'!$Z$2:$Z$65,"circle",'Raw Data'!$N$2:$N$65,"True")</x:f>
        <x:v>4</x:v>
      </x:c>
      <x:c r="G33" s="106" t="n">
        <x:f>AVERAGE(_xlfn._xlws.FILTER('Raw Data'!$P$2:$P$65,('Raw Data'!$F$2:$F$65=1000)*('Raw Data'!$G$2:$G$65=0.7)*('Raw Data'!$Z$2:$Z$65="circle")))</x:f>
        <x:v>746.3065</x:v>
      </x:c>
      <x:c r="H33" s="110" t="n">
        <x:f>AVERAGE(_xlfn._xlws.FILTER('Raw Data'!$T$2:$T$65,('Raw Data'!$F$2:$F$65=1000)*('Raw Data'!$G$2:$G$65=0.7)*('Raw Data'!$Z$2:$Z$65="circle")))</x:f>
        <x:v>0.7470535535535535</x:v>
      </x:c>
      <x:c r="I33" s="112" t="n">
        <x:f>COUNTIFS('Raw Data'!$F$2:$F$65,1000,'Raw Data'!$G$2:$G$65,0.7,'Raw Data'!$Z$2:$Z$65,"circle",'Raw Data'!$BK$2:$BK$65,"True")/E33</x:f>
        <x:v>1</x:v>
      </x:c>
      <x:c r="J33" s="112" t="n">
        <x:f>COUNTIFS('Raw Data'!$F$2:$F$65,1000,'Raw Data'!$G$2:$G$65,0.7,'Raw Data'!$Z$2:$Z$65,"circle",'Raw Data'!$BN$2:$BN$65,"&gt;0")/E33</x:f>
        <x:v>0</x:v>
      </x:c>
      <x:c r="K33" s="112" t="n">
        <x:f>COUNTIFS('Raw Data'!$F$2:$F$65,1000,'Raw Data'!$G$2:$G$65,0.7,'Raw Data'!$Z$2:$Z$65,"circle",'Raw Data'!$CE$2:$CE$65,"True")/E33</x:f>
        <x:v>1</x:v>
      </x:c>
      <x:c r="L33" s="106" t="n">
        <x:f>SUM(_xlfn._xlws.FILTER('Raw Data'!$BZ$2:$BZ$65,('Raw Data'!$F$2:$F$65=1000)*('Raw Data'!$G$2:$G$65=0.7)*('Raw Data'!$Z$2:$Z$65="circle")))</x:f>
        <x:v>0</x:v>
      </x:c>
      <x:c r="M33" s="106" t="n">
        <x:f>MEDIAN(_xlfn._xlws.FILTER('Raw Data'!$CC$2:$CC$65,('Raw Data'!$F$2:$F$65=1000)*('Raw Data'!$G$2:$G$65=0.7)*('Raw Data'!$Z$2:$Z$65="circle")))</x:f>
        <x:v>242</x:v>
      </x:c>
      <x:c r="N33" s="108" t="n">
        <x:f>MEDIAN(_xlfn._xlws.FILTER('Raw Data'!$CC$2:$CC$65/'Raw Data'!$F$2:$F$65,('Raw Data'!$F$2:$F$65=1000)*('Raw Data'!$G$2:$G$65=0.7)*('Raw Data'!$Z$2:$Z$65="circle")))</x:f>
        <x:v>0.242</x:v>
      </x:c>
      <x:c r="O33" s="110" t="n">
        <x:f>MEDIAN(_xlfn._xlws.FILTER('Raw Data'!$CD$2:$CD$65,('Raw Data'!$F$2:$F$65=1000)*('Raw Data'!$G$2:$G$65=0.7)*('Raw Data'!$Z$2:$Z$65="circle")))</x:f>
        <x:v>58.366841400100384</x:v>
      </x:c>
      <x:c r="P33" s="108" t="n">
        <x:f>IF(F33=0,"",MEDIAN(_xlfn._xlws.FILTER('Raw Data'!$CC$2:$CC$65/'Raw Data'!$F$2:$F$65,('Raw Data'!$F$2:$F$65=1000)*('Raw Data'!$G$2:$G$65=0.7)*('Raw Data'!$Z$2:$Z$65="circle")*('Raw Data'!$N$2:$N$65="True"))))</x:f>
        <x:v>0.242</x:v>
      </x:c>
      <x:c r="Q33" s="110" t="n">
        <x:f>IF(F33=0,"",MEDIAN(_xlfn._xlws.FILTER('Raw Data'!$CD$2:$CD$65,('Raw Data'!$F$2:$F$65=1000)*('Raw Data'!$G$2:$G$65=0.7)*('Raw Data'!$Z$2:$Z$65="circle")*('Raw Data'!$N$2:$N$65="True"))))</x:f>
        <x:v>58.366841400100384</x:v>
      </x:c>
    </x:row>
    <x:row r="34">
      <x:c r="A34" s="106" t="n">
        <x:v>1000</x:v>
      </x:c>
      <x:c r="B34" s="106" t="n">
        <x:v>0.7</x:v>
      </x:c>
      <x:c r="C34" s="106" t="str">
        <x:v>zoomed</x:v>
      </x:c>
      <x:c r="D34" s="190" t="str">
        <x:v>entropy</x:v>
      </x:c>
      <x:c r="E34" s="106" t="n">
        <x:f>COUNTIFS('Raw Data'!$F$2:$F$65,1000,'Raw Data'!$G$2:$G$65,0.7,'Raw Data'!$Z$2:$Z$65,"zoomed")</x:f>
        <x:v>4</x:v>
      </x:c>
      <x:c r="F34" s="106" t="n">
        <x:f>COUNTIFS('Raw Data'!$F$2:$F$65,1000,'Raw Data'!$G$2:$G$65,0.7,'Raw Data'!$Z$2:$Z$65,"zoomed",'Raw Data'!$N$2:$N$65,"True")</x:f>
        <x:v>4</x:v>
      </x:c>
      <x:c r="G34" s="106" t="n">
        <x:f>AVERAGE(_xlfn._xlws.FILTER('Raw Data'!$P$2:$P$65,('Raw Data'!$F$2:$F$65=1000)*('Raw Data'!$G$2:$G$65=0.7)*('Raw Data'!$Z$2:$Z$65="zoomed")))</x:f>
        <x:v>746.3065</x:v>
      </x:c>
      <x:c r="H34" s="110" t="n">
        <x:f>AVERAGE(_xlfn._xlws.FILTER('Raw Data'!$T$2:$T$65,('Raw Data'!$F$2:$F$65=1000)*('Raw Data'!$G$2:$G$65=0.7)*('Raw Data'!$Z$2:$Z$65="zoomed")))</x:f>
        <x:v>0.7470535535535535</x:v>
      </x:c>
      <x:c r="I34" s="112" t="n">
        <x:f>COUNTIFS('Raw Data'!$F$2:$F$65,1000,'Raw Data'!$G$2:$G$65,0.7,'Raw Data'!$Z$2:$Z$65,"zoomed",'Raw Data'!$AI$2:$AI$65,"True")/E34</x:f>
        <x:v>1</x:v>
      </x:c>
      <x:c r="J34" s="112" t="n">
        <x:f>COUNTIFS('Raw Data'!$F$2:$F$65,1000,'Raw Data'!$G$2:$G$65,0.7,'Raw Data'!$Z$2:$Z$65,"zoomed",'Raw Data'!$AL$2:$AL$65,"&gt;0")/E34</x:f>
        <x:v>0</x:v>
      </x:c>
      <x:c r="K34" s="112" t="n">
        <x:f>COUNTIFS('Raw Data'!$F$2:$F$65,1000,'Raw Data'!$G$2:$G$65,0.7,'Raw Data'!$Z$2:$Z$65,"zoomed",'Raw Data'!$BC$2:$BC$65,"True")/E34</x:f>
        <x:v>1</x:v>
      </x:c>
      <x:c r="L34" s="106" t="n">
        <x:f>SUM(_xlfn._xlws.FILTER('Raw Data'!$AX$2:$AX$65,('Raw Data'!$F$2:$F$65=1000)*('Raw Data'!$G$2:$G$65=0.7)*('Raw Data'!$Z$2:$Z$65="zoomed")))</x:f>
        <x:v>0</x:v>
      </x:c>
      <x:c r="M34" s="106" t="n">
        <x:f>MEDIAN(_xlfn._xlws.FILTER('Raw Data'!$BA$2:$BA$65,('Raw Data'!$F$2:$F$65=1000)*('Raw Data'!$G$2:$G$65=0.7)*('Raw Data'!$Z$2:$Z$65="zoomed")))</x:f>
        <x:v>216</x:v>
      </x:c>
      <x:c r="N34" s="108" t="n">
        <x:f>MEDIAN(_xlfn._xlws.FILTER('Raw Data'!$BA$2:$BA$65/'Raw Data'!$F$2:$F$65,('Raw Data'!$F$2:$F$65=1000)*('Raw Data'!$G$2:$G$65=0.7)*('Raw Data'!$Z$2:$Z$65="zoomed")))</x:f>
        <x:v>0.216</x:v>
      </x:c>
      <x:c r="O34" s="110" t="n">
        <x:f>MEDIAN(_xlfn._xlws.FILTER('Raw Data'!$BB$2:$BB$65,('Raw Data'!$F$2:$F$65=1000)*('Raw Data'!$G$2:$G$65=0.7)*('Raw Data'!$Z$2:$Z$65="zoomed")))</x:f>
        <x:v>88.74247574998299</x:v>
      </x:c>
      <x:c r="P34" s="108" t="n">
        <x:f>IF(F34=0,"",MEDIAN(_xlfn._xlws.FILTER('Raw Data'!$BA$2:$BA$65/'Raw Data'!$F$2:$F$65,('Raw Data'!$F$2:$F$65=1000)*('Raw Data'!$G$2:$G$65=0.7)*('Raw Data'!$Z$2:$Z$65="zoomed")*('Raw Data'!$N$2:$N$65="True"))))</x:f>
        <x:v>0.216</x:v>
      </x:c>
      <x:c r="Q34" s="110" t="n">
        <x:f>IF(F34=0,"",MEDIAN(_xlfn._xlws.FILTER('Raw Data'!$BB$2:$BB$65,('Raw Data'!$F$2:$F$65=1000)*('Raw Data'!$G$2:$G$65=0.7)*('Raw Data'!$Z$2:$Z$65="zoomed")*('Raw Data'!$N$2:$N$65="True"))))</x:f>
        <x:v>88.74247574998299</x:v>
      </x:c>
    </x:row>
    <x:row r="35">
      <x:c r="A35" s="106" t="n">
        <x:v>1000</x:v>
      </x:c>
      <x:c r="B35" s="106" t="n">
        <x:v>0.7</x:v>
      </x:c>
      <x:c r="C35" s="106" t="str">
        <x:v>zoomed</x:v>
      </x:c>
      <x:c r="D35" s="114" t="str">
        <x:v>collision</x:v>
      </x:c>
      <x:c r="E35" s="106" t="n">
        <x:f>COUNTIFS('Raw Data'!$F$2:$F$65,1000,'Raw Data'!$G$2:$G$65,0.7,'Raw Data'!$Z$2:$Z$65,"zoomed")</x:f>
        <x:v>4</x:v>
      </x:c>
      <x:c r="F35" s="106" t="n">
        <x:f>COUNTIFS('Raw Data'!$F$2:$F$65,1000,'Raw Data'!$G$2:$G$65,0.7,'Raw Data'!$Z$2:$Z$65,"zoomed",'Raw Data'!$N$2:$N$65,"True")</x:f>
        <x:v>4</x:v>
      </x:c>
      <x:c r="G35" s="106" t="n">
        <x:f>AVERAGE(_xlfn._xlws.FILTER('Raw Data'!$P$2:$P$65,('Raw Data'!$F$2:$F$65=1000)*('Raw Data'!$G$2:$G$65=0.7)*('Raw Data'!$Z$2:$Z$65="zoomed")))</x:f>
        <x:v>746.3065</x:v>
      </x:c>
      <x:c r="H35" s="110" t="n">
        <x:f>AVERAGE(_xlfn._xlws.FILTER('Raw Data'!$T$2:$T$65,('Raw Data'!$F$2:$F$65=1000)*('Raw Data'!$G$2:$G$65=0.7)*('Raw Data'!$Z$2:$Z$65="zoomed")))</x:f>
        <x:v>0.7470535535535535</x:v>
      </x:c>
      <x:c r="I35" s="112" t="n">
        <x:f>COUNTIFS('Raw Data'!$F$2:$F$65,1000,'Raw Data'!$G$2:$G$65,0.7,'Raw Data'!$Z$2:$Z$65,"zoomed",'Raw Data'!$BK$2:$BK$65,"True")/E35</x:f>
        <x:v>1</x:v>
      </x:c>
      <x:c r="J35" s="112" t="n">
        <x:f>COUNTIFS('Raw Data'!$F$2:$F$65,1000,'Raw Data'!$G$2:$G$65,0.7,'Raw Data'!$Z$2:$Z$65,"zoomed",'Raw Data'!$BN$2:$BN$65,"&gt;0")/E35</x:f>
        <x:v>0</x:v>
      </x:c>
      <x:c r="K35" s="112" t="n">
        <x:f>COUNTIFS('Raw Data'!$F$2:$F$65,1000,'Raw Data'!$G$2:$G$65,0.7,'Raw Data'!$Z$2:$Z$65,"zoomed",'Raw Data'!$CE$2:$CE$65,"True")/E35</x:f>
        <x:v>1</x:v>
      </x:c>
      <x:c r="L35" s="106" t="n">
        <x:f>SUM(_xlfn._xlws.FILTER('Raw Data'!$BZ$2:$BZ$65,('Raw Data'!$F$2:$F$65=1000)*('Raw Data'!$G$2:$G$65=0.7)*('Raw Data'!$Z$2:$Z$65="zoomed")))</x:f>
        <x:v>0</x:v>
      </x:c>
      <x:c r="M35" s="106" t="n">
        <x:f>MEDIAN(_xlfn._xlws.FILTER('Raw Data'!$CC$2:$CC$65,('Raw Data'!$F$2:$F$65=1000)*('Raw Data'!$G$2:$G$65=0.7)*('Raw Data'!$Z$2:$Z$65="zoomed")))</x:f>
        <x:v>186</x:v>
      </x:c>
      <x:c r="N35" s="108" t="n">
        <x:f>MEDIAN(_xlfn._xlws.FILTER('Raw Data'!$CC$2:$CC$65/'Raw Data'!$F$2:$F$65,('Raw Data'!$F$2:$F$65=1000)*('Raw Data'!$G$2:$G$65=0.7)*('Raw Data'!$Z$2:$Z$65="zoomed")))</x:f>
        <x:v>0.186</x:v>
      </x:c>
      <x:c r="O35" s="110" t="n">
        <x:f>MEDIAN(_xlfn._xlws.FILTER('Raw Data'!$CD$2:$CD$65,('Raw Data'!$F$2:$F$65=1000)*('Raw Data'!$G$2:$G$65=0.7)*('Raw Data'!$Z$2:$Z$65="zoomed")))</x:f>
        <x:v>66.3706399499788</x:v>
      </x:c>
      <x:c r="P35" s="108" t="n">
        <x:f>IF(F35=0,"",MEDIAN(_xlfn._xlws.FILTER('Raw Data'!$CC$2:$CC$65/'Raw Data'!$F$2:$F$65,('Raw Data'!$F$2:$F$65=1000)*('Raw Data'!$G$2:$G$65=0.7)*('Raw Data'!$Z$2:$Z$65="zoomed")*('Raw Data'!$N$2:$N$65="True"))))</x:f>
        <x:v>0.186</x:v>
      </x:c>
      <x:c r="Q35" s="110" t="n">
        <x:f>IF(F35=0,"",MEDIAN(_xlfn._xlws.FILTER('Raw Data'!$CD$2:$CD$65,('Raw Data'!$F$2:$F$65=1000)*('Raw Data'!$G$2:$G$65=0.7)*('Raw Data'!$Z$2:$Z$65="zoomed")*('Raw Data'!$N$2:$N$65="True"))))</x:f>
        <x:v>66.3706399499788</x:v>
      </x:c>
    </x:row>
    <x:row r="36">
      <x:c r="A36" s="106" t="n">
        <x:v>1000</x:v>
      </x:c>
      <x:c r="B36" s="106" t="n">
        <x:v>0.7</x:v>
      </x:c>
      <x:c r="C36" s="106" t="str">
        <x:v>ich</x:v>
      </x:c>
      <x:c r="D36" s="190" t="str">
        <x:v>entropy</x:v>
      </x:c>
      <x:c r="E36" s="106" t="n">
        <x:f>COUNTIFS('Raw Data'!$F$2:$F$65,1000,'Raw Data'!$G$2:$G$65,0.7,'Raw Data'!$Z$2:$Z$65,"ich")</x:f>
        <x:v>4</x:v>
      </x:c>
      <x:c r="F36" s="106" t="n">
        <x:f>COUNTIFS('Raw Data'!$F$2:$F$65,1000,'Raw Data'!$G$2:$G$65,0.7,'Raw Data'!$Z$2:$Z$65,"ich",'Raw Data'!$N$2:$N$65,"True")</x:f>
        <x:v>4</x:v>
      </x:c>
      <x:c r="G36" s="106" t="n">
        <x:f>AVERAGE(_xlfn._xlws.FILTER('Raw Data'!$P$2:$P$65,('Raw Data'!$F$2:$F$65=1000)*('Raw Data'!$G$2:$G$65=0.7)*('Raw Data'!$Z$2:$Z$65="ich")))</x:f>
        <x:v>746.3065</x:v>
      </x:c>
      <x:c r="H36" s="110" t="n">
        <x:f>AVERAGE(_xlfn._xlws.FILTER('Raw Data'!$T$2:$T$65,('Raw Data'!$F$2:$F$65=1000)*('Raw Data'!$G$2:$G$65=0.7)*('Raw Data'!$Z$2:$Z$65="ich")))</x:f>
        <x:v>0.7470535535535535</x:v>
      </x:c>
      <x:c r="I36" s="112" t="n">
        <x:f>COUNTIFS('Raw Data'!$F$2:$F$65,1000,'Raw Data'!$G$2:$G$65,0.7,'Raw Data'!$Z$2:$Z$65,"ich",'Raw Data'!$AI$2:$AI$65,"True")/E36</x:f>
        <x:v>1</x:v>
      </x:c>
      <x:c r="J36" s="112" t="n">
        <x:f>COUNTIFS('Raw Data'!$F$2:$F$65,1000,'Raw Data'!$G$2:$G$65,0.7,'Raw Data'!$Z$2:$Z$65,"ich",'Raw Data'!$AL$2:$AL$65,"&gt;0")/E36</x:f>
        <x:v>0</x:v>
      </x:c>
      <x:c r="K36" s="112" t="n">
        <x:f>COUNTIFS('Raw Data'!$F$2:$F$65,1000,'Raw Data'!$G$2:$G$65,0.7,'Raw Data'!$Z$2:$Z$65,"ich",'Raw Data'!$BC$2:$BC$65,"True")/E36</x:f>
        <x:v>1</x:v>
      </x:c>
      <x:c r="L36" s="106" t="n">
        <x:f>SUM(_xlfn._xlws.FILTER('Raw Data'!$AX$2:$AX$65,('Raw Data'!$F$2:$F$65=1000)*('Raw Data'!$G$2:$G$65=0.7)*('Raw Data'!$Z$2:$Z$65="ich")))</x:f>
        <x:v>20</x:v>
      </x:c>
      <x:c r="M36" s="106" t="n">
        <x:f>MEDIAN(_xlfn._xlws.FILTER('Raw Data'!$BA$2:$BA$65,('Raw Data'!$F$2:$F$65=1000)*('Raw Data'!$G$2:$G$65=0.7)*('Raw Data'!$Z$2:$Z$65="ich")))</x:f>
        <x:v>159</x:v>
      </x:c>
      <x:c r="N36" s="108" t="n">
        <x:f>MEDIAN(_xlfn._xlws.FILTER('Raw Data'!$BA$2:$BA$65/'Raw Data'!$F$2:$F$65,('Raw Data'!$F$2:$F$65=1000)*('Raw Data'!$G$2:$G$65=0.7)*('Raw Data'!$Z$2:$Z$65="ich")))</x:f>
        <x:v>0.159</x:v>
      </x:c>
      <x:c r="O36" s="110" t="n">
        <x:f>MEDIAN(_xlfn._xlws.FILTER('Raw Data'!$BB$2:$BB$65,('Raw Data'!$F$2:$F$65=1000)*('Raw Data'!$G$2:$G$65=0.7)*('Raw Data'!$Z$2:$Z$65="ich")))</x:f>
        <x:v>211.7791660001385</x:v>
      </x:c>
      <x:c r="P36" s="108" t="n">
        <x:f>IF(F36=0,"",MEDIAN(_xlfn._xlws.FILTER('Raw Data'!$BA$2:$BA$65/'Raw Data'!$F$2:$F$65,('Raw Data'!$F$2:$F$65=1000)*('Raw Data'!$G$2:$G$65=0.7)*('Raw Data'!$Z$2:$Z$65="ich")*('Raw Data'!$N$2:$N$65="True"))))</x:f>
        <x:v>0.159</x:v>
      </x:c>
      <x:c r="Q36" s="110" t="n">
        <x:f>IF(F36=0,"",MEDIAN(_xlfn._xlws.FILTER('Raw Data'!$BB$2:$BB$65,('Raw Data'!$F$2:$F$65=1000)*('Raw Data'!$G$2:$G$65=0.7)*('Raw Data'!$Z$2:$Z$65="ich")*('Raw Data'!$N$2:$N$65="True"))))</x:f>
        <x:v>211.7791660001385</x:v>
      </x:c>
    </x:row>
    <x:row r="37">
      <x:c r="A37" s="106" t="n">
        <x:v>1000</x:v>
      </x:c>
      <x:c r="B37" s="106" t="n">
        <x:v>0.7</x:v>
      </x:c>
      <x:c r="C37" s="106" t="str">
        <x:v>ich</x:v>
      </x:c>
      <x:c r="D37" s="114" t="str">
        <x:v>collision</x:v>
      </x:c>
      <x:c r="E37" s="106" t="n">
        <x:f>COUNTIFS('Raw Data'!$F$2:$F$65,1000,'Raw Data'!$G$2:$G$65,0.7,'Raw Data'!$Z$2:$Z$65,"ich")</x:f>
        <x:v>4</x:v>
      </x:c>
      <x:c r="F37" s="106" t="n">
        <x:f>COUNTIFS('Raw Data'!$F$2:$F$65,1000,'Raw Data'!$G$2:$G$65,0.7,'Raw Data'!$Z$2:$Z$65,"ich",'Raw Data'!$N$2:$N$65,"True")</x:f>
        <x:v>4</x:v>
      </x:c>
      <x:c r="G37" s="106" t="n">
        <x:f>AVERAGE(_xlfn._xlws.FILTER('Raw Data'!$P$2:$P$65,('Raw Data'!$F$2:$F$65=1000)*('Raw Data'!$G$2:$G$65=0.7)*('Raw Data'!$Z$2:$Z$65="ich")))</x:f>
        <x:v>746.3065</x:v>
      </x:c>
      <x:c r="H37" s="110" t="n">
        <x:f>AVERAGE(_xlfn._xlws.FILTER('Raw Data'!$T$2:$T$65,('Raw Data'!$F$2:$F$65=1000)*('Raw Data'!$G$2:$G$65=0.7)*('Raw Data'!$Z$2:$Z$65="ich")))</x:f>
        <x:v>0.7470535535535535</x:v>
      </x:c>
      <x:c r="I37" s="112" t="n">
        <x:f>COUNTIFS('Raw Data'!$F$2:$F$65,1000,'Raw Data'!$G$2:$G$65,0.7,'Raw Data'!$Z$2:$Z$65,"ich",'Raw Data'!$BK$2:$BK$65,"True")/E37</x:f>
        <x:v>1</x:v>
      </x:c>
      <x:c r="J37" s="112" t="n">
        <x:f>COUNTIFS('Raw Data'!$F$2:$F$65,1000,'Raw Data'!$G$2:$G$65,0.7,'Raw Data'!$Z$2:$Z$65,"ich",'Raw Data'!$BN$2:$BN$65,"&gt;0")/E37</x:f>
        <x:v>0</x:v>
      </x:c>
      <x:c r="K37" s="112" t="n">
        <x:f>COUNTIFS('Raw Data'!$F$2:$F$65,1000,'Raw Data'!$G$2:$G$65,0.7,'Raw Data'!$Z$2:$Z$65,"ich",'Raw Data'!$CE$2:$CE$65,"True")/E37</x:f>
        <x:v>1</x:v>
      </x:c>
      <x:c r="L37" s="106" t="n">
        <x:f>SUM(_xlfn._xlws.FILTER('Raw Data'!$BZ$2:$BZ$65,('Raw Data'!$F$2:$F$65=1000)*('Raw Data'!$G$2:$G$65=0.7)*('Raw Data'!$Z$2:$Z$65="ich")))</x:f>
        <x:v>23</x:v>
      </x:c>
      <x:c r="M37" s="106" t="n">
        <x:f>MEDIAN(_xlfn._xlws.FILTER('Raw Data'!$CC$2:$CC$65,('Raw Data'!$F$2:$F$65=1000)*('Raw Data'!$G$2:$G$65=0.7)*('Raw Data'!$Z$2:$Z$65="ich")))</x:f>
        <x:v>157.5</x:v>
      </x:c>
      <x:c r="N37" s="108" t="n">
        <x:f>MEDIAN(_xlfn._xlws.FILTER('Raw Data'!$CC$2:$CC$65/'Raw Data'!$F$2:$F$65,('Raw Data'!$F$2:$F$65=1000)*('Raw Data'!$G$2:$G$65=0.7)*('Raw Data'!$Z$2:$Z$65="ich")))</x:f>
        <x:v>0.1575</x:v>
      </x:c>
      <x:c r="O37" s="110" t="n">
        <x:f>MEDIAN(_xlfn._xlws.FILTER('Raw Data'!$CD$2:$CD$65,('Raw Data'!$F$2:$F$65=1000)*('Raw Data'!$G$2:$G$65=0.7)*('Raw Data'!$Z$2:$Z$65="ich")))</x:f>
        <x:v>196.9380415000487</x:v>
      </x:c>
      <x:c r="P37" s="108" t="n">
        <x:f>IF(F37=0,"",MEDIAN(_xlfn._xlws.FILTER('Raw Data'!$CC$2:$CC$65/'Raw Data'!$F$2:$F$65,('Raw Data'!$F$2:$F$65=1000)*('Raw Data'!$G$2:$G$65=0.7)*('Raw Data'!$Z$2:$Z$65="ich")*('Raw Data'!$N$2:$N$65="True"))))</x:f>
        <x:v>0.1575</x:v>
      </x:c>
      <x:c r="Q37" s="110" t="n">
        <x:f>IF(F37=0,"",MEDIAN(_xlfn._xlws.FILTER('Raw Data'!$CD$2:$CD$65,('Raw Data'!$F$2:$F$65=1000)*('Raw Data'!$G$2:$G$65=0.7)*('Raw Data'!$Z$2:$Z$65="ich")*('Raw Data'!$N$2:$N$65="True"))))</x:f>
        <x:v>196.9380415000487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b85ab2f6e0fb40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30" customHeight="1">
      <x:c r="A1" s="8" t="str">
        <x:v>Pair-level audit: final size, time, repair, and pruning</x:v>
      </x:c>
      <x:c r="B1" s="8" t="str">
        <x:v>Pair-level audit: final size, time, repair, and pruning</x:v>
      </x:c>
      <x:c r="C1" s="8" t="str">
        <x:v>Pair-level audit: final size, time, repair, and pruning</x:v>
      </x:c>
      <x:c r="D1" s="8" t="str">
        <x:v>Pair-level audit: final size, time, repair, and pruning</x:v>
      </x:c>
      <x:c r="E1" s="8" t="str">
        <x:v>Pair-level audit: final size, time, repair, and pruning</x:v>
      </x:c>
      <x:c r="F1" s="8" t="str">
        <x:v>Pair-level audit: final size, time, repair, and pruning</x:v>
      </x:c>
      <x:c r="G1" s="8" t="str">
        <x:v>Pair-level audit: final size, time, repair, and pruning</x:v>
      </x:c>
      <x:c r="H1" s="8" t="str">
        <x:v>Pair-level audit: final size, time, repair, and pruning</x:v>
      </x:c>
      <x:c r="I1" s="8" t="str">
        <x:v>Pair-level audit: final size, time, repair, and pruning</x:v>
      </x:c>
      <x:c r="J1" s="8" t="str">
        <x:v>Pair-level audit: final size, time, repair, and pruning</x:v>
      </x:c>
      <x:c r="K1" s="8" t="str">
        <x:v>Pair-level audit: final size, time, repair, and pruning</x:v>
      </x:c>
      <x:c r="L1" s="8" t="str">
        <x:v>Pair-level audit: final size, time, repair, and pruning</x:v>
      </x:c>
      <x:c r="M1" s="8" t="str">
        <x:v>Pair-level audit: final size, time, repair, and pruning</x:v>
      </x:c>
      <x:c r="N1" s="8" t="str">
        <x:v>Pair-level audit: final size, time, repair, and pruning</x:v>
      </x:c>
      <x:c r="O1" s="8" t="str">
        <x:v>Pair-level audit: final size, time, repair, and pruning</x:v>
      </x:c>
      <x:c r="P1" s="8" t="str">
        <x:v>Pair-level audit: final size, time, repair, and pruning</x:v>
      </x:c>
      <x:c r="Q1" s="8" t="str">
        <x:v>Pair-level audit: final size, time, repair, and pruning</x:v>
      </x:c>
      <x:c r="R1" s="8" t="str">
        <x:v>Pair-level audit: final size, time, repair, and pruning</x:v>
      </x:c>
      <x:c r="S1" s="8" t="str">
        <x:v>Pair-level audit: final size, time, repair, and pruning</x:v>
      </x:c>
      <x:c r="T1" s="8" t="str">
        <x:v>Pair-level audit: final size, time, repair, and pruning</x:v>
      </x:c>
      <x:c r="U1" s="8" t="str">
        <x:v>Pair-level audit: final size, time, repair, and pruning</x:v>
      </x:c>
      <x:c r="V1" s="8" t="str">
        <x:v>Pair-level audit: final size, time, repair, and pruning</x:v>
      </x:c>
      <x:c r="W1" s="8" t="str">
        <x:v>Pair-level audit: final size, time, repair, and pruning</x:v>
      </x:c>
      <x:c r="X1" s="8" t="str">
        <x:v>Pair-level audit: final size, time, repair, and pruning</x:v>
      </x:c>
      <x:c r="Y1" s="8" t="str">
        <x:v>Pair-level audit: final size, time, repair, and pruning</x:v>
      </x:c>
      <x:c r="Z1" s="8" t="str">
        <x:v>Pair-level audit: final size, time, repair, and pruning</x:v>
      </x:c>
      <x:c r="AA1" s="8" t="str">
        <x:v>Pair-level audit: final size, time, repair, and pruning</x:v>
      </x:c>
      <x:c r="AB1" s="8" t="str">
        <x:v>Pair-level audit: final size, time, repair, and pruning</x:v>
      </x:c>
      <x:c r="AC1" s="8" t="str">
        <x:v>Pair-level audit: final size, time, repair, and pruning</x:v>
      </x:c>
      <x:c r="AD1" s="8" t="str">
        <x:v>Pair-level audit: final size, time, repair, and pruning</x:v>
      </x:c>
      <x:c r="AE1" s="8" t="str">
        <x:v>Pair-level audit: final size, time, repair, and pruning</x:v>
      </x:c>
      <x:c r="AF1" s="8" t="str">
        <x:v>Pair-level audit: final size, time, repair, and pruning</x:v>
      </x:c>
      <x:c r="AG1" s="8" t="str">
        <x:v>Pair-level audit: final size, time, repair, and pruning</x:v>
      </x:c>
      <x:c r="AH1" s="8" t="str">
        <x:v>Pair-level audit: final size, time, repair, and pruning</x:v>
      </x:c>
      <x:c r="AI1" s="8" t="str">
        <x:v>Pair-level audit: final size, time, repair, and pruning</x:v>
      </x:c>
    </x:row>
    <x:row r="2" ht="30" customHeight="1">
      <x:c r="A2" s="8" t="str">
        <x:v>Pair-level audit: final size, time, repair, and pruning</x:v>
      </x:c>
      <x:c r="B2" s="8" t="str">
        <x:v>Pair-level audit: final size, time, repair, and pruning</x:v>
      </x:c>
      <x:c r="C2" s="8" t="str">
        <x:v>Pair-level audit: final size, time, repair, and pruning</x:v>
      </x:c>
      <x:c r="D2" s="8" t="str">
        <x:v>Pair-level audit: final size, time, repair, and pruning</x:v>
      </x:c>
      <x:c r="E2" s="8" t="str">
        <x:v>Pair-level audit: final size, time, repair, and pruning</x:v>
      </x:c>
      <x:c r="F2" s="8" t="str">
        <x:v>Pair-level audit: final size, time, repair, and pruning</x:v>
      </x:c>
      <x:c r="G2" s="8" t="str">
        <x:v>Pair-level audit: final size, time, repair, and pruning</x:v>
      </x:c>
      <x:c r="H2" s="8" t="str">
        <x:v>Pair-level audit: final size, time, repair, and pruning</x:v>
      </x:c>
      <x:c r="I2" s="8" t="str">
        <x:v>Pair-level audit: final size, time, repair, and pruning</x:v>
      </x:c>
      <x:c r="J2" s="8" t="str">
        <x:v>Pair-level audit: final size, time, repair, and pruning</x:v>
      </x:c>
      <x:c r="K2" s="8" t="str">
        <x:v>Pair-level audit: final size, time, repair, and pruning</x:v>
      </x:c>
      <x:c r="L2" s="8" t="str">
        <x:v>Pair-level audit: final size, time, repair, and pruning</x:v>
      </x:c>
      <x:c r="M2" s="8" t="str">
        <x:v>Pair-level audit: final size, time, repair, and pruning</x:v>
      </x:c>
      <x:c r="N2" s="8" t="str">
        <x:v>Pair-level audit: final size, time, repair, and pruning</x:v>
      </x:c>
      <x:c r="O2" s="8" t="str">
        <x:v>Pair-level audit: final size, time, repair, and pruning</x:v>
      </x:c>
      <x:c r="P2" s="8" t="str">
        <x:v>Pair-level audit: final size, time, repair, and pruning</x:v>
      </x:c>
      <x:c r="Q2" s="8" t="str">
        <x:v>Pair-level audit: final size, time, repair, and pruning</x:v>
      </x:c>
      <x:c r="R2" s="8" t="str">
        <x:v>Pair-level audit: final size, time, repair, and pruning</x:v>
      </x:c>
      <x:c r="S2" s="8" t="str">
        <x:v>Pair-level audit: final size, time, repair, and pruning</x:v>
      </x:c>
      <x:c r="T2" s="8" t="str">
        <x:v>Pair-level audit: final size, time, repair, and pruning</x:v>
      </x:c>
      <x:c r="U2" s="8" t="str">
        <x:v>Pair-level audit: final size, time, repair, and pruning</x:v>
      </x:c>
      <x:c r="V2" s="8" t="str">
        <x:v>Pair-level audit: final size, time, repair, and pruning</x:v>
      </x:c>
      <x:c r="W2" s="8" t="str">
        <x:v>Pair-level audit: final size, time, repair, and pruning</x:v>
      </x:c>
      <x:c r="X2" s="8" t="str">
        <x:v>Pair-level audit: final size, time, repair, and pruning</x:v>
      </x:c>
      <x:c r="Y2" s="8" t="str">
        <x:v>Pair-level audit: final size, time, repair, and pruning</x:v>
      </x:c>
      <x:c r="Z2" s="8" t="str">
        <x:v>Pair-level audit: final size, time, repair, and pruning</x:v>
      </x:c>
      <x:c r="AA2" s="8" t="str">
        <x:v>Pair-level audit: final size, time, repair, and pruning</x:v>
      </x:c>
      <x:c r="AB2" s="8" t="str">
        <x:v>Pair-level audit: final size, time, repair, and pruning</x:v>
      </x:c>
      <x:c r="AC2" s="8" t="str">
        <x:v>Pair-level audit: final size, time, repair, and pruning</x:v>
      </x:c>
      <x:c r="AD2" s="8" t="str">
        <x:v>Pair-level audit: final size, time, repair, and pruning</x:v>
      </x:c>
      <x:c r="AE2" s="8" t="str">
        <x:v>Pair-level audit: final size, time, repair, and pruning</x:v>
      </x:c>
      <x:c r="AF2" s="8" t="str">
        <x:v>Pair-level audit: final size, time, repair, and pruning</x:v>
      </x:c>
      <x:c r="AG2" s="8" t="str">
        <x:v>Pair-level audit: final size, time, repair, and pruning</x:v>
      </x:c>
      <x:c r="AH2" s="8" t="str">
        <x:v>Pair-level audit: final size, time, repair, and pruning</x:v>
      </x:c>
      <x:c r="AI2" s="8" t="str">
        <x:v>Pair-level audit: final size, time, repair, and pruning</x:v>
      </x:c>
    </x:row>
    <x:row r="3" ht="32" customHeight="1">
      <x:c r="A3" s="16" t="str">
        <x:v>One row per graph × family. Final comparisons use the same global repair, common prune, and exact validation for Entropy and Collision.</x:v>
      </x:c>
      <x:c r="B3" s="16" t="str">
        <x:v>One row per graph × family. Final comparisons use the same global repair, common prune, and exact validation for Entropy and Collision.</x:v>
      </x:c>
      <x:c r="C3" s="16" t="str">
        <x:v>One row per graph × family. Final comparisons use the same global repair, common prune, and exact validation for Entropy and Collision.</x:v>
      </x:c>
      <x:c r="D3" s="16" t="str">
        <x:v>One row per graph × family. Final comparisons use the same global repair, common prune, and exact validation for Entropy and Collision.</x:v>
      </x:c>
      <x:c r="E3" s="16" t="str">
        <x:v>One row per graph × family. Final comparisons use the same global repair, common prune, and exact validation for Entropy and Collision.</x:v>
      </x:c>
      <x:c r="F3" s="16" t="str">
        <x:v>One row per graph × family. Final comparisons use the same global repair, common prune, and exact validation for Entropy and Collision.</x:v>
      </x:c>
      <x:c r="G3" s="16" t="str">
        <x:v>One row per graph × family. Final comparisons use the same global repair, common prune, and exact validation for Entropy and Collision.</x:v>
      </x:c>
      <x:c r="H3" s="16" t="str">
        <x:v>One row per graph × family. Final comparisons use the same global repair, common prune, and exact validation for Entropy and Collision.</x:v>
      </x:c>
      <x:c r="I3" s="16" t="str">
        <x:v>One row per graph × family. Final comparisons use the same global repair, common prune, and exact validation for Entropy and Collision.</x:v>
      </x:c>
      <x:c r="J3" s="16" t="str">
        <x:v>One row per graph × family. Final comparisons use the same global repair, common prune, and exact validation for Entropy and Collision.</x:v>
      </x:c>
      <x:c r="K3" s="16" t="str">
        <x:v>One row per graph × family. Final comparisons use the same global repair, common prune, and exact validation for Entropy and Collision.</x:v>
      </x:c>
      <x:c r="L3" s="16" t="str">
        <x:v>One row per graph × family. Final comparisons use the same global repair, common prune, and exact validation for Entropy and Collision.</x:v>
      </x:c>
      <x:c r="M3" s="16" t="str">
        <x:v>One row per graph × family. Final comparisons use the same global repair, common prune, and exact validation for Entropy and Collision.</x:v>
      </x:c>
      <x:c r="N3" s="16" t="str">
        <x:v>One row per graph × family. Final comparisons use the same global repair, common prune, and exact validation for Entropy and Collision.</x:v>
      </x:c>
      <x:c r="O3" s="16" t="str">
        <x:v>One row per graph × family. Final comparisons use the same global repair, common prune, and exact validation for Entropy and Collision.</x:v>
      </x:c>
      <x:c r="P3" s="16" t="str">
        <x:v>One row per graph × family. Final comparisons use the same global repair, common prune, and exact validation for Entropy and Collision.</x:v>
      </x:c>
      <x:c r="Q3" s="16" t="str">
        <x:v>One row per graph × family. Final comparisons use the same global repair, common prune, and exact validation for Entropy and Collision.</x:v>
      </x:c>
      <x:c r="R3" s="16" t="str">
        <x:v>One row per graph × family. Final comparisons use the same global repair, common prune, and exact validation for Entropy and Collision.</x:v>
      </x:c>
      <x:c r="S3" s="16" t="str">
        <x:v>One row per graph × family. Final comparisons use the same global repair, common prune, and exact validation for Entropy and Collision.</x:v>
      </x:c>
      <x:c r="T3" s="16" t="str">
        <x:v>One row per graph × family. Final comparisons use the same global repair, common prune, and exact validation for Entropy and Collision.</x:v>
      </x:c>
      <x:c r="U3" s="16" t="str">
        <x:v>One row per graph × family. Final comparisons use the same global repair, common prune, and exact validation for Entropy and Collision.</x:v>
      </x:c>
      <x:c r="V3" s="16" t="str">
        <x:v>One row per graph × family. Final comparisons use the same global repair, common prune, and exact validation for Entropy and Collision.</x:v>
      </x:c>
      <x:c r="W3" s="16" t="str">
        <x:v>One row per graph × family. Final comparisons use the same global repair, common prune, and exact validation for Entropy and Collision.</x:v>
      </x:c>
      <x:c r="X3" s="16" t="str">
        <x:v>One row per graph × family. Final comparisons use the same global repair, common prune, and exact validation for Entropy and Collision.</x:v>
      </x:c>
      <x:c r="Y3" s="16" t="str">
        <x:v>One row per graph × family. Final comparisons use the same global repair, common prune, and exact validation for Entropy and Collision.</x:v>
      </x:c>
      <x:c r="Z3" s="16" t="str">
        <x:v>One row per graph × family. Final comparisons use the same global repair, common prune, and exact validation for Entropy and Collision.</x:v>
      </x:c>
      <x:c r="AA3" s="16" t="str">
        <x:v>One row per graph × family. Final comparisons use the same global repair, common prune, and exact validation for Entropy and Collision.</x:v>
      </x:c>
      <x:c r="AB3" s="16" t="str">
        <x:v>One row per graph × family. Final comparisons use the same global repair, common prune, and exact validation for Entropy and Collision.</x:v>
      </x:c>
      <x:c r="AC3" s="16" t="str">
        <x:v>One row per graph × family. Final comparisons use the same global repair, common prune, and exact validation for Entropy and Collision.</x:v>
      </x:c>
      <x:c r="AD3" s="16" t="str">
        <x:v>One row per graph × family. Final comparisons use the same global repair, common prune, and exact validation for Entropy and Collision.</x:v>
      </x:c>
      <x:c r="AE3" s="16" t="str">
        <x:v>One row per graph × family. Final comparisons use the same global repair, common prune, and exact validation for Entropy and Collision.</x:v>
      </x:c>
      <x:c r="AF3" s="16" t="str">
        <x:v>One row per graph × family. Final comparisons use the same global repair, common prune, and exact validation for Entropy and Collision.</x:v>
      </x:c>
      <x:c r="AG3" s="16" t="str">
        <x:v>One row per graph × family. Final comparisons use the same global repair, common prune, and exact validation for Entropy and Collision.</x:v>
      </x:c>
      <x:c r="AH3" s="16" t="str">
        <x:v>One row per graph × family. Final comparisons use the same global repair, common prune, and exact validation for Entropy and Collision.</x:v>
      </x:c>
      <x:c r="AI3" s="16" t="str">
        <x:v>One row per graph × family. Final comparisons use the same global repair, common prune, and exact validation for Entropy and Collision.</x:v>
      </x:c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  <x:c r="R4" s="232"/>
      <x:c r="S4" s="232"/>
      <x:c r="T4" s="232"/>
      <x:c r="U4" s="232"/>
      <x:c r="V4" s="232"/>
      <x:c r="W4" s="232"/>
      <x:c r="X4" s="232"/>
      <x:c r="Y4" s="232"/>
      <x:c r="Z4" s="232"/>
      <x:c r="AA4" s="232"/>
      <x:c r="AB4" s="232"/>
      <x:c r="AC4" s="232"/>
      <x:c r="AD4" s="232"/>
      <x:c r="AE4" s="232"/>
      <x:c r="AF4" s="232"/>
      <x:c r="AG4" s="232"/>
      <x:c r="AH4" s="232"/>
      <x:c r="AI4" s="232"/>
    </x:row>
    <x:row r="5" ht="34" customHeight="1">
      <x:c r="A5" s="100" t="str">
        <x:v>Graph ID</x:v>
      </x:c>
      <x:c r="B5" s="100" t="str">
        <x:v>n</x:v>
      </x:c>
      <x:c r="C5" s="100" t="str">
        <x:v>Radius</x:v>
      </x:c>
      <x:c r="D5" s="100" t="str">
        <x:v>Repeat</x:v>
      </x:c>
      <x:c r="E5" s="100" t="str">
        <x:v>Connected</x:v>
      </x:c>
      <x:c r="F5" s="100" t="str">
        <x:v>Components</x:v>
      </x:c>
      <x:c r="G5" s="100" t="str">
        <x:v>Avg degree</x:v>
      </x:c>
      <x:c r="H5" s="100" t="str">
        <x:v>Density</x:v>
      </x:c>
      <x:c r="I5" s="100" t="str">
        <x:v>Family</x:v>
      </x:c>
      <x:c r="J5" s="100" t="str">
        <x:v>Strategy order</x:v>
      </x:c>
      <x:c r="K5" s="100" t="str">
        <x:v>E raw valid</x:v>
      </x:c>
      <x:c r="L5" s="100" t="str">
        <x:v>E raw size</x:v>
      </x:c>
      <x:c r="M5" s="100" t="str">
        <x:v>E collisions</x:v>
      </x:c>
      <x:c r="N5" s="100" t="str">
        <x:v>E repair probes</x:v>
      </x:c>
      <x:c r="O5" s="100" t="str">
        <x:v>E repair pruned</x:v>
      </x:c>
      <x:c r="P5" s="100" t="str">
        <x:v>E common pruned</x:v>
      </x:c>
      <x:c r="Q5" s="100" t="str">
        <x:v>E final size</x:v>
      </x:c>
      <x:c r="R5" s="100" t="str">
        <x:v>E total sec</x:v>
      </x:c>
      <x:c r="S5" s="100" t="str">
        <x:v>C raw valid</x:v>
      </x:c>
      <x:c r="T5" s="100" t="str">
        <x:v>C raw size</x:v>
      </x:c>
      <x:c r="U5" s="100" t="str">
        <x:v>C collisions</x:v>
      </x:c>
      <x:c r="V5" s="100" t="str">
        <x:v>C repair probes</x:v>
      </x:c>
      <x:c r="W5" s="100" t="str">
        <x:v>C repair pruned</x:v>
      </x:c>
      <x:c r="X5" s="100" t="str">
        <x:v>C common pruned</x:v>
      </x:c>
      <x:c r="Y5" s="100" t="str">
        <x:v>C final size</x:v>
      </x:c>
      <x:c r="Z5" s="100" t="str">
        <x:v>C total sec</x:v>
      </x:c>
      <x:c r="AA5" s="100" t="str">
        <x:v>C−E size</x:v>
      </x:c>
      <x:c r="AB5" s="100" t="str">
        <x:v>C/E time</x:v>
      </x:c>
      <x:c r="AC5" s="100" t="str">
        <x:v>Size winner</x:v>
      </x:c>
      <x:c r="AD5" s="100" t="str">
        <x:v>Faster</x:v>
      </x:c>
      <x:c r="AE5" s="100" t="str">
        <x:v>Pareto</x:v>
      </x:c>
      <x:c r="AF5" s="100" t="str">
        <x:v>Repair comparison</x:v>
      </x:c>
      <x:c r="AG5" s="100" t="str">
        <x:v>Raw validity comparison</x:v>
      </x:c>
      <x:c r="AH5" s="100" t="str">
        <x:v>Large size flag</x:v>
      </x:c>
      <x:c r="AI5" s="100" t="str">
        <x:v>Large time flag</x:v>
      </x:c>
    </x:row>
    <x:row r="6">
      <x:c r="A6" s="106" t="str">
        <x:f>'Raw Data'!E2</x:f>
        <x:v>n1000_r0.1_repeat1</x:v>
      </x:c>
      <x:c r="B6" s="106" t="str">
        <x:f>'Raw Data'!F2</x:f>
        <x:v>1000</x:v>
      </x:c>
      <x:c r="C6" s="106" t="str">
        <x:f>'Raw Data'!G2</x:f>
        <x:v>0.1</x:v>
      </x:c>
      <x:c r="D6" s="106" t="str">
        <x:f>'Raw Data'!H2</x:f>
        <x:v>1</x:v>
      </x:c>
      <x:c r="E6" s="106" t="str">
        <x:f>'Raw Data'!N2</x:f>
        <x:v>True</x:v>
      </x:c>
      <x:c r="F6" s="106" t="str">
        <x:f>'Raw Data'!L2</x:f>
        <x:v>1</x:v>
      </x:c>
      <x:c r="G6" s="128" t="str">
        <x:f>'Raw Data'!P2</x:f>
        <x:v>28.004</x:v>
      </x:c>
      <x:c r="H6" s="110" t="str">
        <x:f>'Raw Data'!T2</x:f>
        <x:v>0.02803203203203203</x:v>
      </x:c>
      <x:c r="I6" s="106" t="str">
        <x:f>'Raw Data'!Z2</x:f>
        <x:v>grid</x:v>
      </x:c>
      <x:c r="J6" s="106" t="str">
        <x:f>'Raw Data'!AE2</x:f>
        <x:v>entropy,collision</x:v>
      </x:c>
      <x:c r="K6" s="106" t="str">
        <x:f>'Raw Data'!AI2</x:f>
        <x:v>True</x:v>
      </x:c>
      <x:c r="L6" s="106" t="str">
        <x:f>'Raw Data'!AG2</x:f>
        <x:v>106</x:v>
      </x:c>
      <x:c r="M6" s="106" t="str">
        <x:f>'Raw Data'!AK2</x:f>
        <x:v>0</x:v>
      </x:c>
      <x:c r="N6" s="106" t="str">
        <x:f>'Raw Data'!AL2</x:f>
        <x:v>0</x:v>
      </x:c>
      <x:c r="O6" s="106" t="str">
        <x:f>'Raw Data'!AP2</x:f>
        <x:v>0</x:v>
      </x:c>
      <x:c r="P6" s="106" t="str">
        <x:f>'Raw Data'!AX2</x:f>
        <x:v>0</x:v>
      </x:c>
      <x:c r="Q6" s="106" t="str">
        <x:f>'Raw Data'!BA2</x:f>
        <x:v>106</x:v>
      </x:c>
      <x:c r="R6" s="110" t="str">
        <x:f>'Raw Data'!BB2</x:f>
        <x:v>6.3023456000955775</x:v>
      </x:c>
      <x:c r="S6" s="106" t="str">
        <x:f>'Raw Data'!BK2</x:f>
        <x:v>True</x:v>
      </x:c>
      <x:c r="T6" s="106" t="str">
        <x:f>'Raw Data'!BI2</x:f>
        <x:v>100</x:v>
      </x:c>
      <x:c r="U6" s="106" t="str">
        <x:f>'Raw Data'!BM2</x:f>
        <x:v>0</x:v>
      </x:c>
      <x:c r="V6" s="106" t="str">
        <x:f>'Raw Data'!BN2</x:f>
        <x:v>0</x:v>
      </x:c>
      <x:c r="W6" s="106" t="str">
        <x:f>'Raw Data'!BR2</x:f>
        <x:v>0</x:v>
      </x:c>
      <x:c r="X6" s="106" t="str">
        <x:f>'Raw Data'!BZ2</x:f>
        <x:v>0</x:v>
      </x:c>
      <x:c r="Y6" s="106" t="str">
        <x:f>'Raw Data'!CC2</x:f>
        <x:v>100</x:v>
      </x:c>
      <x:c r="Z6" s="110" t="str">
        <x:f>'Raw Data'!CD2</x:f>
        <x:v>3.3285961999790743</x:v>
      </x:c>
      <x:c r="AA6" s="106" t="n">
        <x:f>Y6-Q6</x:f>
        <x:v>-6</x:v>
      </x:c>
      <x:c r="AB6" s="108" t="n">
        <x:f>IFERROR(Z6/R6,"")</x:f>
        <x:v>0.528151962965756</x:v>
      </x:c>
      <x:c r="AC6" s="106" t="str">
        <x:f>'Raw Data'!CS2</x:f>
        <x:v>collision</x:v>
      </x:c>
      <x:c r="AD6" s="106" t="str">
        <x:f>'Raw Data'!CT2</x:f>
        <x:v>collision</x:v>
      </x:c>
      <x:c r="AE6" s="106" t="str">
        <x:f>'Raw Data'!CU2</x:f>
        <x:v>collision_dominates</x:v>
      </x:c>
      <x:c r="AF6" s="106" t="str">
        <x:f>'Raw Data'!CV2</x:f>
        <x:v>neither</x:v>
      </x:c>
      <x:c r="AG6" s="106" t="str">
        <x:f>'Raw Data'!CW2</x:f>
        <x:v>both_valid</x:v>
      </x:c>
      <x:c r="AH6" s="106" t="str">
        <x:f>'Raw Data'!CX2</x:f>
        <x:v>none</x:v>
      </x:c>
      <x:c r="AI6" s="106" t="str">
        <x:f>'Raw Data'!CY2</x:f>
        <x:v>none</x:v>
      </x:c>
    </x:row>
    <x:row r="7">
      <x:c r="A7" s="106" t="str">
        <x:f>'Raw Data'!E3</x:f>
        <x:v>n1000_r0.1_repeat1</x:v>
      </x:c>
      <x:c r="B7" s="106" t="str">
        <x:f>'Raw Data'!F3</x:f>
        <x:v>1000</x:v>
      </x:c>
      <x:c r="C7" s="106" t="str">
        <x:f>'Raw Data'!G3</x:f>
        <x:v>0.1</x:v>
      </x:c>
      <x:c r="D7" s="106" t="str">
        <x:f>'Raw Data'!H3</x:f>
        <x:v>1</x:v>
      </x:c>
      <x:c r="E7" s="106" t="str">
        <x:f>'Raw Data'!N3</x:f>
        <x:v>True</x:v>
      </x:c>
      <x:c r="F7" s="106" t="str">
        <x:f>'Raw Data'!L3</x:f>
        <x:v>1</x:v>
      </x:c>
      <x:c r="G7" s="128" t="str">
        <x:f>'Raw Data'!P3</x:f>
        <x:v>28.004</x:v>
      </x:c>
      <x:c r="H7" s="110" t="str">
        <x:f>'Raw Data'!T3</x:f>
        <x:v>0.02803203203203203</x:v>
      </x:c>
      <x:c r="I7" s="106" t="str">
        <x:f>'Raw Data'!Z3</x:f>
        <x:v>circle</x:v>
      </x:c>
      <x:c r="J7" s="106" t="str">
        <x:f>'Raw Data'!AE3</x:f>
        <x:v>entropy,collision</x:v>
      </x:c>
      <x:c r="K7" s="106" t="str">
        <x:f>'Raw Data'!AI3</x:f>
        <x:v>True</x:v>
      </x:c>
      <x:c r="L7" s="106" t="str">
        <x:f>'Raw Data'!AG3</x:f>
        <x:v>102</x:v>
      </x:c>
      <x:c r="M7" s="106" t="str">
        <x:f>'Raw Data'!AK3</x:f>
        <x:v>0</x:v>
      </x:c>
      <x:c r="N7" s="106" t="str">
        <x:f>'Raw Data'!AL3</x:f>
        <x:v>0</x:v>
      </x:c>
      <x:c r="O7" s="106" t="str">
        <x:f>'Raw Data'!AP3</x:f>
        <x:v>0</x:v>
      </x:c>
      <x:c r="P7" s="106" t="str">
        <x:f>'Raw Data'!AX3</x:f>
        <x:v>0</x:v>
      </x:c>
      <x:c r="Q7" s="106" t="str">
        <x:f>'Raw Data'!BA3</x:f>
        <x:v>102</x:v>
      </x:c>
      <x:c r="R7" s="110" t="str">
        <x:f>'Raw Data'!BB3</x:f>
        <x:v>6.7925896000815555</x:v>
      </x:c>
      <x:c r="S7" s="106" t="str">
        <x:f>'Raw Data'!BK3</x:f>
        <x:v>True</x:v>
      </x:c>
      <x:c r="T7" s="106" t="str">
        <x:f>'Raw Data'!BI3</x:f>
        <x:v>101</x:v>
      </x:c>
      <x:c r="U7" s="106" t="str">
        <x:f>'Raw Data'!BM3</x:f>
        <x:v>0</x:v>
      </x:c>
      <x:c r="V7" s="106" t="str">
        <x:f>'Raw Data'!BN3</x:f>
        <x:v>0</x:v>
      </x:c>
      <x:c r="W7" s="106" t="str">
        <x:f>'Raw Data'!BR3</x:f>
        <x:v>0</x:v>
      </x:c>
      <x:c r="X7" s="106" t="str">
        <x:f>'Raw Data'!BZ3</x:f>
        <x:v>0</x:v>
      </x:c>
      <x:c r="Y7" s="106" t="str">
        <x:f>'Raw Data'!CC3</x:f>
        <x:v>101</x:v>
      </x:c>
      <x:c r="Z7" s="110" t="str">
        <x:f>'Raw Data'!CD3</x:f>
        <x:v>5.9891663999296725</x:v>
      </x:c>
      <x:c r="AA7" s="106" t="n">
        <x:f>Y7-Q7</x:f>
        <x:v>-1</x:v>
      </x:c>
      <x:c r="AB7" s="108" t="n">
        <x:f>IFERROR(Z7/R7,"")</x:f>
        <x:v>0.8817206327109418</x:v>
      </x:c>
      <x:c r="AC7" s="106" t="str">
        <x:f>'Raw Data'!CS3</x:f>
        <x:v>collision</x:v>
      </x:c>
      <x:c r="AD7" s="106" t="str">
        <x:f>'Raw Data'!CT3</x:f>
        <x:v>collision</x:v>
      </x:c>
      <x:c r="AE7" s="106" t="str">
        <x:f>'Raw Data'!CU3</x:f>
        <x:v>collision_dominates</x:v>
      </x:c>
      <x:c r="AF7" s="106" t="str">
        <x:f>'Raw Data'!CV3</x:f>
        <x:v>neither</x:v>
      </x:c>
      <x:c r="AG7" s="106" t="str">
        <x:f>'Raw Data'!CW3</x:f>
        <x:v>both_valid</x:v>
      </x:c>
      <x:c r="AH7" s="106" t="str">
        <x:f>'Raw Data'!CX3</x:f>
        <x:v>none</x:v>
      </x:c>
      <x:c r="AI7" s="106" t="str">
        <x:f>'Raw Data'!CY3</x:f>
        <x:v>none</x:v>
      </x:c>
    </x:row>
    <x:row r="8">
      <x:c r="A8" s="106" t="str">
        <x:f>'Raw Data'!E4</x:f>
        <x:v>n1000_r0.1_repeat1</x:v>
      </x:c>
      <x:c r="B8" s="106" t="str">
        <x:f>'Raw Data'!F4</x:f>
        <x:v>1000</x:v>
      </x:c>
      <x:c r="C8" s="106" t="str">
        <x:f>'Raw Data'!G4</x:f>
        <x:v>0.1</x:v>
      </x:c>
      <x:c r="D8" s="106" t="str">
        <x:f>'Raw Data'!H4</x:f>
        <x:v>1</x:v>
      </x:c>
      <x:c r="E8" s="106" t="str">
        <x:f>'Raw Data'!N4</x:f>
        <x:v>True</x:v>
      </x:c>
      <x:c r="F8" s="106" t="str">
        <x:f>'Raw Data'!L4</x:f>
        <x:v>1</x:v>
      </x:c>
      <x:c r="G8" s="128" t="str">
        <x:f>'Raw Data'!P4</x:f>
        <x:v>28.004</x:v>
      </x:c>
      <x:c r="H8" s="110" t="str">
        <x:f>'Raw Data'!T4</x:f>
        <x:v>0.02803203203203203</x:v>
      </x:c>
      <x:c r="I8" s="106" t="str">
        <x:f>'Raw Data'!Z4</x:f>
        <x:v>zoomed</x:v>
      </x:c>
      <x:c r="J8" s="106" t="str">
        <x:f>'Raw Data'!AE4</x:f>
        <x:v>entropy,collision</x:v>
      </x:c>
      <x:c r="K8" s="106" t="str">
        <x:f>'Raw Data'!AI4</x:f>
        <x:v>True</x:v>
      </x:c>
      <x:c r="L8" s="106" t="str">
        <x:f>'Raw Data'!AG4</x:f>
        <x:v>104</x:v>
      </x:c>
      <x:c r="M8" s="106" t="str">
        <x:f>'Raw Data'!AK4</x:f>
        <x:v>0</x:v>
      </x:c>
      <x:c r="N8" s="106" t="str">
        <x:f>'Raw Data'!AL4</x:f>
        <x:v>0</x:v>
      </x:c>
      <x:c r="O8" s="106" t="str">
        <x:f>'Raw Data'!AP4</x:f>
        <x:v>0</x:v>
      </x:c>
      <x:c r="P8" s="106" t="str">
        <x:f>'Raw Data'!AX4</x:f>
        <x:v>0</x:v>
      </x:c>
      <x:c r="Q8" s="106" t="str">
        <x:f>'Raw Data'!BA4</x:f>
        <x:v>104</x:v>
      </x:c>
      <x:c r="R8" s="110" t="str">
        <x:f>'Raw Data'!BB4</x:f>
        <x:v>7.5092420999426395</x:v>
      </x:c>
      <x:c r="S8" s="106" t="str">
        <x:f>'Raw Data'!BK4</x:f>
        <x:v>True</x:v>
      </x:c>
      <x:c r="T8" s="106" t="str">
        <x:f>'Raw Data'!BI4</x:f>
        <x:v>108</x:v>
      </x:c>
      <x:c r="U8" s="106" t="str">
        <x:f>'Raw Data'!BM4</x:f>
        <x:v>0</x:v>
      </x:c>
      <x:c r="V8" s="106" t="str">
        <x:f>'Raw Data'!BN4</x:f>
        <x:v>0</x:v>
      </x:c>
      <x:c r="W8" s="106" t="str">
        <x:f>'Raw Data'!BR4</x:f>
        <x:v>0</x:v>
      </x:c>
      <x:c r="X8" s="106" t="str">
        <x:f>'Raw Data'!BZ4</x:f>
        <x:v>0</x:v>
      </x:c>
      <x:c r="Y8" s="106" t="str">
        <x:f>'Raw Data'!CC4</x:f>
        <x:v>108</x:v>
      </x:c>
      <x:c r="Z8" s="110" t="str">
        <x:f>'Raw Data'!CD4</x:f>
        <x:v>5.200727800023742</x:v>
      </x:c>
      <x:c r="AA8" s="106" t="n">
        <x:f>Y8-Q8</x:f>
        <x:v>4</x:v>
      </x:c>
      <x:c r="AB8" s="108" t="n">
        <x:f>IFERROR(Z8/R8,"")</x:f>
        <x:v>0.6925769246490893</x:v>
      </x:c>
      <x:c r="AC8" s="106" t="str">
        <x:f>'Raw Data'!CS4</x:f>
        <x:v>entropy</x:v>
      </x:c>
      <x:c r="AD8" s="106" t="str">
        <x:f>'Raw Data'!CT4</x:f>
        <x:v>collision</x:v>
      </x:c>
      <x:c r="AE8" s="106" t="str">
        <x:f>'Raw Data'!CU4</x:f>
        <x:v>tradeoff</x:v>
      </x:c>
      <x:c r="AF8" s="106" t="str">
        <x:f>'Raw Data'!CV4</x:f>
        <x:v>neither</x:v>
      </x:c>
      <x:c r="AG8" s="106" t="str">
        <x:f>'Raw Data'!CW4</x:f>
        <x:v>both_valid</x:v>
      </x:c>
      <x:c r="AH8" s="106" t="str">
        <x:f>'Raw Data'!CX4</x:f>
        <x:v>none</x:v>
      </x:c>
      <x:c r="AI8" s="106" t="str">
        <x:f>'Raw Data'!CY4</x:f>
        <x:v>none</x:v>
      </x:c>
    </x:row>
    <x:row r="9">
      <x:c r="A9" s="106" t="str">
        <x:f>'Raw Data'!E5</x:f>
        <x:v>n1000_r0.1_repeat1</x:v>
      </x:c>
      <x:c r="B9" s="106" t="str">
        <x:f>'Raw Data'!F5</x:f>
        <x:v>1000</x:v>
      </x:c>
      <x:c r="C9" s="106" t="str">
        <x:f>'Raw Data'!G5</x:f>
        <x:v>0.1</x:v>
      </x:c>
      <x:c r="D9" s="106" t="str">
        <x:f>'Raw Data'!H5</x:f>
        <x:v>1</x:v>
      </x:c>
      <x:c r="E9" s="106" t="str">
        <x:f>'Raw Data'!N5</x:f>
        <x:v>True</x:v>
      </x:c>
      <x:c r="F9" s="106" t="str">
        <x:f>'Raw Data'!L5</x:f>
        <x:v>1</x:v>
      </x:c>
      <x:c r="G9" s="128" t="str">
        <x:f>'Raw Data'!P5</x:f>
        <x:v>28.004</x:v>
      </x:c>
      <x:c r="H9" s="110" t="str">
        <x:f>'Raw Data'!T5</x:f>
        <x:v>0.02803203203203203</x:v>
      </x:c>
      <x:c r="I9" s="106" t="str">
        <x:f>'Raw Data'!Z5</x:f>
        <x:v>ich</x:v>
      </x:c>
      <x:c r="J9" s="106" t="str">
        <x:f>'Raw Data'!AE5</x:f>
        <x:v>entropy,collision</x:v>
      </x:c>
      <x:c r="K9" s="106" t="str">
        <x:f>'Raw Data'!AI5</x:f>
        <x:v>True</x:v>
      </x:c>
      <x:c r="L9" s="106" t="str">
        <x:f>'Raw Data'!AG5</x:f>
        <x:v>104</x:v>
      </x:c>
      <x:c r="M9" s="106" t="str">
        <x:f>'Raw Data'!AK5</x:f>
        <x:v>0</x:v>
      </x:c>
      <x:c r="N9" s="106" t="str">
        <x:f>'Raw Data'!AL5</x:f>
        <x:v>0</x:v>
      </x:c>
      <x:c r="O9" s="106" t="str">
        <x:f>'Raw Data'!AP5</x:f>
        <x:v>0</x:v>
      </x:c>
      <x:c r="P9" s="106" t="str">
        <x:f>'Raw Data'!AX5</x:f>
        <x:v>6</x:v>
      </x:c>
      <x:c r="Q9" s="106" t="str">
        <x:f>'Raw Data'!BA5</x:f>
        <x:v>98</x:v>
      </x:c>
      <x:c r="R9" s="110" t="str">
        <x:f>'Raw Data'!BB5</x:f>
        <x:v>129.2340141001623</x:v>
      </x:c>
      <x:c r="S9" s="106" t="str">
        <x:f>'Raw Data'!BK5</x:f>
        <x:v>True</x:v>
      </x:c>
      <x:c r="T9" s="106" t="str">
        <x:f>'Raw Data'!BI5</x:f>
        <x:v>102</x:v>
      </x:c>
      <x:c r="U9" s="106" t="str">
        <x:f>'Raw Data'!BM5</x:f>
        <x:v>0</x:v>
      </x:c>
      <x:c r="V9" s="106" t="str">
        <x:f>'Raw Data'!BN5</x:f>
        <x:v>0</x:v>
      </x:c>
      <x:c r="W9" s="106" t="str">
        <x:f>'Raw Data'!BR5</x:f>
        <x:v>0</x:v>
      </x:c>
      <x:c r="X9" s="106" t="str">
        <x:f>'Raw Data'!BZ5</x:f>
        <x:v>7</x:v>
      </x:c>
      <x:c r="Y9" s="106" t="str">
        <x:f>'Raw Data'!CC5</x:f>
        <x:v>95</x:v>
      </x:c>
      <x:c r="Z9" s="110" t="str">
        <x:f>'Raw Data'!CD5</x:f>
        <x:v>142.02630770008545</x:v>
      </x:c>
      <x:c r="AA9" s="106" t="n">
        <x:f>Y9-Q9</x:f>
        <x:v>-3</x:v>
      </x:c>
      <x:c r="AB9" s="108" t="n">
        <x:f>IFERROR(Z9/R9,"")</x:f>
        <x:v>1.0989855007522131</x:v>
      </x:c>
      <x:c r="AC9" s="106" t="str">
        <x:f>'Raw Data'!CS5</x:f>
        <x:v>collision</x:v>
      </x:c>
      <x:c r="AD9" s="106" t="str">
        <x:f>'Raw Data'!CT5</x:f>
        <x:v>entropy</x:v>
      </x:c>
      <x:c r="AE9" s="106" t="str">
        <x:f>'Raw Data'!CU5</x:f>
        <x:v>tradeoff</x:v>
      </x:c>
      <x:c r="AF9" s="106" t="str">
        <x:f>'Raw Data'!CV5</x:f>
        <x:v>neither</x:v>
      </x:c>
      <x:c r="AG9" s="106" t="str">
        <x:f>'Raw Data'!CW5</x:f>
        <x:v>both_valid</x:v>
      </x:c>
      <x:c r="AH9" s="106" t="str">
        <x:f>'Raw Data'!CX5</x:f>
        <x:v>none</x:v>
      </x:c>
      <x:c r="AI9" s="106" t="str">
        <x:f>'Raw Data'!CY5</x:f>
        <x:v>none</x:v>
      </x:c>
    </x:row>
    <x:row r="10">
      <x:c r="A10" s="106" t="str">
        <x:f>'Raw Data'!E6</x:f>
        <x:v>n1000_r0.1_repeat2</x:v>
      </x:c>
      <x:c r="B10" s="106" t="str">
        <x:f>'Raw Data'!F6</x:f>
        <x:v>1000</x:v>
      </x:c>
      <x:c r="C10" s="106" t="str">
        <x:f>'Raw Data'!G6</x:f>
        <x:v>0.1</x:v>
      </x:c>
      <x:c r="D10" s="106" t="str">
        <x:f>'Raw Data'!H6</x:f>
        <x:v>2</x:v>
      </x:c>
      <x:c r="E10" s="106" t="str">
        <x:f>'Raw Data'!N6</x:f>
        <x:v>True</x:v>
      </x:c>
      <x:c r="F10" s="106" t="str">
        <x:f>'Raw Data'!L6</x:f>
        <x:v>1</x:v>
      </x:c>
      <x:c r="G10" s="128" t="str">
        <x:f>'Raw Data'!P6</x:f>
        <x:v>28.28</x:v>
      </x:c>
      <x:c r="H10" s="110" t="str">
        <x:f>'Raw Data'!T6</x:f>
        <x:v>0.028308308308308307</x:v>
      </x:c>
      <x:c r="I10" s="106" t="str">
        <x:f>'Raw Data'!Z6</x:f>
        <x:v>circle</x:v>
      </x:c>
      <x:c r="J10" s="106" t="str">
        <x:f>'Raw Data'!AE6</x:f>
        <x:v>collision,entropy</x:v>
      </x:c>
      <x:c r="K10" s="106" t="str">
        <x:f>'Raw Data'!AI6</x:f>
        <x:v>True</x:v>
      </x:c>
      <x:c r="L10" s="106" t="str">
        <x:f>'Raw Data'!AG6</x:f>
        <x:v>92</x:v>
      </x:c>
      <x:c r="M10" s="106" t="str">
        <x:f>'Raw Data'!AK6</x:f>
        <x:v>0</x:v>
      </x:c>
      <x:c r="N10" s="106" t="str">
        <x:f>'Raw Data'!AL6</x:f>
        <x:v>0</x:v>
      </x:c>
      <x:c r="O10" s="106" t="str">
        <x:f>'Raw Data'!AP6</x:f>
        <x:v>0</x:v>
      </x:c>
      <x:c r="P10" s="106" t="str">
        <x:f>'Raw Data'!AX6</x:f>
        <x:v>0</x:v>
      </x:c>
      <x:c r="Q10" s="106" t="str">
        <x:f>'Raw Data'!BA6</x:f>
        <x:v>92</x:v>
      </x:c>
      <x:c r="R10" s="110" t="str">
        <x:f>'Raw Data'!BB6</x:f>
        <x:v>6.1779790999135</x:v>
      </x:c>
      <x:c r="S10" s="106" t="str">
        <x:f>'Raw Data'!BK6</x:f>
        <x:v>True</x:v>
      </x:c>
      <x:c r="T10" s="106" t="str">
        <x:f>'Raw Data'!BI6</x:f>
        <x:v>93</x:v>
      </x:c>
      <x:c r="U10" s="106" t="str">
        <x:f>'Raw Data'!BM6</x:f>
        <x:v>0</x:v>
      </x:c>
      <x:c r="V10" s="106" t="str">
        <x:f>'Raw Data'!BN6</x:f>
        <x:v>0</x:v>
      </x:c>
      <x:c r="W10" s="106" t="str">
        <x:f>'Raw Data'!BR6</x:f>
        <x:v>0</x:v>
      </x:c>
      <x:c r="X10" s="106" t="str">
        <x:f>'Raw Data'!BZ6</x:f>
        <x:v>0</x:v>
      </x:c>
      <x:c r="Y10" s="106" t="str">
        <x:f>'Raw Data'!CC6</x:f>
        <x:v>93</x:v>
      </x:c>
      <x:c r="Z10" s="110" t="str">
        <x:f>'Raw Data'!CD6</x:f>
        <x:v>5.494877899996936</x:v>
      </x:c>
      <x:c r="AA10" s="106" t="n">
        <x:f>Y10-Q10</x:f>
        <x:v>1</x:v>
      </x:c>
      <x:c r="AB10" s="108" t="n">
        <x:f>IFERROR(Z10/R10,"")</x:f>
        <x:v>0.8894296680404554</x:v>
      </x:c>
      <x:c r="AC10" s="106" t="str">
        <x:f>'Raw Data'!CS6</x:f>
        <x:v>entropy</x:v>
      </x:c>
      <x:c r="AD10" s="106" t="str">
        <x:f>'Raw Data'!CT6</x:f>
        <x:v>collision</x:v>
      </x:c>
      <x:c r="AE10" s="106" t="str">
        <x:f>'Raw Data'!CU6</x:f>
        <x:v>tradeoff</x:v>
      </x:c>
      <x:c r="AF10" s="106" t="str">
        <x:f>'Raw Data'!CV6</x:f>
        <x:v>neither</x:v>
      </x:c>
      <x:c r="AG10" s="106" t="str">
        <x:f>'Raw Data'!CW6</x:f>
        <x:v>both_valid</x:v>
      </x:c>
      <x:c r="AH10" s="106" t="str">
        <x:f>'Raw Data'!CX6</x:f>
        <x:v>none</x:v>
      </x:c>
      <x:c r="AI10" s="106" t="str">
        <x:f>'Raw Data'!CY6</x:f>
        <x:v>none</x:v>
      </x:c>
    </x:row>
    <x:row r="11">
      <x:c r="A11" s="106" t="str">
        <x:f>'Raw Data'!E7</x:f>
        <x:v>n1000_r0.1_repeat2</x:v>
      </x:c>
      <x:c r="B11" s="106" t="str">
        <x:f>'Raw Data'!F7</x:f>
        <x:v>1000</x:v>
      </x:c>
      <x:c r="C11" s="106" t="str">
        <x:f>'Raw Data'!G7</x:f>
        <x:v>0.1</x:v>
      </x:c>
      <x:c r="D11" s="106" t="str">
        <x:f>'Raw Data'!H7</x:f>
        <x:v>2</x:v>
      </x:c>
      <x:c r="E11" s="106" t="str">
        <x:f>'Raw Data'!N7</x:f>
        <x:v>True</x:v>
      </x:c>
      <x:c r="F11" s="106" t="str">
        <x:f>'Raw Data'!L7</x:f>
        <x:v>1</x:v>
      </x:c>
      <x:c r="G11" s="128" t="str">
        <x:f>'Raw Data'!P7</x:f>
        <x:v>28.28</x:v>
      </x:c>
      <x:c r="H11" s="110" t="str">
        <x:f>'Raw Data'!T7</x:f>
        <x:v>0.028308308308308307</x:v>
      </x:c>
      <x:c r="I11" s="106" t="str">
        <x:f>'Raw Data'!Z7</x:f>
        <x:v>zoomed</x:v>
      </x:c>
      <x:c r="J11" s="106" t="str">
        <x:f>'Raw Data'!AE7</x:f>
        <x:v>collision,entropy</x:v>
      </x:c>
      <x:c r="K11" s="106" t="str">
        <x:f>'Raw Data'!AI7</x:f>
        <x:v>True</x:v>
      </x:c>
      <x:c r="L11" s="106" t="str">
        <x:f>'Raw Data'!AG7</x:f>
        <x:v>90</x:v>
      </x:c>
      <x:c r="M11" s="106" t="str">
        <x:f>'Raw Data'!AK7</x:f>
        <x:v>0</x:v>
      </x:c>
      <x:c r="N11" s="106" t="str">
        <x:f>'Raw Data'!AL7</x:f>
        <x:v>0</x:v>
      </x:c>
      <x:c r="O11" s="106" t="str">
        <x:f>'Raw Data'!AP7</x:f>
        <x:v>0</x:v>
      </x:c>
      <x:c r="P11" s="106" t="str">
        <x:f>'Raw Data'!AX7</x:f>
        <x:v>0</x:v>
      </x:c>
      <x:c r="Q11" s="106" t="str">
        <x:f>'Raw Data'!BA7</x:f>
        <x:v>90</x:v>
      </x:c>
      <x:c r="R11" s="110" t="str">
        <x:f>'Raw Data'!BB7</x:f>
        <x:v>5.553636300028302</x:v>
      </x:c>
      <x:c r="S11" s="106" t="str">
        <x:f>'Raw Data'!BK7</x:f>
        <x:v>True</x:v>
      </x:c>
      <x:c r="T11" s="106" t="str">
        <x:f>'Raw Data'!BI7</x:f>
        <x:v>97</x:v>
      </x:c>
      <x:c r="U11" s="106" t="str">
        <x:f>'Raw Data'!BM7</x:f>
        <x:v>0</x:v>
      </x:c>
      <x:c r="V11" s="106" t="str">
        <x:f>'Raw Data'!BN7</x:f>
        <x:v>0</x:v>
      </x:c>
      <x:c r="W11" s="106" t="str">
        <x:f>'Raw Data'!BR7</x:f>
        <x:v>0</x:v>
      </x:c>
      <x:c r="X11" s="106" t="str">
        <x:f>'Raw Data'!BZ7</x:f>
        <x:v>0</x:v>
      </x:c>
      <x:c r="Y11" s="106" t="str">
        <x:f>'Raw Data'!CC7</x:f>
        <x:v>97</x:v>
      </x:c>
      <x:c r="Z11" s="110" t="str">
        <x:f>'Raw Data'!CD7</x:f>
        <x:v>4.299608999979682</x:v>
      </x:c>
      <x:c r="AA11" s="106" t="n">
        <x:f>Y11-Q11</x:f>
        <x:v>7</x:v>
      </x:c>
      <x:c r="AB11" s="108" t="n">
        <x:f>IFERROR(Z11/R11,"")</x:f>
        <x:v>0.7741970787604099</x:v>
      </x:c>
      <x:c r="AC11" s="106" t="str">
        <x:f>'Raw Data'!CS7</x:f>
        <x:v>entropy</x:v>
      </x:c>
      <x:c r="AD11" s="106" t="str">
        <x:f>'Raw Data'!CT7</x:f>
        <x:v>collision</x:v>
      </x:c>
      <x:c r="AE11" s="106" t="str">
        <x:f>'Raw Data'!CU7</x:f>
        <x:v>tradeoff</x:v>
      </x:c>
      <x:c r="AF11" s="106" t="str">
        <x:f>'Raw Data'!CV7</x:f>
        <x:v>neither</x:v>
      </x:c>
      <x:c r="AG11" s="106" t="str">
        <x:f>'Raw Data'!CW7</x:f>
        <x:v>both_valid</x:v>
      </x:c>
      <x:c r="AH11" s="106" t="str">
        <x:f>'Raw Data'!CX7</x:f>
        <x:v>none</x:v>
      </x:c>
      <x:c r="AI11" s="106" t="str">
        <x:f>'Raw Data'!CY7</x:f>
        <x:v>none</x:v>
      </x:c>
    </x:row>
    <x:row r="12">
      <x:c r="A12" s="106" t="str">
        <x:f>'Raw Data'!E8</x:f>
        <x:v>n1000_r0.1_repeat2</x:v>
      </x:c>
      <x:c r="B12" s="106" t="str">
        <x:f>'Raw Data'!F8</x:f>
        <x:v>1000</x:v>
      </x:c>
      <x:c r="C12" s="106" t="str">
        <x:f>'Raw Data'!G8</x:f>
        <x:v>0.1</x:v>
      </x:c>
      <x:c r="D12" s="106" t="str">
        <x:f>'Raw Data'!H8</x:f>
        <x:v>2</x:v>
      </x:c>
      <x:c r="E12" s="106" t="str">
        <x:f>'Raw Data'!N8</x:f>
        <x:v>True</x:v>
      </x:c>
      <x:c r="F12" s="106" t="str">
        <x:f>'Raw Data'!L8</x:f>
        <x:v>1</x:v>
      </x:c>
      <x:c r="G12" s="128" t="str">
        <x:f>'Raw Data'!P8</x:f>
        <x:v>28.28</x:v>
      </x:c>
      <x:c r="H12" s="110" t="str">
        <x:f>'Raw Data'!T8</x:f>
        <x:v>0.028308308308308307</x:v>
      </x:c>
      <x:c r="I12" s="106" t="str">
        <x:f>'Raw Data'!Z8</x:f>
        <x:v>ich</x:v>
      </x:c>
      <x:c r="J12" s="106" t="str">
        <x:f>'Raw Data'!AE8</x:f>
        <x:v>collision,entropy</x:v>
      </x:c>
      <x:c r="K12" s="106" t="str">
        <x:f>'Raw Data'!AI8</x:f>
        <x:v>True</x:v>
      </x:c>
      <x:c r="L12" s="106" t="str">
        <x:f>'Raw Data'!AG8</x:f>
        <x:v>94</x:v>
      </x:c>
      <x:c r="M12" s="106" t="str">
        <x:f>'Raw Data'!AK8</x:f>
        <x:v>0</x:v>
      </x:c>
      <x:c r="N12" s="106" t="str">
        <x:f>'Raw Data'!AL8</x:f>
        <x:v>0</x:v>
      </x:c>
      <x:c r="O12" s="106" t="str">
        <x:f>'Raw Data'!AP8</x:f>
        <x:v>0</x:v>
      </x:c>
      <x:c r="P12" s="106" t="str">
        <x:f>'Raw Data'!AX8</x:f>
        <x:v>10</x:v>
      </x:c>
      <x:c r="Q12" s="106" t="str">
        <x:f>'Raw Data'!BA8</x:f>
        <x:v>84</x:v>
      </x:c>
      <x:c r="R12" s="110" t="str">
        <x:f>'Raw Data'!BB8</x:f>
        <x:v>144.27360270009376</x:v>
      </x:c>
      <x:c r="S12" s="106" t="str">
        <x:f>'Raw Data'!BK8</x:f>
        <x:v>True</x:v>
      </x:c>
      <x:c r="T12" s="106" t="str">
        <x:f>'Raw Data'!BI8</x:f>
        <x:v>92</x:v>
      </x:c>
      <x:c r="U12" s="106" t="str">
        <x:f>'Raw Data'!BM8</x:f>
        <x:v>0</x:v>
      </x:c>
      <x:c r="V12" s="106" t="str">
        <x:f>'Raw Data'!BN8</x:f>
        <x:v>0</x:v>
      </x:c>
      <x:c r="W12" s="106" t="str">
        <x:f>'Raw Data'!BR8</x:f>
        <x:v>0</x:v>
      </x:c>
      <x:c r="X12" s="106" t="str">
        <x:f>'Raw Data'!BZ8</x:f>
        <x:v>6</x:v>
      </x:c>
      <x:c r="Y12" s="106" t="str">
        <x:f>'Raw Data'!CC8</x:f>
        <x:v>86</x:v>
      </x:c>
      <x:c r="Z12" s="110" t="str">
        <x:f>'Raw Data'!CD8</x:f>
        <x:v>122.0894161000615</x:v>
      </x:c>
      <x:c r="AA12" s="106" t="n">
        <x:f>Y12-Q12</x:f>
        <x:v>2</x:v>
      </x:c>
      <x:c r="AB12" s="108" t="n">
        <x:f>IFERROR(Z12/R12,"")</x:f>
        <x:v>0.8462353044156854</x:v>
      </x:c>
      <x:c r="AC12" s="106" t="str">
        <x:f>'Raw Data'!CS8</x:f>
        <x:v>entropy</x:v>
      </x:c>
      <x:c r="AD12" s="106" t="str">
        <x:f>'Raw Data'!CT8</x:f>
        <x:v>collision</x:v>
      </x:c>
      <x:c r="AE12" s="106" t="str">
        <x:f>'Raw Data'!CU8</x:f>
        <x:v>tradeoff</x:v>
      </x:c>
      <x:c r="AF12" s="106" t="str">
        <x:f>'Raw Data'!CV8</x:f>
        <x:v>neither</x:v>
      </x:c>
      <x:c r="AG12" s="106" t="str">
        <x:f>'Raw Data'!CW8</x:f>
        <x:v>both_valid</x:v>
      </x:c>
      <x:c r="AH12" s="106" t="str">
        <x:f>'Raw Data'!CX8</x:f>
        <x:v>none</x:v>
      </x:c>
      <x:c r="AI12" s="106" t="str">
        <x:f>'Raw Data'!CY8</x:f>
        <x:v>none</x:v>
      </x:c>
    </x:row>
    <x:row r="13">
      <x:c r="A13" s="106" t="str">
        <x:f>'Raw Data'!E9</x:f>
        <x:v>n1000_r0.1_repeat2</x:v>
      </x:c>
      <x:c r="B13" s="106" t="str">
        <x:f>'Raw Data'!F9</x:f>
        <x:v>1000</x:v>
      </x:c>
      <x:c r="C13" s="106" t="str">
        <x:f>'Raw Data'!G9</x:f>
        <x:v>0.1</x:v>
      </x:c>
      <x:c r="D13" s="106" t="str">
        <x:f>'Raw Data'!H9</x:f>
        <x:v>2</x:v>
      </x:c>
      <x:c r="E13" s="106" t="str">
        <x:f>'Raw Data'!N9</x:f>
        <x:v>True</x:v>
      </x:c>
      <x:c r="F13" s="106" t="str">
        <x:f>'Raw Data'!L9</x:f>
        <x:v>1</x:v>
      </x:c>
      <x:c r="G13" s="128" t="str">
        <x:f>'Raw Data'!P9</x:f>
        <x:v>28.28</x:v>
      </x:c>
      <x:c r="H13" s="110" t="str">
        <x:f>'Raw Data'!T9</x:f>
        <x:v>0.028308308308308307</x:v>
      </x:c>
      <x:c r="I13" s="106" t="str">
        <x:f>'Raw Data'!Z9</x:f>
        <x:v>grid</x:v>
      </x:c>
      <x:c r="J13" s="106" t="str">
        <x:f>'Raw Data'!AE9</x:f>
        <x:v>collision,entropy</x:v>
      </x:c>
      <x:c r="K13" s="106" t="str">
        <x:f>'Raw Data'!AI9</x:f>
        <x:v>True</x:v>
      </x:c>
      <x:c r="L13" s="106" t="str">
        <x:f>'Raw Data'!AG9</x:f>
        <x:v>92</x:v>
      </x:c>
      <x:c r="M13" s="106" t="str">
        <x:f>'Raw Data'!AK9</x:f>
        <x:v>0</x:v>
      </x:c>
      <x:c r="N13" s="106" t="str">
        <x:f>'Raw Data'!AL9</x:f>
        <x:v>0</x:v>
      </x:c>
      <x:c r="O13" s="106" t="str">
        <x:f>'Raw Data'!AP9</x:f>
        <x:v>0</x:v>
      </x:c>
      <x:c r="P13" s="106" t="str">
        <x:f>'Raw Data'!AX9</x:f>
        <x:v>0</x:v>
      </x:c>
      <x:c r="Q13" s="106" t="str">
        <x:f>'Raw Data'!BA9</x:f>
        <x:v>92</x:v>
      </x:c>
      <x:c r="R13" s="110" t="str">
        <x:f>'Raw Data'!BB9</x:f>
        <x:v>6.27231740008574</x:v>
      </x:c>
      <x:c r="S13" s="106" t="str">
        <x:f>'Raw Data'!BK9</x:f>
        <x:v>True</x:v>
      </x:c>
      <x:c r="T13" s="106" t="str">
        <x:f>'Raw Data'!BI9</x:f>
        <x:v>92</x:v>
      </x:c>
      <x:c r="U13" s="106" t="str">
        <x:f>'Raw Data'!BM9</x:f>
        <x:v>0</x:v>
      </x:c>
      <x:c r="V13" s="106" t="str">
        <x:f>'Raw Data'!BN9</x:f>
        <x:v>0</x:v>
      </x:c>
      <x:c r="W13" s="106" t="str">
        <x:f>'Raw Data'!BR9</x:f>
        <x:v>0</x:v>
      </x:c>
      <x:c r="X13" s="106" t="str">
        <x:f>'Raw Data'!BZ9</x:f>
        <x:v>0</x:v>
      </x:c>
      <x:c r="Y13" s="106" t="str">
        <x:f>'Raw Data'!CC9</x:f>
        <x:v>92</x:v>
      </x:c>
      <x:c r="Z13" s="110" t="str">
        <x:f>'Raw Data'!CD9</x:f>
        <x:v>3.3987126998836175</x:v>
      </x:c>
      <x:c r="AA13" s="106" t="n">
        <x:f>Y13-Q13</x:f>
        <x:v>0</x:v>
      </x:c>
      <x:c r="AB13" s="108" t="n">
        <x:f>IFERROR(Z13/R13,"")</x:f>
        <x:v>0.5418591699197427</x:v>
      </x:c>
      <x:c r="AC13" s="106" t="str">
        <x:f>'Raw Data'!CS9</x:f>
        <x:v>tie</x:v>
      </x:c>
      <x:c r="AD13" s="106" t="str">
        <x:f>'Raw Data'!CT9</x:f>
        <x:v>collision</x:v>
      </x:c>
      <x:c r="AE13" s="106" t="str">
        <x:f>'Raw Data'!CU9</x:f>
        <x:v>collision_dominates</x:v>
      </x:c>
      <x:c r="AF13" s="106" t="str">
        <x:f>'Raw Data'!CV9</x:f>
        <x:v>neither</x:v>
      </x:c>
      <x:c r="AG13" s="106" t="str">
        <x:f>'Raw Data'!CW9</x:f>
        <x:v>both_valid</x:v>
      </x:c>
      <x:c r="AH13" s="106" t="str">
        <x:f>'Raw Data'!CX9</x:f>
        <x:v>none</x:v>
      </x:c>
      <x:c r="AI13" s="106" t="str">
        <x:f>'Raw Data'!CY9</x:f>
        <x:v>none</x:v>
      </x:c>
    </x:row>
    <x:row r="14">
      <x:c r="A14" s="106" t="str">
        <x:f>'Raw Data'!E10</x:f>
        <x:v>n1000_r0.1_repeat3</x:v>
      </x:c>
      <x:c r="B14" s="106" t="str">
        <x:f>'Raw Data'!F10</x:f>
        <x:v>1000</x:v>
      </x:c>
      <x:c r="C14" s="106" t="str">
        <x:f>'Raw Data'!G10</x:f>
        <x:v>0.1</x:v>
      </x:c>
      <x:c r="D14" s="106" t="str">
        <x:f>'Raw Data'!H10</x:f>
        <x:v>3</x:v>
      </x:c>
      <x:c r="E14" s="106" t="str">
        <x:f>'Raw Data'!N10</x:f>
        <x:v>True</x:v>
      </x:c>
      <x:c r="F14" s="106" t="str">
        <x:f>'Raw Data'!L10</x:f>
        <x:v>1</x:v>
      </x:c>
      <x:c r="G14" s="128" t="str">
        <x:f>'Raw Data'!P10</x:f>
        <x:v>29.094</x:v>
      </x:c>
      <x:c r="H14" s="110" t="str">
        <x:f>'Raw Data'!T10</x:f>
        <x:v>0.029123123123123124</x:v>
      </x:c>
      <x:c r="I14" s="106" t="str">
        <x:f>'Raw Data'!Z10</x:f>
        <x:v>zoomed</x:v>
      </x:c>
      <x:c r="J14" s="106" t="str">
        <x:f>'Raw Data'!AE10</x:f>
        <x:v>entropy,collision</x:v>
      </x:c>
      <x:c r="K14" s="106" t="str">
        <x:f>'Raw Data'!AI10</x:f>
        <x:v>True</x:v>
      </x:c>
      <x:c r="L14" s="106" t="str">
        <x:f>'Raw Data'!AG10</x:f>
        <x:v>98</x:v>
      </x:c>
      <x:c r="M14" s="106" t="str">
        <x:f>'Raw Data'!AK10</x:f>
        <x:v>0</x:v>
      </x:c>
      <x:c r="N14" s="106" t="str">
        <x:f>'Raw Data'!AL10</x:f>
        <x:v>0</x:v>
      </x:c>
      <x:c r="O14" s="106" t="str">
        <x:f>'Raw Data'!AP10</x:f>
        <x:v>0</x:v>
      </x:c>
      <x:c r="P14" s="106" t="str">
        <x:f>'Raw Data'!AX10</x:f>
        <x:v>0</x:v>
      </x:c>
      <x:c r="Q14" s="106" t="str">
        <x:f>'Raw Data'!BA10</x:f>
        <x:v>98</x:v>
      </x:c>
      <x:c r="R14" s="110" t="str">
        <x:f>'Raw Data'!BB10</x:f>
        <x:v>8.477411800064147</x:v>
      </x:c>
      <x:c r="S14" s="106" t="str">
        <x:f>'Raw Data'!BK10</x:f>
        <x:v>True</x:v>
      </x:c>
      <x:c r="T14" s="106" t="str">
        <x:f>'Raw Data'!BI10</x:f>
        <x:v>96</x:v>
      </x:c>
      <x:c r="U14" s="106" t="str">
        <x:f>'Raw Data'!BM10</x:f>
        <x:v>0</x:v>
      </x:c>
      <x:c r="V14" s="106" t="str">
        <x:f>'Raw Data'!BN10</x:f>
        <x:v>0</x:v>
      </x:c>
      <x:c r="W14" s="106" t="str">
        <x:f>'Raw Data'!BR10</x:f>
        <x:v>0</x:v>
      </x:c>
      <x:c r="X14" s="106" t="str">
        <x:f>'Raw Data'!BZ10</x:f>
        <x:v>0</x:v>
      </x:c>
      <x:c r="Y14" s="106" t="str">
        <x:f>'Raw Data'!CC10</x:f>
        <x:v>96</x:v>
      </x:c>
      <x:c r="Z14" s="110" t="str">
        <x:f>'Raw Data'!CD10</x:f>
        <x:v>6.025348800001666</x:v>
      </x:c>
      <x:c r="AA14" s="106" t="n">
        <x:f>Y14-Q14</x:f>
        <x:v>-2</x:v>
      </x:c>
      <x:c r="AB14" s="108" t="n">
        <x:f>IFERROR(Z14/R14,"")</x:f>
        <x:v>0.7107533457270618</x:v>
      </x:c>
      <x:c r="AC14" s="106" t="str">
        <x:f>'Raw Data'!CS10</x:f>
        <x:v>collision</x:v>
      </x:c>
      <x:c r="AD14" s="106" t="str">
        <x:f>'Raw Data'!CT10</x:f>
        <x:v>collision</x:v>
      </x:c>
      <x:c r="AE14" s="106" t="str">
        <x:f>'Raw Data'!CU10</x:f>
        <x:v>collision_dominates</x:v>
      </x:c>
      <x:c r="AF14" s="106" t="str">
        <x:f>'Raw Data'!CV10</x:f>
        <x:v>neither</x:v>
      </x:c>
      <x:c r="AG14" s="106" t="str">
        <x:f>'Raw Data'!CW10</x:f>
        <x:v>both_valid</x:v>
      </x:c>
      <x:c r="AH14" s="106" t="str">
        <x:f>'Raw Data'!CX10</x:f>
        <x:v>none</x:v>
      </x:c>
      <x:c r="AI14" s="106" t="str">
        <x:f>'Raw Data'!CY10</x:f>
        <x:v>none</x:v>
      </x:c>
    </x:row>
    <x:row r="15">
      <x:c r="A15" s="106" t="str">
        <x:f>'Raw Data'!E11</x:f>
        <x:v>n1000_r0.1_repeat3</x:v>
      </x:c>
      <x:c r="B15" s="106" t="str">
        <x:f>'Raw Data'!F11</x:f>
        <x:v>1000</x:v>
      </x:c>
      <x:c r="C15" s="106" t="str">
        <x:f>'Raw Data'!G11</x:f>
        <x:v>0.1</x:v>
      </x:c>
      <x:c r="D15" s="106" t="str">
        <x:f>'Raw Data'!H11</x:f>
        <x:v>3</x:v>
      </x:c>
      <x:c r="E15" s="106" t="str">
        <x:f>'Raw Data'!N11</x:f>
        <x:v>True</x:v>
      </x:c>
      <x:c r="F15" s="106" t="str">
        <x:f>'Raw Data'!L11</x:f>
        <x:v>1</x:v>
      </x:c>
      <x:c r="G15" s="128" t="str">
        <x:f>'Raw Data'!P11</x:f>
        <x:v>29.094</x:v>
      </x:c>
      <x:c r="H15" s="110" t="str">
        <x:f>'Raw Data'!T11</x:f>
        <x:v>0.029123123123123124</x:v>
      </x:c>
      <x:c r="I15" s="106" t="str">
        <x:f>'Raw Data'!Z11</x:f>
        <x:v>ich</x:v>
      </x:c>
      <x:c r="J15" s="106" t="str">
        <x:f>'Raw Data'!AE11</x:f>
        <x:v>entropy,collision</x:v>
      </x:c>
      <x:c r="K15" s="106" t="str">
        <x:f>'Raw Data'!AI11</x:f>
        <x:v>True</x:v>
      </x:c>
      <x:c r="L15" s="106" t="str">
        <x:f>'Raw Data'!AG11</x:f>
        <x:v>97</x:v>
      </x:c>
      <x:c r="M15" s="106" t="str">
        <x:f>'Raw Data'!AK11</x:f>
        <x:v>0</x:v>
      </x:c>
      <x:c r="N15" s="106" t="str">
        <x:f>'Raw Data'!AL11</x:f>
        <x:v>0</x:v>
      </x:c>
      <x:c r="O15" s="106" t="str">
        <x:f>'Raw Data'!AP11</x:f>
        <x:v>0</x:v>
      </x:c>
      <x:c r="P15" s="106" t="str">
        <x:f>'Raw Data'!AX11</x:f>
        <x:v>4</x:v>
      </x:c>
      <x:c r="Q15" s="106" t="str">
        <x:f>'Raw Data'!BA11</x:f>
        <x:v>93</x:v>
      </x:c>
      <x:c r="R15" s="110" t="str">
        <x:f>'Raw Data'!BB11</x:f>
        <x:v>147.29548970004544</x:v>
      </x:c>
      <x:c r="S15" s="106" t="str">
        <x:f>'Raw Data'!BK11</x:f>
        <x:v>True</x:v>
      </x:c>
      <x:c r="T15" s="106" t="str">
        <x:f>'Raw Data'!BI11</x:f>
        <x:v>102</x:v>
      </x:c>
      <x:c r="U15" s="106" t="str">
        <x:f>'Raw Data'!BM11</x:f>
        <x:v>0</x:v>
      </x:c>
      <x:c r="V15" s="106" t="str">
        <x:f>'Raw Data'!BN11</x:f>
        <x:v>0</x:v>
      </x:c>
      <x:c r="W15" s="106" t="str">
        <x:f>'Raw Data'!BR11</x:f>
        <x:v>0</x:v>
      </x:c>
      <x:c r="X15" s="106" t="str">
        <x:f>'Raw Data'!BZ11</x:f>
        <x:v>7</x:v>
      </x:c>
      <x:c r="Y15" s="106" t="str">
        <x:f>'Raw Data'!CC11</x:f>
        <x:v>95</x:v>
      </x:c>
      <x:c r="Z15" s="110" t="str">
        <x:f>'Raw Data'!CD11</x:f>
        <x:v>140.76998159999494</x:v>
      </x:c>
      <x:c r="AA15" s="106" t="n">
        <x:f>Y15-Q15</x:f>
        <x:v>2</x:v>
      </x:c>
      <x:c r="AB15" s="108" t="n">
        <x:f>IFERROR(Z15/R15,"")</x:f>
        <x:v>0.9556978417102986</x:v>
      </x:c>
      <x:c r="AC15" s="106" t="str">
        <x:f>'Raw Data'!CS11</x:f>
        <x:v>entropy</x:v>
      </x:c>
      <x:c r="AD15" s="106" t="str">
        <x:f>'Raw Data'!CT11</x:f>
        <x:v>collision</x:v>
      </x:c>
      <x:c r="AE15" s="106" t="str">
        <x:f>'Raw Data'!CU11</x:f>
        <x:v>tradeoff</x:v>
      </x:c>
      <x:c r="AF15" s="106" t="str">
        <x:f>'Raw Data'!CV11</x:f>
        <x:v>neither</x:v>
      </x:c>
      <x:c r="AG15" s="106" t="str">
        <x:f>'Raw Data'!CW11</x:f>
        <x:v>both_valid</x:v>
      </x:c>
      <x:c r="AH15" s="106" t="str">
        <x:f>'Raw Data'!CX11</x:f>
        <x:v>none</x:v>
      </x:c>
      <x:c r="AI15" s="106" t="str">
        <x:f>'Raw Data'!CY11</x:f>
        <x:v>none</x:v>
      </x:c>
    </x:row>
    <x:row r="16">
      <x:c r="A16" s="106" t="str">
        <x:f>'Raw Data'!E12</x:f>
        <x:v>n1000_r0.1_repeat3</x:v>
      </x:c>
      <x:c r="B16" s="106" t="str">
        <x:f>'Raw Data'!F12</x:f>
        <x:v>1000</x:v>
      </x:c>
      <x:c r="C16" s="106" t="str">
        <x:f>'Raw Data'!G12</x:f>
        <x:v>0.1</x:v>
      </x:c>
      <x:c r="D16" s="106" t="str">
        <x:f>'Raw Data'!H12</x:f>
        <x:v>3</x:v>
      </x:c>
      <x:c r="E16" s="106" t="str">
        <x:f>'Raw Data'!N12</x:f>
        <x:v>True</x:v>
      </x:c>
      <x:c r="F16" s="106" t="str">
        <x:f>'Raw Data'!L12</x:f>
        <x:v>1</x:v>
      </x:c>
      <x:c r="G16" s="128" t="str">
        <x:f>'Raw Data'!P12</x:f>
        <x:v>29.094</x:v>
      </x:c>
      <x:c r="H16" s="110" t="str">
        <x:f>'Raw Data'!T12</x:f>
        <x:v>0.029123123123123124</x:v>
      </x:c>
      <x:c r="I16" s="106" t="str">
        <x:f>'Raw Data'!Z12</x:f>
        <x:v>grid</x:v>
      </x:c>
      <x:c r="J16" s="106" t="str">
        <x:f>'Raw Data'!AE12</x:f>
        <x:v>entropy,collision</x:v>
      </x:c>
      <x:c r="K16" s="106" t="str">
        <x:f>'Raw Data'!AI12</x:f>
        <x:v>True</x:v>
      </x:c>
      <x:c r="L16" s="106" t="str">
        <x:f>'Raw Data'!AG12</x:f>
        <x:v>96</x:v>
      </x:c>
      <x:c r="M16" s="106" t="str">
        <x:f>'Raw Data'!AK12</x:f>
        <x:v>0</x:v>
      </x:c>
      <x:c r="N16" s="106" t="str">
        <x:f>'Raw Data'!AL12</x:f>
        <x:v>0</x:v>
      </x:c>
      <x:c r="O16" s="106" t="str">
        <x:f>'Raw Data'!AP12</x:f>
        <x:v>0</x:v>
      </x:c>
      <x:c r="P16" s="106" t="str">
        <x:f>'Raw Data'!AX12</x:f>
        <x:v>0</x:v>
      </x:c>
      <x:c r="Q16" s="106" t="str">
        <x:f>'Raw Data'!BA12</x:f>
        <x:v>96</x:v>
      </x:c>
      <x:c r="R16" s="110" t="str">
        <x:f>'Raw Data'!BB12</x:f>
        <x:v>6.699099599965848</x:v>
      </x:c>
      <x:c r="S16" s="106" t="str">
        <x:f>'Raw Data'!BK12</x:f>
        <x:v>True</x:v>
      </x:c>
      <x:c r="T16" s="106" t="str">
        <x:f>'Raw Data'!BI12</x:f>
        <x:v>103</x:v>
      </x:c>
      <x:c r="U16" s="106" t="str">
        <x:f>'Raw Data'!BM12</x:f>
        <x:v>0</x:v>
      </x:c>
      <x:c r="V16" s="106" t="str">
        <x:f>'Raw Data'!BN12</x:f>
        <x:v>0</x:v>
      </x:c>
      <x:c r="W16" s="106" t="str">
        <x:f>'Raw Data'!BR12</x:f>
        <x:v>0</x:v>
      </x:c>
      <x:c r="X16" s="106" t="str">
        <x:f>'Raw Data'!BZ12</x:f>
        <x:v>0</x:v>
      </x:c>
      <x:c r="Y16" s="106" t="str">
        <x:f>'Raw Data'!CC12</x:f>
        <x:v>103</x:v>
      </x:c>
      <x:c r="Z16" s="110" t="str">
        <x:f>'Raw Data'!CD12</x:f>
        <x:v>3.71024549996946</x:v>
      </x:c>
      <x:c r="AA16" s="106" t="n">
        <x:f>Y16-Q16</x:f>
        <x:v>7</x:v>
      </x:c>
      <x:c r="AB16" s="108" t="n">
        <x:f>IFERROR(Z16/R16,"")</x:f>
        <x:v>0.553842414880408</x:v>
      </x:c>
      <x:c r="AC16" s="106" t="str">
        <x:f>'Raw Data'!CS12</x:f>
        <x:v>entropy</x:v>
      </x:c>
      <x:c r="AD16" s="106" t="str">
        <x:f>'Raw Data'!CT12</x:f>
        <x:v>collision</x:v>
      </x:c>
      <x:c r="AE16" s="106" t="str">
        <x:f>'Raw Data'!CU12</x:f>
        <x:v>tradeoff</x:v>
      </x:c>
      <x:c r="AF16" s="106" t="str">
        <x:f>'Raw Data'!CV12</x:f>
        <x:v>neither</x:v>
      </x:c>
      <x:c r="AG16" s="106" t="str">
        <x:f>'Raw Data'!CW12</x:f>
        <x:v>both_valid</x:v>
      </x:c>
      <x:c r="AH16" s="106" t="str">
        <x:f>'Raw Data'!CX12</x:f>
        <x:v>none</x:v>
      </x:c>
      <x:c r="AI16" s="106" t="str">
        <x:f>'Raw Data'!CY12</x:f>
        <x:v>none</x:v>
      </x:c>
    </x:row>
    <x:row r="17">
      <x:c r="A17" s="106" t="str">
        <x:f>'Raw Data'!E13</x:f>
        <x:v>n1000_r0.1_repeat3</x:v>
      </x:c>
      <x:c r="B17" s="106" t="str">
        <x:f>'Raw Data'!F13</x:f>
        <x:v>1000</x:v>
      </x:c>
      <x:c r="C17" s="106" t="str">
        <x:f>'Raw Data'!G13</x:f>
        <x:v>0.1</x:v>
      </x:c>
      <x:c r="D17" s="106" t="str">
        <x:f>'Raw Data'!H13</x:f>
        <x:v>3</x:v>
      </x:c>
      <x:c r="E17" s="106" t="str">
        <x:f>'Raw Data'!N13</x:f>
        <x:v>True</x:v>
      </x:c>
      <x:c r="F17" s="106" t="str">
        <x:f>'Raw Data'!L13</x:f>
        <x:v>1</x:v>
      </x:c>
      <x:c r="G17" s="128" t="str">
        <x:f>'Raw Data'!P13</x:f>
        <x:v>29.094</x:v>
      </x:c>
      <x:c r="H17" s="110" t="str">
        <x:f>'Raw Data'!T13</x:f>
        <x:v>0.029123123123123124</x:v>
      </x:c>
      <x:c r="I17" s="106" t="str">
        <x:f>'Raw Data'!Z13</x:f>
        <x:v>circle</x:v>
      </x:c>
      <x:c r="J17" s="106" t="str">
        <x:f>'Raw Data'!AE13</x:f>
        <x:v>entropy,collision</x:v>
      </x:c>
      <x:c r="K17" s="106" t="str">
        <x:f>'Raw Data'!AI13</x:f>
        <x:v>True</x:v>
      </x:c>
      <x:c r="L17" s="106" t="str">
        <x:f>'Raw Data'!AG13</x:f>
        <x:v>100</x:v>
      </x:c>
      <x:c r="M17" s="106" t="str">
        <x:f>'Raw Data'!AK13</x:f>
        <x:v>0</x:v>
      </x:c>
      <x:c r="N17" s="106" t="str">
        <x:f>'Raw Data'!AL13</x:f>
        <x:v>0</x:v>
      </x:c>
      <x:c r="O17" s="106" t="str">
        <x:f>'Raw Data'!AP13</x:f>
        <x:v>0</x:v>
      </x:c>
      <x:c r="P17" s="106" t="str">
        <x:f>'Raw Data'!AX13</x:f>
        <x:v>0</x:v>
      </x:c>
      <x:c r="Q17" s="106" t="str">
        <x:f>'Raw Data'!BA13</x:f>
        <x:v>100</x:v>
      </x:c>
      <x:c r="R17" s="110" t="str">
        <x:f>'Raw Data'!BB13</x:f>
        <x:v>6.6721358998911455</x:v>
      </x:c>
      <x:c r="S17" s="106" t="str">
        <x:f>'Raw Data'!BK13</x:f>
        <x:v>True</x:v>
      </x:c>
      <x:c r="T17" s="106" t="str">
        <x:f>'Raw Data'!BI13</x:f>
        <x:v>96</x:v>
      </x:c>
      <x:c r="U17" s="106" t="str">
        <x:f>'Raw Data'!BM13</x:f>
        <x:v>0</x:v>
      </x:c>
      <x:c r="V17" s="106" t="str">
        <x:f>'Raw Data'!BN13</x:f>
        <x:v>0</x:v>
      </x:c>
      <x:c r="W17" s="106" t="str">
        <x:f>'Raw Data'!BR13</x:f>
        <x:v>0</x:v>
      </x:c>
      <x:c r="X17" s="106" t="str">
        <x:f>'Raw Data'!BZ13</x:f>
        <x:v>0</x:v>
      </x:c>
      <x:c r="Y17" s="106" t="str">
        <x:f>'Raw Data'!CC13</x:f>
        <x:v>96</x:v>
      </x:c>
      <x:c r="Z17" s="110" t="str">
        <x:f>'Raw Data'!CD13</x:f>
        <x:v>6.02783310005907</x:v>
      </x:c>
      <x:c r="AA17" s="106" t="n">
        <x:f>Y17-Q17</x:f>
        <x:v>-4</x:v>
      </x:c>
      <x:c r="AB17" s="108" t="n">
        <x:f>IFERROR(Z17/R17,"")</x:f>
        <x:v>0.9034338014843811</x:v>
      </x:c>
      <x:c r="AC17" s="106" t="str">
        <x:f>'Raw Data'!CS13</x:f>
        <x:v>collision</x:v>
      </x:c>
      <x:c r="AD17" s="106" t="str">
        <x:f>'Raw Data'!CT13</x:f>
        <x:v>collision</x:v>
      </x:c>
      <x:c r="AE17" s="106" t="str">
        <x:f>'Raw Data'!CU13</x:f>
        <x:v>collision_dominates</x:v>
      </x:c>
      <x:c r="AF17" s="106" t="str">
        <x:f>'Raw Data'!CV13</x:f>
        <x:v>neither</x:v>
      </x:c>
      <x:c r="AG17" s="106" t="str">
        <x:f>'Raw Data'!CW13</x:f>
        <x:v>both_valid</x:v>
      </x:c>
      <x:c r="AH17" s="106" t="str">
        <x:f>'Raw Data'!CX13</x:f>
        <x:v>none</x:v>
      </x:c>
      <x:c r="AI17" s="106" t="str">
        <x:f>'Raw Data'!CY13</x:f>
        <x:v>none</x:v>
      </x:c>
    </x:row>
    <x:row r="18">
      <x:c r="A18" s="106" t="str">
        <x:f>'Raw Data'!E14</x:f>
        <x:v>n1000_r0.1_repeat4</x:v>
      </x:c>
      <x:c r="B18" s="106" t="str">
        <x:f>'Raw Data'!F14</x:f>
        <x:v>1000</x:v>
      </x:c>
      <x:c r="C18" s="106" t="str">
        <x:f>'Raw Data'!G14</x:f>
        <x:v>0.1</x:v>
      </x:c>
      <x:c r="D18" s="106" t="str">
        <x:f>'Raw Data'!H14</x:f>
        <x:v>4</x:v>
      </x:c>
      <x:c r="E18" s="106" t="str">
        <x:f>'Raw Data'!N14</x:f>
        <x:v>True</x:v>
      </x:c>
      <x:c r="F18" s="106" t="str">
        <x:f>'Raw Data'!L14</x:f>
        <x:v>1</x:v>
      </x:c>
      <x:c r="G18" s="128" t="str">
        <x:f>'Raw Data'!P14</x:f>
        <x:v>28.822</x:v>
      </x:c>
      <x:c r="H18" s="110" t="str">
        <x:f>'Raw Data'!T14</x:f>
        <x:v>0.028850850850850852</x:v>
      </x:c>
      <x:c r="I18" s="106" t="str">
        <x:f>'Raw Data'!Z14</x:f>
        <x:v>ich</x:v>
      </x:c>
      <x:c r="J18" s="106" t="str">
        <x:f>'Raw Data'!AE14</x:f>
        <x:v>collision,entropy</x:v>
      </x:c>
      <x:c r="K18" s="106" t="str">
        <x:f>'Raw Data'!AI14</x:f>
        <x:v>True</x:v>
      </x:c>
      <x:c r="L18" s="106" t="str">
        <x:f>'Raw Data'!AG14</x:f>
        <x:v>93</x:v>
      </x:c>
      <x:c r="M18" s="106" t="str">
        <x:f>'Raw Data'!AK14</x:f>
        <x:v>0</x:v>
      </x:c>
      <x:c r="N18" s="106" t="str">
        <x:f>'Raw Data'!AL14</x:f>
        <x:v>0</x:v>
      </x:c>
      <x:c r="O18" s="106" t="str">
        <x:f>'Raw Data'!AP14</x:f>
        <x:v>0</x:v>
      </x:c>
      <x:c r="P18" s="106" t="str">
        <x:f>'Raw Data'!AX14</x:f>
        <x:v>7</x:v>
      </x:c>
      <x:c r="Q18" s="106" t="str">
        <x:f>'Raw Data'!BA14</x:f>
        <x:v>86</x:v>
      </x:c>
      <x:c r="R18" s="110" t="str">
        <x:f>'Raw Data'!BB14</x:f>
        <x:v>143.8302550999215</x:v>
      </x:c>
      <x:c r="S18" s="106" t="str">
        <x:f>'Raw Data'!BK14</x:f>
        <x:v>True</x:v>
      </x:c>
      <x:c r="T18" s="106" t="str">
        <x:f>'Raw Data'!BI14</x:f>
        <x:v>95</x:v>
      </x:c>
      <x:c r="U18" s="106" t="str">
        <x:f>'Raw Data'!BM14</x:f>
        <x:v>0</x:v>
      </x:c>
      <x:c r="V18" s="106" t="str">
        <x:f>'Raw Data'!BN14</x:f>
        <x:v>0</x:v>
      </x:c>
      <x:c r="W18" s="106" t="str">
        <x:f>'Raw Data'!BR14</x:f>
        <x:v>0</x:v>
      </x:c>
      <x:c r="X18" s="106" t="str">
        <x:f>'Raw Data'!BZ14</x:f>
        <x:v>7</x:v>
      </x:c>
      <x:c r="Y18" s="106" t="str">
        <x:f>'Raw Data'!CC14</x:f>
        <x:v>88</x:v>
      </x:c>
      <x:c r="Z18" s="110" t="str">
        <x:f>'Raw Data'!CD14</x:f>
        <x:v>135.15030069986824</x:v>
      </x:c>
      <x:c r="AA18" s="106" t="n">
        <x:f>Y18-Q18</x:f>
        <x:v>2</x:v>
      </x:c>
      <x:c r="AB18" s="108" t="n">
        <x:f>IFERROR(Z18/R18,"")</x:f>
        <x:v>0.9396514009237964</x:v>
      </x:c>
      <x:c r="AC18" s="106" t="str">
        <x:f>'Raw Data'!CS14</x:f>
        <x:v>entropy</x:v>
      </x:c>
      <x:c r="AD18" s="106" t="str">
        <x:f>'Raw Data'!CT14</x:f>
        <x:v>collision</x:v>
      </x:c>
      <x:c r="AE18" s="106" t="str">
        <x:f>'Raw Data'!CU14</x:f>
        <x:v>tradeoff</x:v>
      </x:c>
      <x:c r="AF18" s="106" t="str">
        <x:f>'Raw Data'!CV14</x:f>
        <x:v>neither</x:v>
      </x:c>
      <x:c r="AG18" s="106" t="str">
        <x:f>'Raw Data'!CW14</x:f>
        <x:v>both_valid</x:v>
      </x:c>
      <x:c r="AH18" s="106" t="str">
        <x:f>'Raw Data'!CX14</x:f>
        <x:v>none</x:v>
      </x:c>
      <x:c r="AI18" s="106" t="str">
        <x:f>'Raw Data'!CY14</x:f>
        <x:v>none</x:v>
      </x:c>
    </x:row>
    <x:row r="19">
      <x:c r="A19" s="106" t="str">
        <x:f>'Raw Data'!E15</x:f>
        <x:v>n1000_r0.1_repeat4</x:v>
      </x:c>
      <x:c r="B19" s="106" t="str">
        <x:f>'Raw Data'!F15</x:f>
        <x:v>1000</x:v>
      </x:c>
      <x:c r="C19" s="106" t="str">
        <x:f>'Raw Data'!G15</x:f>
        <x:v>0.1</x:v>
      </x:c>
      <x:c r="D19" s="106" t="str">
        <x:f>'Raw Data'!H15</x:f>
        <x:v>4</x:v>
      </x:c>
      <x:c r="E19" s="106" t="str">
        <x:f>'Raw Data'!N15</x:f>
        <x:v>True</x:v>
      </x:c>
      <x:c r="F19" s="106" t="str">
        <x:f>'Raw Data'!L15</x:f>
        <x:v>1</x:v>
      </x:c>
      <x:c r="G19" s="128" t="str">
        <x:f>'Raw Data'!P15</x:f>
        <x:v>28.822</x:v>
      </x:c>
      <x:c r="H19" s="110" t="str">
        <x:f>'Raw Data'!T15</x:f>
        <x:v>0.028850850850850852</x:v>
      </x:c>
      <x:c r="I19" s="106" t="str">
        <x:f>'Raw Data'!Z15</x:f>
        <x:v>grid</x:v>
      </x:c>
      <x:c r="J19" s="106" t="str">
        <x:f>'Raw Data'!AE15</x:f>
        <x:v>collision,entropy</x:v>
      </x:c>
      <x:c r="K19" s="106" t="str">
        <x:f>'Raw Data'!AI15</x:f>
        <x:v>True</x:v>
      </x:c>
      <x:c r="L19" s="106" t="str">
        <x:f>'Raw Data'!AG15</x:f>
        <x:v>93</x:v>
      </x:c>
      <x:c r="M19" s="106" t="str">
        <x:f>'Raw Data'!AK15</x:f>
        <x:v>0</x:v>
      </x:c>
      <x:c r="N19" s="106" t="str">
        <x:f>'Raw Data'!AL15</x:f>
        <x:v>0</x:v>
      </x:c>
      <x:c r="O19" s="106" t="str">
        <x:f>'Raw Data'!AP15</x:f>
        <x:v>0</x:v>
      </x:c>
      <x:c r="P19" s="106" t="str">
        <x:f>'Raw Data'!AX15</x:f>
        <x:v>0</x:v>
      </x:c>
      <x:c r="Q19" s="106" t="str">
        <x:f>'Raw Data'!BA15</x:f>
        <x:v>93</x:v>
      </x:c>
      <x:c r="R19" s="110" t="str">
        <x:f>'Raw Data'!BB15</x:f>
        <x:v>5.338617700035684</x:v>
      </x:c>
      <x:c r="S19" s="106" t="str">
        <x:f>'Raw Data'!BK15</x:f>
        <x:v>True</x:v>
      </x:c>
      <x:c r="T19" s="106" t="str">
        <x:f>'Raw Data'!BI15</x:f>
        <x:v>94</x:v>
      </x:c>
      <x:c r="U19" s="106" t="str">
        <x:f>'Raw Data'!BM15</x:f>
        <x:v>0</x:v>
      </x:c>
      <x:c r="V19" s="106" t="str">
        <x:f>'Raw Data'!BN15</x:f>
        <x:v>0</x:v>
      </x:c>
      <x:c r="W19" s="106" t="str">
        <x:f>'Raw Data'!BR15</x:f>
        <x:v>0</x:v>
      </x:c>
      <x:c r="X19" s="106" t="str">
        <x:f>'Raw Data'!BZ15</x:f>
        <x:v>0</x:v>
      </x:c>
      <x:c r="Y19" s="106" t="str">
        <x:f>'Raw Data'!CC15</x:f>
        <x:v>94</x:v>
      </x:c>
      <x:c r="Z19" s="110" t="str">
        <x:f>'Raw Data'!CD15</x:f>
        <x:v>2.860060399863869</x:v>
      </x:c>
      <x:c r="AA19" s="106" t="n">
        <x:f>Y19-Q19</x:f>
        <x:v>1</x:v>
      </x:c>
      <x:c r="AB19" s="108" t="n">
        <x:f>IFERROR(Z19/R19,"")</x:f>
        <x:v>0.5357305131335311</x:v>
      </x:c>
      <x:c r="AC19" s="106" t="str">
        <x:f>'Raw Data'!CS15</x:f>
        <x:v>entropy</x:v>
      </x:c>
      <x:c r="AD19" s="106" t="str">
        <x:f>'Raw Data'!CT15</x:f>
        <x:v>collision</x:v>
      </x:c>
      <x:c r="AE19" s="106" t="str">
        <x:f>'Raw Data'!CU15</x:f>
        <x:v>tradeoff</x:v>
      </x:c>
      <x:c r="AF19" s="106" t="str">
        <x:f>'Raw Data'!CV15</x:f>
        <x:v>neither</x:v>
      </x:c>
      <x:c r="AG19" s="106" t="str">
        <x:f>'Raw Data'!CW15</x:f>
        <x:v>both_valid</x:v>
      </x:c>
      <x:c r="AH19" s="106" t="str">
        <x:f>'Raw Data'!CX15</x:f>
        <x:v>none</x:v>
      </x:c>
      <x:c r="AI19" s="106" t="str">
        <x:f>'Raw Data'!CY15</x:f>
        <x:v>none</x:v>
      </x:c>
    </x:row>
    <x:row r="20">
      <x:c r="A20" s="106" t="str">
        <x:f>'Raw Data'!E16</x:f>
        <x:v>n1000_r0.1_repeat4</x:v>
      </x:c>
      <x:c r="B20" s="106" t="str">
        <x:f>'Raw Data'!F16</x:f>
        <x:v>1000</x:v>
      </x:c>
      <x:c r="C20" s="106" t="str">
        <x:f>'Raw Data'!G16</x:f>
        <x:v>0.1</x:v>
      </x:c>
      <x:c r="D20" s="106" t="str">
        <x:f>'Raw Data'!H16</x:f>
        <x:v>4</x:v>
      </x:c>
      <x:c r="E20" s="106" t="str">
        <x:f>'Raw Data'!N16</x:f>
        <x:v>True</x:v>
      </x:c>
      <x:c r="F20" s="106" t="str">
        <x:f>'Raw Data'!L16</x:f>
        <x:v>1</x:v>
      </x:c>
      <x:c r="G20" s="128" t="str">
        <x:f>'Raw Data'!P16</x:f>
        <x:v>28.822</x:v>
      </x:c>
      <x:c r="H20" s="110" t="str">
        <x:f>'Raw Data'!T16</x:f>
        <x:v>0.028850850850850852</x:v>
      </x:c>
      <x:c r="I20" s="106" t="str">
        <x:f>'Raw Data'!Z16</x:f>
        <x:v>circle</x:v>
      </x:c>
      <x:c r="J20" s="106" t="str">
        <x:f>'Raw Data'!AE16</x:f>
        <x:v>collision,entropy</x:v>
      </x:c>
      <x:c r="K20" s="106" t="str">
        <x:f>'Raw Data'!AI16</x:f>
        <x:v>True</x:v>
      </x:c>
      <x:c r="L20" s="106" t="str">
        <x:f>'Raw Data'!AG16</x:f>
        <x:v>93</x:v>
      </x:c>
      <x:c r="M20" s="106" t="str">
        <x:f>'Raw Data'!AK16</x:f>
        <x:v>0</x:v>
      </x:c>
      <x:c r="N20" s="106" t="str">
        <x:f>'Raw Data'!AL16</x:f>
        <x:v>0</x:v>
      </x:c>
      <x:c r="O20" s="106" t="str">
        <x:f>'Raw Data'!AP16</x:f>
        <x:v>0</x:v>
      </x:c>
      <x:c r="P20" s="106" t="str">
        <x:f>'Raw Data'!AX16</x:f>
        <x:v>0</x:v>
      </x:c>
      <x:c r="Q20" s="106" t="str">
        <x:f>'Raw Data'!BA16</x:f>
        <x:v>93</x:v>
      </x:c>
      <x:c r="R20" s="110" t="str">
        <x:f>'Raw Data'!BB16</x:f>
        <x:v>6.16248119994998</x:v>
      </x:c>
      <x:c r="S20" s="106" t="str">
        <x:f>'Raw Data'!BK16</x:f>
        <x:v>True</x:v>
      </x:c>
      <x:c r="T20" s="106" t="str">
        <x:f>'Raw Data'!BI16</x:f>
        <x:v>92</x:v>
      </x:c>
      <x:c r="U20" s="106" t="str">
        <x:f>'Raw Data'!BM16</x:f>
        <x:v>0</x:v>
      </x:c>
      <x:c r="V20" s="106" t="str">
        <x:f>'Raw Data'!BN16</x:f>
        <x:v>0</x:v>
      </x:c>
      <x:c r="W20" s="106" t="str">
        <x:f>'Raw Data'!BR16</x:f>
        <x:v>0</x:v>
      </x:c>
      <x:c r="X20" s="106" t="str">
        <x:f>'Raw Data'!BZ16</x:f>
        <x:v>0</x:v>
      </x:c>
      <x:c r="Y20" s="106" t="str">
        <x:f>'Raw Data'!CC16</x:f>
        <x:v>92</x:v>
      </x:c>
      <x:c r="Z20" s="110" t="str">
        <x:f>'Raw Data'!CD16</x:f>
        <x:v>5.206289000110701</x:v>
      </x:c>
      <x:c r="AA20" s="106" t="n">
        <x:f>Y20-Q20</x:f>
        <x:v>-1</x:v>
      </x:c>
      <x:c r="AB20" s="108" t="n">
        <x:f>IFERROR(Z20/R20,"")</x:f>
        <x:v>0.8448364921832069</x:v>
      </x:c>
      <x:c r="AC20" s="106" t="str">
        <x:f>'Raw Data'!CS16</x:f>
        <x:v>collision</x:v>
      </x:c>
      <x:c r="AD20" s="106" t="str">
        <x:f>'Raw Data'!CT16</x:f>
        <x:v>collision</x:v>
      </x:c>
      <x:c r="AE20" s="106" t="str">
        <x:f>'Raw Data'!CU16</x:f>
        <x:v>collision_dominates</x:v>
      </x:c>
      <x:c r="AF20" s="106" t="str">
        <x:f>'Raw Data'!CV16</x:f>
        <x:v>neither</x:v>
      </x:c>
      <x:c r="AG20" s="106" t="str">
        <x:f>'Raw Data'!CW16</x:f>
        <x:v>both_valid</x:v>
      </x:c>
      <x:c r="AH20" s="106" t="str">
        <x:f>'Raw Data'!CX16</x:f>
        <x:v>none</x:v>
      </x:c>
      <x:c r="AI20" s="106" t="str">
        <x:f>'Raw Data'!CY16</x:f>
        <x:v>none</x:v>
      </x:c>
    </x:row>
    <x:row r="21">
      <x:c r="A21" s="106" t="str">
        <x:f>'Raw Data'!E17</x:f>
        <x:v>n1000_r0.1_repeat4</x:v>
      </x:c>
      <x:c r="B21" s="106" t="str">
        <x:f>'Raw Data'!F17</x:f>
        <x:v>1000</x:v>
      </x:c>
      <x:c r="C21" s="106" t="str">
        <x:f>'Raw Data'!G17</x:f>
        <x:v>0.1</x:v>
      </x:c>
      <x:c r="D21" s="106" t="str">
        <x:f>'Raw Data'!H17</x:f>
        <x:v>4</x:v>
      </x:c>
      <x:c r="E21" s="106" t="str">
        <x:f>'Raw Data'!N17</x:f>
        <x:v>True</x:v>
      </x:c>
      <x:c r="F21" s="106" t="str">
        <x:f>'Raw Data'!L17</x:f>
        <x:v>1</x:v>
      </x:c>
      <x:c r="G21" s="128" t="str">
        <x:f>'Raw Data'!P17</x:f>
        <x:v>28.822</x:v>
      </x:c>
      <x:c r="H21" s="110" t="str">
        <x:f>'Raw Data'!T17</x:f>
        <x:v>0.028850850850850852</x:v>
      </x:c>
      <x:c r="I21" s="106" t="str">
        <x:f>'Raw Data'!Z17</x:f>
        <x:v>zoomed</x:v>
      </x:c>
      <x:c r="J21" s="106" t="str">
        <x:f>'Raw Data'!AE17</x:f>
        <x:v>collision,entropy</x:v>
      </x:c>
      <x:c r="K21" s="106" t="str">
        <x:f>'Raw Data'!AI17</x:f>
        <x:v>True</x:v>
      </x:c>
      <x:c r="L21" s="106" t="str">
        <x:f>'Raw Data'!AG17</x:f>
        <x:v>92</x:v>
      </x:c>
      <x:c r="M21" s="106" t="str">
        <x:f>'Raw Data'!AK17</x:f>
        <x:v>0</x:v>
      </x:c>
      <x:c r="N21" s="106" t="str">
        <x:f>'Raw Data'!AL17</x:f>
        <x:v>0</x:v>
      </x:c>
      <x:c r="O21" s="106" t="str">
        <x:f>'Raw Data'!AP17</x:f>
        <x:v>0</x:v>
      </x:c>
      <x:c r="P21" s="106" t="str">
        <x:f>'Raw Data'!AX17</x:f>
        <x:v>0</x:v>
      </x:c>
      <x:c r="Q21" s="106" t="str">
        <x:f>'Raw Data'!BA17</x:f>
        <x:v>92</x:v>
      </x:c>
      <x:c r="R21" s="110" t="str">
        <x:f>'Raw Data'!BB17</x:f>
        <x:v>5.726928599993698</x:v>
      </x:c>
      <x:c r="S21" s="106" t="str">
        <x:f>'Raw Data'!BK17</x:f>
        <x:v>True</x:v>
      </x:c>
      <x:c r="T21" s="106" t="str">
        <x:f>'Raw Data'!BI17</x:f>
        <x:v>93</x:v>
      </x:c>
      <x:c r="U21" s="106" t="str">
        <x:f>'Raw Data'!BM17</x:f>
        <x:v>0</x:v>
      </x:c>
      <x:c r="V21" s="106" t="str">
        <x:f>'Raw Data'!BN17</x:f>
        <x:v>0</x:v>
      </x:c>
      <x:c r="W21" s="106" t="str">
        <x:f>'Raw Data'!BR17</x:f>
        <x:v>0</x:v>
      </x:c>
      <x:c r="X21" s="106" t="str">
        <x:f>'Raw Data'!BZ17</x:f>
        <x:v>0</x:v>
      </x:c>
      <x:c r="Y21" s="106" t="str">
        <x:f>'Raw Data'!CC17</x:f>
        <x:v>93</x:v>
      </x:c>
      <x:c r="Z21" s="110" t="str">
        <x:f>'Raw Data'!CD17</x:f>
        <x:v>4.167953599942848</x:v>
      </x:c>
      <x:c r="AA21" s="106" t="n">
        <x:f>Y21-Q21</x:f>
        <x:v>1</x:v>
      </x:c>
      <x:c r="AB21" s="108" t="n">
        <x:f>IFERROR(Z21/R21,"")</x:f>
        <x:v>0.727781659430403</x:v>
      </x:c>
      <x:c r="AC21" s="106" t="str">
        <x:f>'Raw Data'!CS17</x:f>
        <x:v>entropy</x:v>
      </x:c>
      <x:c r="AD21" s="106" t="str">
        <x:f>'Raw Data'!CT17</x:f>
        <x:v>collision</x:v>
      </x:c>
      <x:c r="AE21" s="106" t="str">
        <x:f>'Raw Data'!CU17</x:f>
        <x:v>tradeoff</x:v>
      </x:c>
      <x:c r="AF21" s="106" t="str">
        <x:f>'Raw Data'!CV17</x:f>
        <x:v>neither</x:v>
      </x:c>
      <x:c r="AG21" s="106" t="str">
        <x:f>'Raw Data'!CW17</x:f>
        <x:v>both_valid</x:v>
      </x:c>
      <x:c r="AH21" s="106" t="str">
        <x:f>'Raw Data'!CX17</x:f>
        <x:v>none</x:v>
      </x:c>
      <x:c r="AI21" s="106" t="str">
        <x:f>'Raw Data'!CY17</x:f>
        <x:v>none</x:v>
      </x:c>
    </x:row>
    <x:row r="22">
      <x:c r="A22" s="106" t="str">
        <x:f>'Raw Data'!E18</x:f>
        <x:v>n1000_r0.3_repeat1</x:v>
      </x:c>
      <x:c r="B22" s="106" t="str">
        <x:f>'Raw Data'!F18</x:f>
        <x:v>1000</x:v>
      </x:c>
      <x:c r="C22" s="106" t="str">
        <x:f>'Raw Data'!G18</x:f>
        <x:v>0.3</x:v>
      </x:c>
      <x:c r="D22" s="106" t="str">
        <x:f>'Raw Data'!H18</x:f>
        <x:v>1</x:v>
      </x:c>
      <x:c r="E22" s="106" t="str">
        <x:f>'Raw Data'!N18</x:f>
        <x:v>True</x:v>
      </x:c>
      <x:c r="F22" s="106" t="str">
        <x:f>'Raw Data'!L18</x:f>
        <x:v>1</x:v>
      </x:c>
      <x:c r="G22" s="128" t="str">
        <x:f>'Raw Data'!P18</x:f>
        <x:v>216.992</x:v>
      </x:c>
      <x:c r="H22" s="110" t="str">
        <x:f>'Raw Data'!T18</x:f>
        <x:v>0.21720920920920922</x:v>
      </x:c>
      <x:c r="I22" s="106" t="str">
        <x:f>'Raw Data'!Z18</x:f>
        <x:v>circle</x:v>
      </x:c>
      <x:c r="J22" s="106" t="str">
        <x:f>'Raw Data'!AE18</x:f>
        <x:v>collision,entropy</x:v>
      </x:c>
      <x:c r="K22" s="106" t="str">
        <x:f>'Raw Data'!AI18</x:f>
        <x:v>True</x:v>
      </x:c>
      <x:c r="L22" s="106" t="str">
        <x:f>'Raw Data'!AG18</x:f>
        <x:v>94</x:v>
      </x:c>
      <x:c r="M22" s="106" t="str">
        <x:f>'Raw Data'!AK18</x:f>
        <x:v>0</x:v>
      </x:c>
      <x:c r="N22" s="106" t="str">
        <x:f>'Raw Data'!AL18</x:f>
        <x:v>0</x:v>
      </x:c>
      <x:c r="O22" s="106" t="str">
        <x:f>'Raw Data'!AP18</x:f>
        <x:v>0</x:v>
      </x:c>
      <x:c r="P22" s="106" t="str">
        <x:f>'Raw Data'!AX18</x:f>
        <x:v>0</x:v>
      </x:c>
      <x:c r="Q22" s="106" t="str">
        <x:f>'Raw Data'!BA18</x:f>
        <x:v>94</x:v>
      </x:c>
      <x:c r="R22" s="110" t="str">
        <x:f>'Raw Data'!BB18</x:f>
        <x:v>9.11861889983993</x:v>
      </x:c>
      <x:c r="S22" s="106" t="str">
        <x:f>'Raw Data'!BK18</x:f>
        <x:v>True</x:v>
      </x:c>
      <x:c r="T22" s="106" t="str">
        <x:f>'Raw Data'!BI18</x:f>
        <x:v>90</x:v>
      </x:c>
      <x:c r="U22" s="106" t="str">
        <x:f>'Raw Data'!BM18</x:f>
        <x:v>0</x:v>
      </x:c>
      <x:c r="V22" s="106" t="str">
        <x:f>'Raw Data'!BN18</x:f>
        <x:v>0</x:v>
      </x:c>
      <x:c r="W22" s="106" t="str">
        <x:f>'Raw Data'!BR18</x:f>
        <x:v>0</x:v>
      </x:c>
      <x:c r="X22" s="106" t="str">
        <x:f>'Raw Data'!BZ18</x:f>
        <x:v>0</x:v>
      </x:c>
      <x:c r="Y22" s="106" t="str">
        <x:f>'Raw Data'!CC18</x:f>
        <x:v>90</x:v>
      </x:c>
      <x:c r="Z22" s="110" t="str">
        <x:f>'Raw Data'!CD18</x:f>
        <x:v>10.080732400063425</x:v>
      </x:c>
      <x:c r="AA22" s="106" t="n">
        <x:f>Y22-Q22</x:f>
        <x:v>-4</x:v>
      </x:c>
      <x:c r="AB22" s="108" t="n">
        <x:f>IFERROR(Z22/R22,"")</x:f>
        <x:v>1.1055108795302746</x:v>
      </x:c>
      <x:c r="AC22" s="106" t="str">
        <x:f>'Raw Data'!CS18</x:f>
        <x:v>collision</x:v>
      </x:c>
      <x:c r="AD22" s="106" t="str">
        <x:f>'Raw Data'!CT18</x:f>
        <x:v>entropy</x:v>
      </x:c>
      <x:c r="AE22" s="106" t="str">
        <x:f>'Raw Data'!CU18</x:f>
        <x:v>tradeoff</x:v>
      </x:c>
      <x:c r="AF22" s="106" t="str">
        <x:f>'Raw Data'!CV18</x:f>
        <x:v>neither</x:v>
      </x:c>
      <x:c r="AG22" s="106" t="str">
        <x:f>'Raw Data'!CW18</x:f>
        <x:v>both_valid</x:v>
      </x:c>
      <x:c r="AH22" s="106" t="str">
        <x:f>'Raw Data'!CX18</x:f>
        <x:v>none</x:v>
      </x:c>
      <x:c r="AI22" s="106" t="str">
        <x:f>'Raw Data'!CY18</x:f>
        <x:v>none</x:v>
      </x:c>
    </x:row>
    <x:row r="23">
      <x:c r="A23" s="106" t="str">
        <x:f>'Raw Data'!E19</x:f>
        <x:v>n1000_r0.3_repeat1</x:v>
      </x:c>
      <x:c r="B23" s="106" t="str">
        <x:f>'Raw Data'!F19</x:f>
        <x:v>1000</x:v>
      </x:c>
      <x:c r="C23" s="106" t="str">
        <x:f>'Raw Data'!G19</x:f>
        <x:v>0.3</x:v>
      </x:c>
      <x:c r="D23" s="106" t="str">
        <x:f>'Raw Data'!H19</x:f>
        <x:v>1</x:v>
      </x:c>
      <x:c r="E23" s="106" t="str">
        <x:f>'Raw Data'!N19</x:f>
        <x:v>True</x:v>
      </x:c>
      <x:c r="F23" s="106" t="str">
        <x:f>'Raw Data'!L19</x:f>
        <x:v>1</x:v>
      </x:c>
      <x:c r="G23" s="128" t="str">
        <x:f>'Raw Data'!P19</x:f>
        <x:v>216.992</x:v>
      </x:c>
      <x:c r="H23" s="110" t="str">
        <x:f>'Raw Data'!T19</x:f>
        <x:v>0.21720920920920922</x:v>
      </x:c>
      <x:c r="I23" s="106" t="str">
        <x:f>'Raw Data'!Z19</x:f>
        <x:v>zoomed</x:v>
      </x:c>
      <x:c r="J23" s="106" t="str">
        <x:f>'Raw Data'!AE19</x:f>
        <x:v>collision,entropy</x:v>
      </x:c>
      <x:c r="K23" s="106" t="str">
        <x:f>'Raw Data'!AI19</x:f>
        <x:v>True</x:v>
      </x:c>
      <x:c r="L23" s="106" t="str">
        <x:f>'Raw Data'!AG19</x:f>
        <x:v>91</x:v>
      </x:c>
      <x:c r="M23" s="106" t="str">
        <x:f>'Raw Data'!AK19</x:f>
        <x:v>0</x:v>
      </x:c>
      <x:c r="N23" s="106" t="str">
        <x:f>'Raw Data'!AL19</x:f>
        <x:v>0</x:v>
      </x:c>
      <x:c r="O23" s="106" t="str">
        <x:f>'Raw Data'!AP19</x:f>
        <x:v>0</x:v>
      </x:c>
      <x:c r="P23" s="106" t="str">
        <x:f>'Raw Data'!AX19</x:f>
        <x:v>0</x:v>
      </x:c>
      <x:c r="Q23" s="106" t="str">
        <x:f>'Raw Data'!BA19</x:f>
        <x:v>91</x:v>
      </x:c>
      <x:c r="R23" s="110" t="str">
        <x:f>'Raw Data'!BB19</x:f>
        <x:v>9.200473999837413</x:v>
      </x:c>
      <x:c r="S23" s="106" t="str">
        <x:f>'Raw Data'!BK19</x:f>
        <x:v>True</x:v>
      </x:c>
      <x:c r="T23" s="106" t="str">
        <x:f>'Raw Data'!BI19</x:f>
        <x:v>89</x:v>
      </x:c>
      <x:c r="U23" s="106" t="str">
        <x:f>'Raw Data'!BM19</x:f>
        <x:v>0</x:v>
      </x:c>
      <x:c r="V23" s="106" t="str">
        <x:f>'Raw Data'!BN19</x:f>
        <x:v>0</x:v>
      </x:c>
      <x:c r="W23" s="106" t="str">
        <x:f>'Raw Data'!BR19</x:f>
        <x:v>0</x:v>
      </x:c>
      <x:c r="X23" s="106" t="str">
        <x:f>'Raw Data'!BZ19</x:f>
        <x:v>0</x:v>
      </x:c>
      <x:c r="Y23" s="106" t="str">
        <x:f>'Raw Data'!CC19</x:f>
        <x:v>89</x:v>
      </x:c>
      <x:c r="Z23" s="110" t="str">
        <x:f>'Raw Data'!CD19</x:f>
        <x:v>8.561094800010324</x:v>
      </x:c>
      <x:c r="AA23" s="106" t="n">
        <x:f>Y23-Q23</x:f>
        <x:v>-2</x:v>
      </x:c>
      <x:c r="AB23" s="108" t="n">
        <x:f>IFERROR(Z23/R23,"")</x:f>
        <x:v>0.9305058413470448</x:v>
      </x:c>
      <x:c r="AC23" s="106" t="str">
        <x:f>'Raw Data'!CS19</x:f>
        <x:v>collision</x:v>
      </x:c>
      <x:c r="AD23" s="106" t="str">
        <x:f>'Raw Data'!CT19</x:f>
        <x:v>collision</x:v>
      </x:c>
      <x:c r="AE23" s="106" t="str">
        <x:f>'Raw Data'!CU19</x:f>
        <x:v>collision_dominates</x:v>
      </x:c>
      <x:c r="AF23" s="106" t="str">
        <x:f>'Raw Data'!CV19</x:f>
        <x:v>neither</x:v>
      </x:c>
      <x:c r="AG23" s="106" t="str">
        <x:f>'Raw Data'!CW19</x:f>
        <x:v>both_valid</x:v>
      </x:c>
      <x:c r="AH23" s="106" t="str">
        <x:f>'Raw Data'!CX19</x:f>
        <x:v>none</x:v>
      </x:c>
      <x:c r="AI23" s="106" t="str">
        <x:f>'Raw Data'!CY19</x:f>
        <x:v>none</x:v>
      </x:c>
    </x:row>
    <x:row r="24">
      <x:c r="A24" s="106" t="str">
        <x:f>'Raw Data'!E20</x:f>
        <x:v>n1000_r0.3_repeat1</x:v>
      </x:c>
      <x:c r="B24" s="106" t="str">
        <x:f>'Raw Data'!F20</x:f>
        <x:v>1000</x:v>
      </x:c>
      <x:c r="C24" s="106" t="str">
        <x:f>'Raw Data'!G20</x:f>
        <x:v>0.3</x:v>
      </x:c>
      <x:c r="D24" s="106" t="str">
        <x:f>'Raw Data'!H20</x:f>
        <x:v>1</x:v>
      </x:c>
      <x:c r="E24" s="106" t="str">
        <x:f>'Raw Data'!N20</x:f>
        <x:v>True</x:v>
      </x:c>
      <x:c r="F24" s="106" t="str">
        <x:f>'Raw Data'!L20</x:f>
        <x:v>1</x:v>
      </x:c>
      <x:c r="G24" s="128" t="str">
        <x:f>'Raw Data'!P20</x:f>
        <x:v>216.992</x:v>
      </x:c>
      <x:c r="H24" s="110" t="str">
        <x:f>'Raw Data'!T20</x:f>
        <x:v>0.21720920920920922</x:v>
      </x:c>
      <x:c r="I24" s="106" t="str">
        <x:f>'Raw Data'!Z20</x:f>
        <x:v>ich</x:v>
      </x:c>
      <x:c r="J24" s="106" t="str">
        <x:f>'Raw Data'!AE20</x:f>
        <x:v>collision,entropy</x:v>
      </x:c>
      <x:c r="K24" s="106" t="str">
        <x:f>'Raw Data'!AI20</x:f>
        <x:v>True</x:v>
      </x:c>
      <x:c r="L24" s="106" t="str">
        <x:f>'Raw Data'!AG20</x:f>
        <x:v>81</x:v>
      </x:c>
      <x:c r="M24" s="106" t="str">
        <x:f>'Raw Data'!AK20</x:f>
        <x:v>0</x:v>
      </x:c>
      <x:c r="N24" s="106" t="str">
        <x:f>'Raw Data'!AL20</x:f>
        <x:v>0</x:v>
      </x:c>
      <x:c r="O24" s="106" t="str">
        <x:f>'Raw Data'!AP20</x:f>
        <x:v>0</x:v>
      </x:c>
      <x:c r="P24" s="106" t="str">
        <x:f>'Raw Data'!AX20</x:f>
        <x:v>5</x:v>
      </x:c>
      <x:c r="Q24" s="106" t="str">
        <x:f>'Raw Data'!BA20</x:f>
        <x:v>76</x:v>
      </x:c>
      <x:c r="R24" s="110" t="str">
        <x:f>'Raw Data'!BB20</x:f>
        <x:v>186.2252087999368</x:v>
      </x:c>
      <x:c r="S24" s="106" t="str">
        <x:f>'Raw Data'!BK20</x:f>
        <x:v>True</x:v>
      </x:c>
      <x:c r="T24" s="106" t="str">
        <x:f>'Raw Data'!BI20</x:f>
        <x:v>83</x:v>
      </x:c>
      <x:c r="U24" s="106" t="str">
        <x:f>'Raw Data'!BM20</x:f>
        <x:v>0</x:v>
      </x:c>
      <x:c r="V24" s="106" t="str">
        <x:f>'Raw Data'!BN20</x:f>
        <x:v>0</x:v>
      </x:c>
      <x:c r="W24" s="106" t="str">
        <x:f>'Raw Data'!BR20</x:f>
        <x:v>0</x:v>
      </x:c>
      <x:c r="X24" s="106" t="str">
        <x:f>'Raw Data'!BZ20</x:f>
        <x:v>4</x:v>
      </x:c>
      <x:c r="Y24" s="106" t="str">
        <x:f>'Raw Data'!CC20</x:f>
        <x:v>79</x:v>
      </x:c>
      <x:c r="Z24" s="110" t="str">
        <x:f>'Raw Data'!CD20</x:f>
        <x:v>183.91183610004373</x:v>
      </x:c>
      <x:c r="AA24" s="106" t="n">
        <x:f>Y24-Q24</x:f>
        <x:v>3</x:v>
      </x:c>
      <x:c r="AB24" s="108" t="n">
        <x:f>IFERROR(Z24/R24,"")</x:f>
        <x:v>0.9875775534644273</x:v>
      </x:c>
      <x:c r="AC24" s="106" t="str">
        <x:f>'Raw Data'!CS20</x:f>
        <x:v>entropy</x:v>
      </x:c>
      <x:c r="AD24" s="106" t="str">
        <x:f>'Raw Data'!CT20</x:f>
        <x:v>collision</x:v>
      </x:c>
      <x:c r="AE24" s="106" t="str">
        <x:f>'Raw Data'!CU20</x:f>
        <x:v>tradeoff</x:v>
      </x:c>
      <x:c r="AF24" s="106" t="str">
        <x:f>'Raw Data'!CV20</x:f>
        <x:v>neither</x:v>
      </x:c>
      <x:c r="AG24" s="106" t="str">
        <x:f>'Raw Data'!CW20</x:f>
        <x:v>both_valid</x:v>
      </x:c>
      <x:c r="AH24" s="106" t="str">
        <x:f>'Raw Data'!CX20</x:f>
        <x:v>none</x:v>
      </x:c>
      <x:c r="AI24" s="106" t="str">
        <x:f>'Raw Data'!CY20</x:f>
        <x:v>none</x:v>
      </x:c>
    </x:row>
    <x:row r="25">
      <x:c r="A25" s="106" t="str">
        <x:f>'Raw Data'!E21</x:f>
        <x:v>n1000_r0.3_repeat1</x:v>
      </x:c>
      <x:c r="B25" s="106" t="str">
        <x:f>'Raw Data'!F21</x:f>
        <x:v>1000</x:v>
      </x:c>
      <x:c r="C25" s="106" t="str">
        <x:f>'Raw Data'!G21</x:f>
        <x:v>0.3</x:v>
      </x:c>
      <x:c r="D25" s="106" t="str">
        <x:f>'Raw Data'!H21</x:f>
        <x:v>1</x:v>
      </x:c>
      <x:c r="E25" s="106" t="str">
        <x:f>'Raw Data'!N21</x:f>
        <x:v>True</x:v>
      </x:c>
      <x:c r="F25" s="106" t="str">
        <x:f>'Raw Data'!L21</x:f>
        <x:v>1</x:v>
      </x:c>
      <x:c r="G25" s="128" t="str">
        <x:f>'Raw Data'!P21</x:f>
        <x:v>216.992</x:v>
      </x:c>
      <x:c r="H25" s="110" t="str">
        <x:f>'Raw Data'!T21</x:f>
        <x:v>0.21720920920920922</x:v>
      </x:c>
      <x:c r="I25" s="106" t="str">
        <x:f>'Raw Data'!Z21</x:f>
        <x:v>grid</x:v>
      </x:c>
      <x:c r="J25" s="106" t="str">
        <x:f>'Raw Data'!AE21</x:f>
        <x:v>collision,entropy</x:v>
      </x:c>
      <x:c r="K25" s="106" t="str">
        <x:f>'Raw Data'!AI21</x:f>
        <x:v>True</x:v>
      </x:c>
      <x:c r="L25" s="106" t="str">
        <x:f>'Raw Data'!AG21</x:f>
        <x:v>89</x:v>
      </x:c>
      <x:c r="M25" s="106" t="str">
        <x:f>'Raw Data'!AK21</x:f>
        <x:v>0</x:v>
      </x:c>
      <x:c r="N25" s="106" t="str">
        <x:f>'Raw Data'!AL21</x:f>
        <x:v>0</x:v>
      </x:c>
      <x:c r="O25" s="106" t="str">
        <x:f>'Raw Data'!AP21</x:f>
        <x:v>0</x:v>
      </x:c>
      <x:c r="P25" s="106" t="str">
        <x:f>'Raw Data'!AX21</x:f>
        <x:v>0</x:v>
      </x:c>
      <x:c r="Q25" s="106" t="str">
        <x:f>'Raw Data'!BA21</x:f>
        <x:v>89</x:v>
      </x:c>
      <x:c r="R25" s="110" t="str">
        <x:f>'Raw Data'!BB21</x:f>
        <x:v>14.404029399971478</x:v>
      </x:c>
      <x:c r="S25" s="106" t="str">
        <x:f>'Raw Data'!BK21</x:f>
        <x:v>True</x:v>
      </x:c>
      <x:c r="T25" s="106" t="str">
        <x:f>'Raw Data'!BI21</x:f>
        <x:v>84</x:v>
      </x:c>
      <x:c r="U25" s="106" t="str">
        <x:f>'Raw Data'!BM21</x:f>
        <x:v>0</x:v>
      </x:c>
      <x:c r="V25" s="106" t="str">
        <x:f>'Raw Data'!BN21</x:f>
        <x:v>0</x:v>
      </x:c>
      <x:c r="W25" s="106" t="str">
        <x:f>'Raw Data'!BR21</x:f>
        <x:v>0</x:v>
      </x:c>
      <x:c r="X25" s="106" t="str">
        <x:f>'Raw Data'!BZ21</x:f>
        <x:v>0</x:v>
      </x:c>
      <x:c r="Y25" s="106" t="str">
        <x:f>'Raw Data'!CC21</x:f>
        <x:v>84</x:v>
      </x:c>
      <x:c r="Z25" s="110" t="str">
        <x:f>'Raw Data'!CD21</x:f>
        <x:v>10.068882799940184</x:v>
      </x:c>
      <x:c r="AA25" s="106" t="n">
        <x:f>Y25-Q25</x:f>
        <x:v>-5</x:v>
      </x:c>
      <x:c r="AB25" s="108" t="n">
        <x:f>IFERROR(Z25/R25,"")</x:f>
        <x:v>0.6990323693702071</x:v>
      </x:c>
      <x:c r="AC25" s="106" t="str">
        <x:f>'Raw Data'!CS21</x:f>
        <x:v>collision</x:v>
      </x:c>
      <x:c r="AD25" s="106" t="str">
        <x:f>'Raw Data'!CT21</x:f>
        <x:v>collision</x:v>
      </x:c>
      <x:c r="AE25" s="106" t="str">
        <x:f>'Raw Data'!CU21</x:f>
        <x:v>collision_dominates</x:v>
      </x:c>
      <x:c r="AF25" s="106" t="str">
        <x:f>'Raw Data'!CV21</x:f>
        <x:v>neither</x:v>
      </x:c>
      <x:c r="AG25" s="106" t="str">
        <x:f>'Raw Data'!CW21</x:f>
        <x:v>both_valid</x:v>
      </x:c>
      <x:c r="AH25" s="106" t="str">
        <x:f>'Raw Data'!CX21</x:f>
        <x:v>none</x:v>
      </x:c>
      <x:c r="AI25" s="106" t="str">
        <x:f>'Raw Data'!CY21</x:f>
        <x:v>none</x:v>
      </x:c>
    </x:row>
    <x:row r="26">
      <x:c r="A26" s="106" t="str">
        <x:f>'Raw Data'!E22</x:f>
        <x:v>n1000_r0.3_repeat2</x:v>
      </x:c>
      <x:c r="B26" s="106" t="str">
        <x:f>'Raw Data'!F22</x:f>
        <x:v>1000</x:v>
      </x:c>
      <x:c r="C26" s="106" t="str">
        <x:f>'Raw Data'!G22</x:f>
        <x:v>0.3</x:v>
      </x:c>
      <x:c r="D26" s="106" t="str">
        <x:f>'Raw Data'!H22</x:f>
        <x:v>2</x:v>
      </x:c>
      <x:c r="E26" s="106" t="str">
        <x:f>'Raw Data'!N22</x:f>
        <x:v>True</x:v>
      </x:c>
      <x:c r="F26" s="106" t="str">
        <x:f>'Raw Data'!L22</x:f>
        <x:v>1</x:v>
      </x:c>
      <x:c r="G26" s="128" t="str">
        <x:f>'Raw Data'!P22</x:f>
        <x:v>215.232</x:v>
      </x:c>
      <x:c r="H26" s="110" t="str">
        <x:f>'Raw Data'!T22</x:f>
        <x:v>0.21544744744744745</x:v>
      </x:c>
      <x:c r="I26" s="106" t="str">
        <x:f>'Raw Data'!Z22</x:f>
        <x:v>zoomed</x:v>
      </x:c>
      <x:c r="J26" s="106" t="str">
        <x:f>'Raw Data'!AE22</x:f>
        <x:v>entropy,collision</x:v>
      </x:c>
      <x:c r="K26" s="106" t="str">
        <x:f>'Raw Data'!AI22</x:f>
        <x:v>True</x:v>
      </x:c>
      <x:c r="L26" s="106" t="str">
        <x:f>'Raw Data'!AG22</x:f>
        <x:v>104</x:v>
      </x:c>
      <x:c r="M26" s="106" t="str">
        <x:f>'Raw Data'!AK22</x:f>
        <x:v>0</x:v>
      </x:c>
      <x:c r="N26" s="106" t="str">
        <x:f>'Raw Data'!AL22</x:f>
        <x:v>0</x:v>
      </x:c>
      <x:c r="O26" s="106" t="str">
        <x:f>'Raw Data'!AP22</x:f>
        <x:v>0</x:v>
      </x:c>
      <x:c r="P26" s="106" t="str">
        <x:f>'Raw Data'!AX22</x:f>
        <x:v>0</x:v>
      </x:c>
      <x:c r="Q26" s="106" t="str">
        <x:f>'Raw Data'!BA22</x:f>
        <x:v>104</x:v>
      </x:c>
      <x:c r="R26" s="110" t="str">
        <x:f>'Raw Data'!BB22</x:f>
        <x:v>12.69027769996319</x:v>
      </x:c>
      <x:c r="S26" s="106" t="str">
        <x:f>'Raw Data'!BK22</x:f>
        <x:v>True</x:v>
      </x:c>
      <x:c r="T26" s="106" t="str">
        <x:f>'Raw Data'!BI22</x:f>
        <x:v>100</x:v>
      </x:c>
      <x:c r="U26" s="106" t="str">
        <x:f>'Raw Data'!BM22</x:f>
        <x:v>0</x:v>
      </x:c>
      <x:c r="V26" s="106" t="str">
        <x:f>'Raw Data'!BN22</x:f>
        <x:v>0</x:v>
      </x:c>
      <x:c r="W26" s="106" t="str">
        <x:f>'Raw Data'!BR22</x:f>
        <x:v>0</x:v>
      </x:c>
      <x:c r="X26" s="106" t="str">
        <x:f>'Raw Data'!BZ22</x:f>
        <x:v>0</x:v>
      </x:c>
      <x:c r="Y26" s="106" t="str">
        <x:f>'Raw Data'!CC22</x:f>
        <x:v>100</x:v>
      </x:c>
      <x:c r="Z26" s="110" t="str">
        <x:f>'Raw Data'!CD22</x:f>
        <x:v>11.163198500056751</x:v>
      </x:c>
      <x:c r="AA26" s="106" t="n">
        <x:f>Y26-Q26</x:f>
        <x:v>-4</x:v>
      </x:c>
      <x:c r="AB26" s="108" t="n">
        <x:f>IFERROR(Z26/R26,"")</x:f>
        <x:v>0.8796654229315354</x:v>
      </x:c>
      <x:c r="AC26" s="106" t="str">
        <x:f>'Raw Data'!CS22</x:f>
        <x:v>collision</x:v>
      </x:c>
      <x:c r="AD26" s="106" t="str">
        <x:f>'Raw Data'!CT22</x:f>
        <x:v>collision</x:v>
      </x:c>
      <x:c r="AE26" s="106" t="str">
        <x:f>'Raw Data'!CU22</x:f>
        <x:v>collision_dominates</x:v>
      </x:c>
      <x:c r="AF26" s="106" t="str">
        <x:f>'Raw Data'!CV22</x:f>
        <x:v>neither</x:v>
      </x:c>
      <x:c r="AG26" s="106" t="str">
        <x:f>'Raw Data'!CW22</x:f>
        <x:v>both_valid</x:v>
      </x:c>
      <x:c r="AH26" s="106" t="str">
        <x:f>'Raw Data'!CX22</x:f>
        <x:v>none</x:v>
      </x:c>
      <x:c r="AI26" s="106" t="str">
        <x:f>'Raw Data'!CY22</x:f>
        <x:v>none</x:v>
      </x:c>
    </x:row>
    <x:row r="27">
      <x:c r="A27" s="106" t="str">
        <x:f>'Raw Data'!E23</x:f>
        <x:v>n1000_r0.3_repeat2</x:v>
      </x:c>
      <x:c r="B27" s="106" t="str">
        <x:f>'Raw Data'!F23</x:f>
        <x:v>1000</x:v>
      </x:c>
      <x:c r="C27" s="106" t="str">
        <x:f>'Raw Data'!G23</x:f>
        <x:v>0.3</x:v>
      </x:c>
      <x:c r="D27" s="106" t="str">
        <x:f>'Raw Data'!H23</x:f>
        <x:v>2</x:v>
      </x:c>
      <x:c r="E27" s="106" t="str">
        <x:f>'Raw Data'!N23</x:f>
        <x:v>True</x:v>
      </x:c>
      <x:c r="F27" s="106" t="str">
        <x:f>'Raw Data'!L23</x:f>
        <x:v>1</x:v>
      </x:c>
      <x:c r="G27" s="128" t="str">
        <x:f>'Raw Data'!P23</x:f>
        <x:v>215.232</x:v>
      </x:c>
      <x:c r="H27" s="110" t="str">
        <x:f>'Raw Data'!T23</x:f>
        <x:v>0.21544744744744745</x:v>
      </x:c>
      <x:c r="I27" s="106" t="str">
        <x:f>'Raw Data'!Z23</x:f>
        <x:v>ich</x:v>
      </x:c>
      <x:c r="J27" s="106" t="str">
        <x:f>'Raw Data'!AE23</x:f>
        <x:v>entropy,collision</x:v>
      </x:c>
      <x:c r="K27" s="106" t="str">
        <x:f>'Raw Data'!AI23</x:f>
        <x:v>True</x:v>
      </x:c>
      <x:c r="L27" s="106" t="str">
        <x:f>'Raw Data'!AG23</x:f>
        <x:v>95</x:v>
      </x:c>
      <x:c r="M27" s="106" t="str">
        <x:f>'Raw Data'!AK23</x:f>
        <x:v>0</x:v>
      </x:c>
      <x:c r="N27" s="106" t="str">
        <x:f>'Raw Data'!AL23</x:f>
        <x:v>0</x:v>
      </x:c>
      <x:c r="O27" s="106" t="str">
        <x:f>'Raw Data'!AP23</x:f>
        <x:v>0</x:v>
      </x:c>
      <x:c r="P27" s="106" t="str">
        <x:f>'Raw Data'!AX23</x:f>
        <x:v>7</x:v>
      </x:c>
      <x:c r="Q27" s="106" t="str">
        <x:f>'Raw Data'!BA23</x:f>
        <x:v>88</x:v>
      </x:c>
      <x:c r="R27" s="110" t="str">
        <x:f>'Raw Data'!BB23</x:f>
        <x:v>206.89085480000358</x:v>
      </x:c>
      <x:c r="S27" s="106" t="str">
        <x:f>'Raw Data'!BK23</x:f>
        <x:v>True</x:v>
      </x:c>
      <x:c r="T27" s="106" t="str">
        <x:f>'Raw Data'!BI23</x:f>
        <x:v>96</x:v>
      </x:c>
      <x:c r="U27" s="106" t="str">
        <x:f>'Raw Data'!BM23</x:f>
        <x:v>0</x:v>
      </x:c>
      <x:c r="V27" s="106" t="str">
        <x:f>'Raw Data'!BN23</x:f>
        <x:v>0</x:v>
      </x:c>
      <x:c r="W27" s="106" t="str">
        <x:f>'Raw Data'!BR23</x:f>
        <x:v>0</x:v>
      </x:c>
      <x:c r="X27" s="106" t="str">
        <x:f>'Raw Data'!BZ23</x:f>
        <x:v>6</x:v>
      </x:c>
      <x:c r="Y27" s="106" t="str">
        <x:f>'Raw Data'!CC23</x:f>
        <x:v>90</x:v>
      </x:c>
      <x:c r="Z27" s="110" t="str">
        <x:f>'Raw Data'!CD23</x:f>
        <x:v>177.55053560005035</x:v>
      </x:c>
      <x:c r="AA27" s="106" t="n">
        <x:f>Y27-Q27</x:f>
        <x:v>2</x:v>
      </x:c>
      <x:c r="AB27" s="108" t="n">
        <x:f>IFERROR(Z27/R27,"")</x:f>
        <x:v>0.8581845522929672</x:v>
      </x:c>
      <x:c r="AC27" s="106" t="str">
        <x:f>'Raw Data'!CS23</x:f>
        <x:v>entropy</x:v>
      </x:c>
      <x:c r="AD27" s="106" t="str">
        <x:f>'Raw Data'!CT23</x:f>
        <x:v>collision</x:v>
      </x:c>
      <x:c r="AE27" s="106" t="str">
        <x:f>'Raw Data'!CU23</x:f>
        <x:v>tradeoff</x:v>
      </x:c>
      <x:c r="AF27" s="106" t="str">
        <x:f>'Raw Data'!CV23</x:f>
        <x:v>neither</x:v>
      </x:c>
      <x:c r="AG27" s="106" t="str">
        <x:f>'Raw Data'!CW23</x:f>
        <x:v>both_valid</x:v>
      </x:c>
      <x:c r="AH27" s="106" t="str">
        <x:f>'Raw Data'!CX23</x:f>
        <x:v>none</x:v>
      </x:c>
      <x:c r="AI27" s="106" t="str">
        <x:f>'Raw Data'!CY23</x:f>
        <x:v>none</x:v>
      </x:c>
    </x:row>
    <x:row r="28">
      <x:c r="A28" s="106" t="str">
        <x:f>'Raw Data'!E24</x:f>
        <x:v>n1000_r0.3_repeat2</x:v>
      </x:c>
      <x:c r="B28" s="106" t="str">
        <x:f>'Raw Data'!F24</x:f>
        <x:v>1000</x:v>
      </x:c>
      <x:c r="C28" s="106" t="str">
        <x:f>'Raw Data'!G24</x:f>
        <x:v>0.3</x:v>
      </x:c>
      <x:c r="D28" s="106" t="str">
        <x:f>'Raw Data'!H24</x:f>
        <x:v>2</x:v>
      </x:c>
      <x:c r="E28" s="106" t="str">
        <x:f>'Raw Data'!N24</x:f>
        <x:v>True</x:v>
      </x:c>
      <x:c r="F28" s="106" t="str">
        <x:f>'Raw Data'!L24</x:f>
        <x:v>1</x:v>
      </x:c>
      <x:c r="G28" s="128" t="str">
        <x:f>'Raw Data'!P24</x:f>
        <x:v>215.232</x:v>
      </x:c>
      <x:c r="H28" s="110" t="str">
        <x:f>'Raw Data'!T24</x:f>
        <x:v>0.21544744744744745</x:v>
      </x:c>
      <x:c r="I28" s="106" t="str">
        <x:f>'Raw Data'!Z24</x:f>
        <x:v>grid</x:v>
      </x:c>
      <x:c r="J28" s="106" t="str">
        <x:f>'Raw Data'!AE24</x:f>
        <x:v>entropy,collision</x:v>
      </x:c>
      <x:c r="K28" s="106" t="str">
        <x:f>'Raw Data'!AI24</x:f>
        <x:v>True</x:v>
      </x:c>
      <x:c r="L28" s="106" t="str">
        <x:f>'Raw Data'!AG24</x:f>
        <x:v>104</x:v>
      </x:c>
      <x:c r="M28" s="106" t="str">
        <x:f>'Raw Data'!AK24</x:f>
        <x:v>0</x:v>
      </x:c>
      <x:c r="N28" s="106" t="str">
        <x:f>'Raw Data'!AL24</x:f>
        <x:v>0</x:v>
      </x:c>
      <x:c r="O28" s="106" t="str">
        <x:f>'Raw Data'!AP24</x:f>
        <x:v>0</x:v>
      </x:c>
      <x:c r="P28" s="106" t="str">
        <x:f>'Raw Data'!AX24</x:f>
        <x:v>0</x:v>
      </x:c>
      <x:c r="Q28" s="106" t="str">
        <x:f>'Raw Data'!BA24</x:f>
        <x:v>104</x:v>
      </x:c>
      <x:c r="R28" s="110" t="str">
        <x:f>'Raw Data'!BB24</x:f>
        <x:v>14.420681299990974</x:v>
      </x:c>
      <x:c r="S28" s="106" t="str">
        <x:f>'Raw Data'!BK24</x:f>
        <x:v>True</x:v>
      </x:c>
      <x:c r="T28" s="106" t="str">
        <x:f>'Raw Data'!BI24</x:f>
        <x:v>102</x:v>
      </x:c>
      <x:c r="U28" s="106" t="str">
        <x:f>'Raw Data'!BM24</x:f>
        <x:v>0</x:v>
      </x:c>
      <x:c r="V28" s="106" t="str">
        <x:f>'Raw Data'!BN24</x:f>
        <x:v>0</x:v>
      </x:c>
      <x:c r="W28" s="106" t="str">
        <x:f>'Raw Data'!BR24</x:f>
        <x:v>0</x:v>
      </x:c>
      <x:c r="X28" s="106" t="str">
        <x:f>'Raw Data'!BZ24</x:f>
        <x:v>0</x:v>
      </x:c>
      <x:c r="Y28" s="106" t="str">
        <x:f>'Raw Data'!CC24</x:f>
        <x:v>102</x:v>
      </x:c>
      <x:c r="Z28" s="110" t="str">
        <x:f>'Raw Data'!CD24</x:f>
        <x:v>8.994923599995673</x:v>
      </x:c>
      <x:c r="AA28" s="106" t="n">
        <x:f>Y28-Q28</x:f>
        <x:v>-2</x:v>
      </x:c>
      <x:c r="AB28" s="108" t="n">
        <x:f>IFERROR(Z28/R28,"")</x:f>
        <x:v>0.6237516392516976</x:v>
      </x:c>
      <x:c r="AC28" s="106" t="str">
        <x:f>'Raw Data'!CS24</x:f>
        <x:v>collision</x:v>
      </x:c>
      <x:c r="AD28" s="106" t="str">
        <x:f>'Raw Data'!CT24</x:f>
        <x:v>collision</x:v>
      </x:c>
      <x:c r="AE28" s="106" t="str">
        <x:f>'Raw Data'!CU24</x:f>
        <x:v>collision_dominates</x:v>
      </x:c>
      <x:c r="AF28" s="106" t="str">
        <x:f>'Raw Data'!CV24</x:f>
        <x:v>neither</x:v>
      </x:c>
      <x:c r="AG28" s="106" t="str">
        <x:f>'Raw Data'!CW24</x:f>
        <x:v>both_valid</x:v>
      </x:c>
      <x:c r="AH28" s="106" t="str">
        <x:f>'Raw Data'!CX24</x:f>
        <x:v>none</x:v>
      </x:c>
      <x:c r="AI28" s="106" t="str">
        <x:f>'Raw Data'!CY24</x:f>
        <x:v>none</x:v>
      </x:c>
    </x:row>
    <x:row r="29">
      <x:c r="A29" s="106" t="str">
        <x:f>'Raw Data'!E25</x:f>
        <x:v>n1000_r0.3_repeat2</x:v>
      </x:c>
      <x:c r="B29" s="106" t="str">
        <x:f>'Raw Data'!F25</x:f>
        <x:v>1000</x:v>
      </x:c>
      <x:c r="C29" s="106" t="str">
        <x:f>'Raw Data'!G25</x:f>
        <x:v>0.3</x:v>
      </x:c>
      <x:c r="D29" s="106" t="str">
        <x:f>'Raw Data'!H25</x:f>
        <x:v>2</x:v>
      </x:c>
      <x:c r="E29" s="106" t="str">
        <x:f>'Raw Data'!N25</x:f>
        <x:v>True</x:v>
      </x:c>
      <x:c r="F29" s="106" t="str">
        <x:f>'Raw Data'!L25</x:f>
        <x:v>1</x:v>
      </x:c>
      <x:c r="G29" s="128" t="str">
        <x:f>'Raw Data'!P25</x:f>
        <x:v>215.232</x:v>
      </x:c>
      <x:c r="H29" s="110" t="str">
        <x:f>'Raw Data'!T25</x:f>
        <x:v>0.21544744744744745</x:v>
      </x:c>
      <x:c r="I29" s="106" t="str">
        <x:f>'Raw Data'!Z25</x:f>
        <x:v>circle</x:v>
      </x:c>
      <x:c r="J29" s="106" t="str">
        <x:f>'Raw Data'!AE25</x:f>
        <x:v>entropy,collision</x:v>
      </x:c>
      <x:c r="K29" s="106" t="str">
        <x:f>'Raw Data'!AI25</x:f>
        <x:v>True</x:v>
      </x:c>
      <x:c r="L29" s="106" t="str">
        <x:f>'Raw Data'!AG25</x:f>
        <x:v>106</x:v>
      </x:c>
      <x:c r="M29" s="106" t="str">
        <x:f>'Raw Data'!AK25</x:f>
        <x:v>0</x:v>
      </x:c>
      <x:c r="N29" s="106" t="str">
        <x:f>'Raw Data'!AL25</x:f>
        <x:v>0</x:v>
      </x:c>
      <x:c r="O29" s="106" t="str">
        <x:f>'Raw Data'!AP25</x:f>
        <x:v>0</x:v>
      </x:c>
      <x:c r="P29" s="106" t="str">
        <x:f>'Raw Data'!AX25</x:f>
        <x:v>0</x:v>
      </x:c>
      <x:c r="Q29" s="106" t="str">
        <x:f>'Raw Data'!BA25</x:f>
        <x:v>106</x:v>
      </x:c>
      <x:c r="R29" s="110" t="str">
        <x:f>'Raw Data'!BB25</x:f>
        <x:v>7.033974000019953</x:v>
      </x:c>
      <x:c r="S29" s="106" t="str">
        <x:f>'Raw Data'!BK25</x:f>
        <x:v>True</x:v>
      </x:c>
      <x:c r="T29" s="106" t="str">
        <x:f>'Raw Data'!BI25</x:f>
        <x:v>107</x:v>
      </x:c>
      <x:c r="U29" s="106" t="str">
        <x:f>'Raw Data'!BM25</x:f>
        <x:v>0</x:v>
      </x:c>
      <x:c r="V29" s="106" t="str">
        <x:f>'Raw Data'!BN25</x:f>
        <x:v>0</x:v>
      </x:c>
      <x:c r="W29" s="106" t="str">
        <x:f>'Raw Data'!BR25</x:f>
        <x:v>0</x:v>
      </x:c>
      <x:c r="X29" s="106" t="str">
        <x:f>'Raw Data'!BZ25</x:f>
        <x:v>0</x:v>
      </x:c>
      <x:c r="Y29" s="106" t="str">
        <x:f>'Raw Data'!CC25</x:f>
        <x:v>107</x:v>
      </x:c>
      <x:c r="Z29" s="110" t="str">
        <x:f>'Raw Data'!CD25</x:f>
        <x:v>6.538694399991073</x:v>
      </x:c>
      <x:c r="AA29" s="106" t="n">
        <x:f>Y29-Q29</x:f>
        <x:v>1</x:v>
      </x:c>
      <x:c r="AB29" s="108" t="n">
        <x:f>IFERROR(Z29/R29,"")</x:f>
        <x:v>0.9295875133989016</x:v>
      </x:c>
      <x:c r="AC29" s="106" t="str">
        <x:f>'Raw Data'!CS25</x:f>
        <x:v>entropy</x:v>
      </x:c>
      <x:c r="AD29" s="106" t="str">
        <x:f>'Raw Data'!CT25</x:f>
        <x:v>collision</x:v>
      </x:c>
      <x:c r="AE29" s="106" t="str">
        <x:f>'Raw Data'!CU25</x:f>
        <x:v>tradeoff</x:v>
      </x:c>
      <x:c r="AF29" s="106" t="str">
        <x:f>'Raw Data'!CV25</x:f>
        <x:v>neither</x:v>
      </x:c>
      <x:c r="AG29" s="106" t="str">
        <x:f>'Raw Data'!CW25</x:f>
        <x:v>both_valid</x:v>
      </x:c>
      <x:c r="AH29" s="106" t="str">
        <x:f>'Raw Data'!CX25</x:f>
        <x:v>none</x:v>
      </x:c>
      <x:c r="AI29" s="106" t="str">
        <x:f>'Raw Data'!CY25</x:f>
        <x:v>none</x:v>
      </x:c>
    </x:row>
    <x:row r="30">
      <x:c r="A30" s="106" t="str">
        <x:f>'Raw Data'!E26</x:f>
        <x:v>n1000_r0.3_repeat3</x:v>
      </x:c>
      <x:c r="B30" s="106" t="str">
        <x:f>'Raw Data'!F26</x:f>
        <x:v>1000</x:v>
      </x:c>
      <x:c r="C30" s="106" t="str">
        <x:f>'Raw Data'!G26</x:f>
        <x:v>0.3</x:v>
      </x:c>
      <x:c r="D30" s="106" t="str">
        <x:f>'Raw Data'!H26</x:f>
        <x:v>3</x:v>
      </x:c>
      <x:c r="E30" s="106" t="str">
        <x:f>'Raw Data'!N26</x:f>
        <x:v>True</x:v>
      </x:c>
      <x:c r="F30" s="106" t="str">
        <x:f>'Raw Data'!L26</x:f>
        <x:v>1</x:v>
      </x:c>
      <x:c r="G30" s="128" t="str">
        <x:f>'Raw Data'!P26</x:f>
        <x:v>210.202</x:v>
      </x:c>
      <x:c r="H30" s="110" t="str">
        <x:f>'Raw Data'!T26</x:f>
        <x:v>0.2104124124124124</x:v>
      </x:c>
      <x:c r="I30" s="106" t="str">
        <x:f>'Raw Data'!Z26</x:f>
        <x:v>ich</x:v>
      </x:c>
      <x:c r="J30" s="106" t="str">
        <x:f>'Raw Data'!AE26</x:f>
        <x:v>collision,entropy</x:v>
      </x:c>
      <x:c r="K30" s="106" t="str">
        <x:f>'Raw Data'!AI26</x:f>
        <x:v>True</x:v>
      </x:c>
      <x:c r="L30" s="106" t="str">
        <x:f>'Raw Data'!AG26</x:f>
        <x:v>98</x:v>
      </x:c>
      <x:c r="M30" s="106" t="str">
        <x:f>'Raw Data'!AK26</x:f>
        <x:v>0</x:v>
      </x:c>
      <x:c r="N30" s="106" t="str">
        <x:f>'Raw Data'!AL26</x:f>
        <x:v>0</x:v>
      </x:c>
      <x:c r="O30" s="106" t="str">
        <x:f>'Raw Data'!AP26</x:f>
        <x:v>0</x:v>
      </x:c>
      <x:c r="P30" s="106" t="str">
        <x:f>'Raw Data'!AX26</x:f>
        <x:v>4</x:v>
      </x:c>
      <x:c r="Q30" s="106" t="str">
        <x:f>'Raw Data'!BA26</x:f>
        <x:v>94</x:v>
      </x:c>
      <x:c r="R30" s="110" t="str">
        <x:f>'Raw Data'!BB26</x:f>
        <x:v>179.63428699993528</x:v>
      </x:c>
      <x:c r="S30" s="106" t="str">
        <x:f>'Raw Data'!BK26</x:f>
        <x:v>True</x:v>
      </x:c>
      <x:c r="T30" s="106" t="str">
        <x:f>'Raw Data'!BI26</x:f>
        <x:v>96</x:v>
      </x:c>
      <x:c r="U30" s="106" t="str">
        <x:f>'Raw Data'!BM26</x:f>
        <x:v>0</x:v>
      </x:c>
      <x:c r="V30" s="106" t="str">
        <x:f>'Raw Data'!BN26</x:f>
        <x:v>0</x:v>
      </x:c>
      <x:c r="W30" s="106" t="str">
        <x:f>'Raw Data'!BR26</x:f>
        <x:v>0</x:v>
      </x:c>
      <x:c r="X30" s="106" t="str">
        <x:f>'Raw Data'!BZ26</x:f>
        <x:v>4</x:v>
      </x:c>
      <x:c r="Y30" s="106" t="str">
        <x:f>'Raw Data'!CC26</x:f>
        <x:v>92</x:v>
      </x:c>
      <x:c r="Z30" s="110" t="str">
        <x:f>'Raw Data'!CD26</x:f>
        <x:v>162.31301210005768</x:v>
      </x:c>
      <x:c r="AA30" s="106" t="n">
        <x:f>Y30-Q30</x:f>
        <x:v>-2</x:v>
      </x:c>
      <x:c r="AB30" s="108" t="n">
        <x:f>IFERROR(Z30/R30,"")</x:f>
        <x:v>0.9035747841397125</x:v>
      </x:c>
      <x:c r="AC30" s="106" t="str">
        <x:f>'Raw Data'!CS26</x:f>
        <x:v>collision</x:v>
      </x:c>
      <x:c r="AD30" s="106" t="str">
        <x:f>'Raw Data'!CT26</x:f>
        <x:v>collision</x:v>
      </x:c>
      <x:c r="AE30" s="106" t="str">
        <x:f>'Raw Data'!CU26</x:f>
        <x:v>collision_dominates</x:v>
      </x:c>
      <x:c r="AF30" s="106" t="str">
        <x:f>'Raw Data'!CV26</x:f>
        <x:v>neither</x:v>
      </x:c>
      <x:c r="AG30" s="106" t="str">
        <x:f>'Raw Data'!CW26</x:f>
        <x:v>both_valid</x:v>
      </x:c>
      <x:c r="AH30" s="106" t="str">
        <x:f>'Raw Data'!CX26</x:f>
        <x:v>none</x:v>
      </x:c>
      <x:c r="AI30" s="106" t="str">
        <x:f>'Raw Data'!CY26</x:f>
        <x:v>none</x:v>
      </x:c>
    </x:row>
    <x:row r="31">
      <x:c r="A31" s="106" t="str">
        <x:f>'Raw Data'!E27</x:f>
        <x:v>n1000_r0.3_repeat3</x:v>
      </x:c>
      <x:c r="B31" s="106" t="str">
        <x:f>'Raw Data'!F27</x:f>
        <x:v>1000</x:v>
      </x:c>
      <x:c r="C31" s="106" t="str">
        <x:f>'Raw Data'!G27</x:f>
        <x:v>0.3</x:v>
      </x:c>
      <x:c r="D31" s="106" t="str">
        <x:f>'Raw Data'!H27</x:f>
        <x:v>3</x:v>
      </x:c>
      <x:c r="E31" s="106" t="str">
        <x:f>'Raw Data'!N27</x:f>
        <x:v>True</x:v>
      </x:c>
      <x:c r="F31" s="106" t="str">
        <x:f>'Raw Data'!L27</x:f>
        <x:v>1</x:v>
      </x:c>
      <x:c r="G31" s="128" t="str">
        <x:f>'Raw Data'!P27</x:f>
        <x:v>210.202</x:v>
      </x:c>
      <x:c r="H31" s="110" t="str">
        <x:f>'Raw Data'!T27</x:f>
        <x:v>0.2104124124124124</x:v>
      </x:c>
      <x:c r="I31" s="106" t="str">
        <x:f>'Raw Data'!Z27</x:f>
        <x:v>grid</x:v>
      </x:c>
      <x:c r="J31" s="106" t="str">
        <x:f>'Raw Data'!AE27</x:f>
        <x:v>collision,entropy</x:v>
      </x:c>
      <x:c r="K31" s="106" t="str">
        <x:f>'Raw Data'!AI27</x:f>
        <x:v>True</x:v>
      </x:c>
      <x:c r="L31" s="106" t="str">
        <x:f>'Raw Data'!AG27</x:f>
        <x:v>108</x:v>
      </x:c>
      <x:c r="M31" s="106" t="str">
        <x:f>'Raw Data'!AK27</x:f>
        <x:v>0</x:v>
      </x:c>
      <x:c r="N31" s="106" t="str">
        <x:f>'Raw Data'!AL27</x:f>
        <x:v>0</x:v>
      </x:c>
      <x:c r="O31" s="106" t="str">
        <x:f>'Raw Data'!AP27</x:f>
        <x:v>0</x:v>
      </x:c>
      <x:c r="P31" s="106" t="str">
        <x:f>'Raw Data'!AX27</x:f>
        <x:v>0</x:v>
      </x:c>
      <x:c r="Q31" s="106" t="str">
        <x:f>'Raw Data'!BA27</x:f>
        <x:v>108</x:v>
      </x:c>
      <x:c r="R31" s="110" t="str">
        <x:f>'Raw Data'!BB27</x:f>
        <x:v>14.374283700017259</x:v>
      </x:c>
      <x:c r="S31" s="106" t="str">
        <x:f>'Raw Data'!BK27</x:f>
        <x:v>True</x:v>
      </x:c>
      <x:c r="T31" s="106" t="str">
        <x:f>'Raw Data'!BI27</x:f>
        <x:v>104</x:v>
      </x:c>
      <x:c r="U31" s="106" t="str">
        <x:f>'Raw Data'!BM27</x:f>
        <x:v>0</x:v>
      </x:c>
      <x:c r="V31" s="106" t="str">
        <x:f>'Raw Data'!BN27</x:f>
        <x:v>0</x:v>
      </x:c>
      <x:c r="W31" s="106" t="str">
        <x:f>'Raw Data'!BR27</x:f>
        <x:v>0</x:v>
      </x:c>
      <x:c r="X31" s="106" t="str">
        <x:f>'Raw Data'!BZ27</x:f>
        <x:v>0</x:v>
      </x:c>
      <x:c r="Y31" s="106" t="str">
        <x:f>'Raw Data'!CC27</x:f>
        <x:v>104</x:v>
      </x:c>
      <x:c r="Z31" s="110" t="str">
        <x:f>'Raw Data'!CD27</x:f>
        <x:v>9.957109599956311</x:v>
      </x:c>
      <x:c r="AA31" s="106" t="n">
        <x:f>Y31-Q31</x:f>
        <x:v>-4</x:v>
      </x:c>
      <x:c r="AB31" s="108" t="n">
        <x:f>IFERROR(Z31/R31,"")</x:f>
        <x:v>0.6927030109990354</x:v>
      </x:c>
      <x:c r="AC31" s="106" t="str">
        <x:f>'Raw Data'!CS27</x:f>
        <x:v>collision</x:v>
      </x:c>
      <x:c r="AD31" s="106" t="str">
        <x:f>'Raw Data'!CT27</x:f>
        <x:v>collision</x:v>
      </x:c>
      <x:c r="AE31" s="106" t="str">
        <x:f>'Raw Data'!CU27</x:f>
        <x:v>collision_dominates</x:v>
      </x:c>
      <x:c r="AF31" s="106" t="str">
        <x:f>'Raw Data'!CV27</x:f>
        <x:v>neither</x:v>
      </x:c>
      <x:c r="AG31" s="106" t="str">
        <x:f>'Raw Data'!CW27</x:f>
        <x:v>both_valid</x:v>
      </x:c>
      <x:c r="AH31" s="106" t="str">
        <x:f>'Raw Data'!CX27</x:f>
        <x:v>none</x:v>
      </x:c>
      <x:c r="AI31" s="106" t="str">
        <x:f>'Raw Data'!CY27</x:f>
        <x:v>none</x:v>
      </x:c>
    </x:row>
    <x:row r="32">
      <x:c r="A32" s="106" t="str">
        <x:f>'Raw Data'!E28</x:f>
        <x:v>n1000_r0.3_repeat3</x:v>
      </x:c>
      <x:c r="B32" s="106" t="str">
        <x:f>'Raw Data'!F28</x:f>
        <x:v>1000</x:v>
      </x:c>
      <x:c r="C32" s="106" t="str">
        <x:f>'Raw Data'!G28</x:f>
        <x:v>0.3</x:v>
      </x:c>
      <x:c r="D32" s="106" t="str">
        <x:f>'Raw Data'!H28</x:f>
        <x:v>3</x:v>
      </x:c>
      <x:c r="E32" s="106" t="str">
        <x:f>'Raw Data'!N28</x:f>
        <x:v>True</x:v>
      </x:c>
      <x:c r="F32" s="106" t="str">
        <x:f>'Raw Data'!L28</x:f>
        <x:v>1</x:v>
      </x:c>
      <x:c r="G32" s="128" t="str">
        <x:f>'Raw Data'!P28</x:f>
        <x:v>210.202</x:v>
      </x:c>
      <x:c r="H32" s="110" t="str">
        <x:f>'Raw Data'!T28</x:f>
        <x:v>0.2104124124124124</x:v>
      </x:c>
      <x:c r="I32" s="106" t="str">
        <x:f>'Raw Data'!Z28</x:f>
        <x:v>circle</x:v>
      </x:c>
      <x:c r="J32" s="106" t="str">
        <x:f>'Raw Data'!AE28</x:f>
        <x:v>collision,entropy</x:v>
      </x:c>
      <x:c r="K32" s="106" t="str">
        <x:f>'Raw Data'!AI28</x:f>
        <x:v>True</x:v>
      </x:c>
      <x:c r="L32" s="106" t="str">
        <x:f>'Raw Data'!AG28</x:f>
        <x:v>104</x:v>
      </x:c>
      <x:c r="M32" s="106" t="str">
        <x:f>'Raw Data'!AK28</x:f>
        <x:v>0</x:v>
      </x:c>
      <x:c r="N32" s="106" t="str">
        <x:f>'Raw Data'!AL28</x:f>
        <x:v>0</x:v>
      </x:c>
      <x:c r="O32" s="106" t="str">
        <x:f>'Raw Data'!AP28</x:f>
        <x:v>0</x:v>
      </x:c>
      <x:c r="P32" s="106" t="str">
        <x:f>'Raw Data'!AX28</x:f>
        <x:v>0</x:v>
      </x:c>
      <x:c r="Q32" s="106" t="str">
        <x:f>'Raw Data'!BA28</x:f>
        <x:v>104</x:v>
      </x:c>
      <x:c r="R32" s="110" t="str">
        <x:f>'Raw Data'!BB28</x:f>
        <x:v>6.323836699943058</x:v>
      </x:c>
      <x:c r="S32" s="106" t="str">
        <x:f>'Raw Data'!BK28</x:f>
        <x:v>True</x:v>
      </x:c>
      <x:c r="T32" s="106" t="str">
        <x:f>'Raw Data'!BI28</x:f>
        <x:v>106</x:v>
      </x:c>
      <x:c r="U32" s="106" t="str">
        <x:f>'Raw Data'!BM28</x:f>
        <x:v>0</x:v>
      </x:c>
      <x:c r="V32" s="106" t="str">
        <x:f>'Raw Data'!BN28</x:f>
        <x:v>0</x:v>
      </x:c>
      <x:c r="W32" s="106" t="str">
        <x:f>'Raw Data'!BR28</x:f>
        <x:v>0</x:v>
      </x:c>
      <x:c r="X32" s="106" t="str">
        <x:f>'Raw Data'!BZ28</x:f>
        <x:v>0</x:v>
      </x:c>
      <x:c r="Y32" s="106" t="str">
        <x:f>'Raw Data'!CC28</x:f>
        <x:v>106</x:v>
      </x:c>
      <x:c r="Z32" s="110" t="str">
        <x:f>'Raw Data'!CD28</x:f>
        <x:v>6.570756800007075</x:v>
      </x:c>
      <x:c r="AA32" s="106" t="n">
        <x:f>Y32-Q32</x:f>
        <x:v>2</x:v>
      </x:c>
      <x:c r="AB32" s="108" t="n">
        <x:f>IFERROR(Z32/R32,"")</x:f>
        <x:v>1.039045932363535</x:v>
      </x:c>
      <x:c r="AC32" s="106" t="str">
        <x:f>'Raw Data'!CS28</x:f>
        <x:v>entropy</x:v>
      </x:c>
      <x:c r="AD32" s="106" t="str">
        <x:f>'Raw Data'!CT28</x:f>
        <x:v>entropy</x:v>
      </x:c>
      <x:c r="AE32" s="106" t="str">
        <x:f>'Raw Data'!CU28</x:f>
        <x:v>entropy_dominates</x:v>
      </x:c>
      <x:c r="AF32" s="106" t="str">
        <x:f>'Raw Data'!CV28</x:f>
        <x:v>neither</x:v>
      </x:c>
      <x:c r="AG32" s="106" t="str">
        <x:f>'Raw Data'!CW28</x:f>
        <x:v>both_valid</x:v>
      </x:c>
      <x:c r="AH32" s="106" t="str">
        <x:f>'Raw Data'!CX28</x:f>
        <x:v>none</x:v>
      </x:c>
      <x:c r="AI32" s="106" t="str">
        <x:f>'Raw Data'!CY28</x:f>
        <x:v>none</x:v>
      </x:c>
    </x:row>
    <x:row r="33">
      <x:c r="A33" s="106" t="str">
        <x:f>'Raw Data'!E29</x:f>
        <x:v>n1000_r0.3_repeat3</x:v>
      </x:c>
      <x:c r="B33" s="106" t="str">
        <x:f>'Raw Data'!F29</x:f>
        <x:v>1000</x:v>
      </x:c>
      <x:c r="C33" s="106" t="str">
        <x:f>'Raw Data'!G29</x:f>
        <x:v>0.3</x:v>
      </x:c>
      <x:c r="D33" s="106" t="str">
        <x:f>'Raw Data'!H29</x:f>
        <x:v>3</x:v>
      </x:c>
      <x:c r="E33" s="106" t="str">
        <x:f>'Raw Data'!N29</x:f>
        <x:v>True</x:v>
      </x:c>
      <x:c r="F33" s="106" t="str">
        <x:f>'Raw Data'!L29</x:f>
        <x:v>1</x:v>
      </x:c>
      <x:c r="G33" s="128" t="str">
        <x:f>'Raw Data'!P29</x:f>
        <x:v>210.202</x:v>
      </x:c>
      <x:c r="H33" s="110" t="str">
        <x:f>'Raw Data'!T29</x:f>
        <x:v>0.2104124124124124</x:v>
      </x:c>
      <x:c r="I33" s="106" t="str">
        <x:f>'Raw Data'!Z29</x:f>
        <x:v>zoomed</x:v>
      </x:c>
      <x:c r="J33" s="106" t="str">
        <x:f>'Raw Data'!AE29</x:f>
        <x:v>collision,entropy</x:v>
      </x:c>
      <x:c r="K33" s="106" t="str">
        <x:f>'Raw Data'!AI29</x:f>
        <x:v>True</x:v>
      </x:c>
      <x:c r="L33" s="106" t="str">
        <x:f>'Raw Data'!AG29</x:f>
        <x:v>105</x:v>
      </x:c>
      <x:c r="M33" s="106" t="str">
        <x:f>'Raw Data'!AK29</x:f>
        <x:v>0</x:v>
      </x:c>
      <x:c r="N33" s="106" t="str">
        <x:f>'Raw Data'!AL29</x:f>
        <x:v>0</x:v>
      </x:c>
      <x:c r="O33" s="106" t="str">
        <x:f>'Raw Data'!AP29</x:f>
        <x:v>0</x:v>
      </x:c>
      <x:c r="P33" s="106" t="str">
        <x:f>'Raw Data'!AX29</x:f>
        <x:v>0</x:v>
      </x:c>
      <x:c r="Q33" s="106" t="str">
        <x:f>'Raw Data'!BA29</x:f>
        <x:v>105</x:v>
      </x:c>
      <x:c r="R33" s="110" t="str">
        <x:f>'Raw Data'!BB29</x:f>
        <x:v>9.749687899951823</x:v>
      </x:c>
      <x:c r="S33" s="106" t="str">
        <x:f>'Raw Data'!BK29</x:f>
        <x:v>True</x:v>
      </x:c>
      <x:c r="T33" s="106" t="str">
        <x:f>'Raw Data'!BI29</x:f>
        <x:v>111</x:v>
      </x:c>
      <x:c r="U33" s="106" t="str">
        <x:f>'Raw Data'!BM29</x:f>
        <x:v>0</x:v>
      </x:c>
      <x:c r="V33" s="106" t="str">
        <x:f>'Raw Data'!BN29</x:f>
        <x:v>0</x:v>
      </x:c>
      <x:c r="W33" s="106" t="str">
        <x:f>'Raw Data'!BR29</x:f>
        <x:v>0</x:v>
      </x:c>
      <x:c r="X33" s="106" t="str">
        <x:f>'Raw Data'!BZ29</x:f>
        <x:v>0</x:v>
      </x:c>
      <x:c r="Y33" s="106" t="str">
        <x:f>'Raw Data'!CC29</x:f>
        <x:v>111</x:v>
      </x:c>
      <x:c r="Z33" s="110" t="str">
        <x:f>'Raw Data'!CD29</x:f>
        <x:v>7.491327799973078</x:v>
      </x:c>
      <x:c r="AA33" s="106" t="n">
        <x:f>Y33-Q33</x:f>
        <x:v>6</x:v>
      </x:c>
      <x:c r="AB33" s="108" t="n">
        <x:f>IFERROR(Z33/R33,"")</x:f>
        <x:v>0.7683659084112934</x:v>
      </x:c>
      <x:c r="AC33" s="106" t="str">
        <x:f>'Raw Data'!CS29</x:f>
        <x:v>entropy</x:v>
      </x:c>
      <x:c r="AD33" s="106" t="str">
        <x:f>'Raw Data'!CT29</x:f>
        <x:v>collision</x:v>
      </x:c>
      <x:c r="AE33" s="106" t="str">
        <x:f>'Raw Data'!CU29</x:f>
        <x:v>tradeoff</x:v>
      </x:c>
      <x:c r="AF33" s="106" t="str">
        <x:f>'Raw Data'!CV29</x:f>
        <x:v>neither</x:v>
      </x:c>
      <x:c r="AG33" s="106" t="str">
        <x:f>'Raw Data'!CW29</x:f>
        <x:v>both_valid</x:v>
      </x:c>
      <x:c r="AH33" s="106" t="str">
        <x:f>'Raw Data'!CX29</x:f>
        <x:v>none</x:v>
      </x:c>
      <x:c r="AI33" s="106" t="str">
        <x:f>'Raw Data'!CY29</x:f>
        <x:v>none</x:v>
      </x:c>
    </x:row>
    <x:row r="34">
      <x:c r="A34" s="106" t="str">
        <x:f>'Raw Data'!E30</x:f>
        <x:v>n1000_r0.3_repeat4</x:v>
      </x:c>
      <x:c r="B34" s="106" t="str">
        <x:f>'Raw Data'!F30</x:f>
        <x:v>1000</x:v>
      </x:c>
      <x:c r="C34" s="106" t="str">
        <x:f>'Raw Data'!G30</x:f>
        <x:v>0.3</x:v>
      </x:c>
      <x:c r="D34" s="106" t="str">
        <x:f>'Raw Data'!H30</x:f>
        <x:v>4</x:v>
      </x:c>
      <x:c r="E34" s="106" t="str">
        <x:f>'Raw Data'!N30</x:f>
        <x:v>True</x:v>
      </x:c>
      <x:c r="F34" s="106" t="str">
        <x:f>'Raw Data'!L30</x:f>
        <x:v>1</x:v>
      </x:c>
      <x:c r="G34" s="128" t="str">
        <x:f>'Raw Data'!P30</x:f>
        <x:v>216.286</x:v>
      </x:c>
      <x:c r="H34" s="110" t="str">
        <x:f>'Raw Data'!T30</x:f>
        <x:v>0.2165025025025025</x:v>
      </x:c>
      <x:c r="I34" s="106" t="str">
        <x:f>'Raw Data'!Z30</x:f>
        <x:v>grid</x:v>
      </x:c>
      <x:c r="J34" s="106" t="str">
        <x:f>'Raw Data'!AE30</x:f>
        <x:v>entropy,collision</x:v>
      </x:c>
      <x:c r="K34" s="106" t="str">
        <x:f>'Raw Data'!AI30</x:f>
        <x:v>True</x:v>
      </x:c>
      <x:c r="L34" s="106" t="str">
        <x:f>'Raw Data'!AG30</x:f>
        <x:v>109</x:v>
      </x:c>
      <x:c r="M34" s="106" t="str">
        <x:f>'Raw Data'!AK30</x:f>
        <x:v>0</x:v>
      </x:c>
      <x:c r="N34" s="106" t="str">
        <x:f>'Raw Data'!AL30</x:f>
        <x:v>0</x:v>
      </x:c>
      <x:c r="O34" s="106" t="str">
        <x:f>'Raw Data'!AP30</x:f>
        <x:v>0</x:v>
      </x:c>
      <x:c r="P34" s="106" t="str">
        <x:f>'Raw Data'!AX30</x:f>
        <x:v>0</x:v>
      </x:c>
      <x:c r="Q34" s="106" t="str">
        <x:f>'Raw Data'!BA30</x:f>
        <x:v>109</x:v>
      </x:c>
      <x:c r="R34" s="110" t="str">
        <x:f>'Raw Data'!BB30</x:f>
        <x:v>15.089394899900071</x:v>
      </x:c>
      <x:c r="S34" s="106" t="str">
        <x:f>'Raw Data'!BK30</x:f>
        <x:v>True</x:v>
      </x:c>
      <x:c r="T34" s="106" t="str">
        <x:f>'Raw Data'!BI30</x:f>
        <x:v>102</x:v>
      </x:c>
      <x:c r="U34" s="106" t="str">
        <x:f>'Raw Data'!BM30</x:f>
        <x:v>0</x:v>
      </x:c>
      <x:c r="V34" s="106" t="str">
        <x:f>'Raw Data'!BN30</x:f>
        <x:v>0</x:v>
      </x:c>
      <x:c r="W34" s="106" t="str">
        <x:f>'Raw Data'!BR30</x:f>
        <x:v>0</x:v>
      </x:c>
      <x:c r="X34" s="106" t="str">
        <x:f>'Raw Data'!BZ30</x:f>
        <x:v>0</x:v>
      </x:c>
      <x:c r="Y34" s="106" t="str">
        <x:f>'Raw Data'!CC30</x:f>
        <x:v>102</x:v>
      </x:c>
      <x:c r="Z34" s="110" t="str">
        <x:f>'Raw Data'!CD30</x:f>
        <x:v>9.747295300127007</x:v>
      </x:c>
      <x:c r="AA34" s="106" t="n">
        <x:f>Y34-Q34</x:f>
        <x:v>-7</x:v>
      </x:c>
      <x:c r="AB34" s="108" t="n">
        <x:f>IFERROR(Z34/R34,"")</x:f>
        <x:v>0.6459699255529165</x:v>
      </x:c>
      <x:c r="AC34" s="106" t="str">
        <x:f>'Raw Data'!CS30</x:f>
        <x:v>collision</x:v>
      </x:c>
      <x:c r="AD34" s="106" t="str">
        <x:f>'Raw Data'!CT30</x:f>
        <x:v>collision</x:v>
      </x:c>
      <x:c r="AE34" s="106" t="str">
        <x:f>'Raw Data'!CU30</x:f>
        <x:v>collision_dominates</x:v>
      </x:c>
      <x:c r="AF34" s="106" t="str">
        <x:f>'Raw Data'!CV30</x:f>
        <x:v>neither</x:v>
      </x:c>
      <x:c r="AG34" s="106" t="str">
        <x:f>'Raw Data'!CW30</x:f>
        <x:v>both_valid</x:v>
      </x:c>
      <x:c r="AH34" s="106" t="str">
        <x:f>'Raw Data'!CX30</x:f>
        <x:v>none</x:v>
      </x:c>
      <x:c r="AI34" s="106" t="str">
        <x:f>'Raw Data'!CY30</x:f>
        <x:v>none</x:v>
      </x:c>
    </x:row>
    <x:row r="35">
      <x:c r="A35" s="106" t="str">
        <x:f>'Raw Data'!E31</x:f>
        <x:v>n1000_r0.3_repeat4</x:v>
      </x:c>
      <x:c r="B35" s="106" t="str">
        <x:f>'Raw Data'!F31</x:f>
        <x:v>1000</x:v>
      </x:c>
      <x:c r="C35" s="106" t="str">
        <x:f>'Raw Data'!G31</x:f>
        <x:v>0.3</x:v>
      </x:c>
      <x:c r="D35" s="106" t="str">
        <x:f>'Raw Data'!H31</x:f>
        <x:v>4</x:v>
      </x:c>
      <x:c r="E35" s="106" t="str">
        <x:f>'Raw Data'!N31</x:f>
        <x:v>True</x:v>
      </x:c>
      <x:c r="F35" s="106" t="str">
        <x:f>'Raw Data'!L31</x:f>
        <x:v>1</x:v>
      </x:c>
      <x:c r="G35" s="128" t="str">
        <x:f>'Raw Data'!P31</x:f>
        <x:v>216.286</x:v>
      </x:c>
      <x:c r="H35" s="110" t="str">
        <x:f>'Raw Data'!T31</x:f>
        <x:v>0.2165025025025025</x:v>
      </x:c>
      <x:c r="I35" s="106" t="str">
        <x:f>'Raw Data'!Z31</x:f>
        <x:v>circle</x:v>
      </x:c>
      <x:c r="J35" s="106" t="str">
        <x:f>'Raw Data'!AE31</x:f>
        <x:v>entropy,collision</x:v>
      </x:c>
      <x:c r="K35" s="106" t="str">
        <x:f>'Raw Data'!AI31</x:f>
        <x:v>True</x:v>
      </x:c>
      <x:c r="L35" s="106" t="str">
        <x:f>'Raw Data'!AG31</x:f>
        <x:v>107</x:v>
      </x:c>
      <x:c r="M35" s="106" t="str">
        <x:f>'Raw Data'!AK31</x:f>
        <x:v>0</x:v>
      </x:c>
      <x:c r="N35" s="106" t="str">
        <x:f>'Raw Data'!AL31</x:f>
        <x:v>0</x:v>
      </x:c>
      <x:c r="O35" s="106" t="str">
        <x:f>'Raw Data'!AP31</x:f>
        <x:v>0</x:v>
      </x:c>
      <x:c r="P35" s="106" t="str">
        <x:f>'Raw Data'!AX31</x:f>
        <x:v>0</x:v>
      </x:c>
      <x:c r="Q35" s="106" t="str">
        <x:f>'Raw Data'!BA31</x:f>
        <x:v>107</x:v>
      </x:c>
      <x:c r="R35" s="110" t="str">
        <x:f>'Raw Data'!BB31</x:f>
        <x:v>6.889831500011496</x:v>
      </x:c>
      <x:c r="S35" s="106" t="str">
        <x:f>'Raw Data'!BK31</x:f>
        <x:v>True</x:v>
      </x:c>
      <x:c r="T35" s="106" t="str">
        <x:f>'Raw Data'!BI31</x:f>
        <x:v>107</x:v>
      </x:c>
      <x:c r="U35" s="106" t="str">
        <x:f>'Raw Data'!BM31</x:f>
        <x:v>0</x:v>
      </x:c>
      <x:c r="V35" s="106" t="str">
        <x:f>'Raw Data'!BN31</x:f>
        <x:v>0</x:v>
      </x:c>
      <x:c r="W35" s="106" t="str">
        <x:f>'Raw Data'!BR31</x:f>
        <x:v>0</x:v>
      </x:c>
      <x:c r="X35" s="106" t="str">
        <x:f>'Raw Data'!BZ31</x:f>
        <x:v>0</x:v>
      </x:c>
      <x:c r="Y35" s="106" t="str">
        <x:f>'Raw Data'!CC31</x:f>
        <x:v>107</x:v>
      </x:c>
      <x:c r="Z35" s="110" t="str">
        <x:f>'Raw Data'!CD31</x:f>
        <x:v>7.292172800051048</x:v>
      </x:c>
      <x:c r="AA35" s="106" t="n">
        <x:f>Y35-Q35</x:f>
        <x:v>0</x:v>
      </x:c>
      <x:c r="AB35" s="108" t="n">
        <x:f>IFERROR(Z35/R35,"")</x:f>
        <x:v>1.0583963918477368</x:v>
      </x:c>
      <x:c r="AC35" s="106" t="str">
        <x:f>'Raw Data'!CS31</x:f>
        <x:v>tie</x:v>
      </x:c>
      <x:c r="AD35" s="106" t="str">
        <x:f>'Raw Data'!CT31</x:f>
        <x:v>entropy</x:v>
      </x:c>
      <x:c r="AE35" s="106" t="str">
        <x:f>'Raw Data'!CU31</x:f>
        <x:v>entropy_dominates</x:v>
      </x:c>
      <x:c r="AF35" s="106" t="str">
        <x:f>'Raw Data'!CV31</x:f>
        <x:v>neither</x:v>
      </x:c>
      <x:c r="AG35" s="106" t="str">
        <x:f>'Raw Data'!CW31</x:f>
        <x:v>both_valid</x:v>
      </x:c>
      <x:c r="AH35" s="106" t="str">
        <x:f>'Raw Data'!CX31</x:f>
        <x:v>none</x:v>
      </x:c>
      <x:c r="AI35" s="106" t="str">
        <x:f>'Raw Data'!CY31</x:f>
        <x:v>none</x:v>
      </x:c>
    </x:row>
    <x:row r="36">
      <x:c r="A36" s="106" t="str">
        <x:f>'Raw Data'!E32</x:f>
        <x:v>n1000_r0.3_repeat4</x:v>
      </x:c>
      <x:c r="B36" s="106" t="str">
        <x:f>'Raw Data'!F32</x:f>
        <x:v>1000</x:v>
      </x:c>
      <x:c r="C36" s="106" t="str">
        <x:f>'Raw Data'!G32</x:f>
        <x:v>0.3</x:v>
      </x:c>
      <x:c r="D36" s="106" t="str">
        <x:f>'Raw Data'!H32</x:f>
        <x:v>4</x:v>
      </x:c>
      <x:c r="E36" s="106" t="str">
        <x:f>'Raw Data'!N32</x:f>
        <x:v>True</x:v>
      </x:c>
      <x:c r="F36" s="106" t="str">
        <x:f>'Raw Data'!L32</x:f>
        <x:v>1</x:v>
      </x:c>
      <x:c r="G36" s="128" t="str">
        <x:f>'Raw Data'!P32</x:f>
        <x:v>216.286</x:v>
      </x:c>
      <x:c r="H36" s="110" t="str">
        <x:f>'Raw Data'!T32</x:f>
        <x:v>0.2165025025025025</x:v>
      </x:c>
      <x:c r="I36" s="106" t="str">
        <x:f>'Raw Data'!Z32</x:f>
        <x:v>zoomed</x:v>
      </x:c>
      <x:c r="J36" s="106" t="str">
        <x:f>'Raw Data'!AE32</x:f>
        <x:v>entropy,collision</x:v>
      </x:c>
      <x:c r="K36" s="106" t="str">
        <x:f>'Raw Data'!AI32</x:f>
        <x:v>True</x:v>
      </x:c>
      <x:c r="L36" s="106" t="str">
        <x:f>'Raw Data'!AG32</x:f>
        <x:v>111</x:v>
      </x:c>
      <x:c r="M36" s="106" t="str">
        <x:f>'Raw Data'!AK32</x:f>
        <x:v>0</x:v>
      </x:c>
      <x:c r="N36" s="106" t="str">
        <x:f>'Raw Data'!AL32</x:f>
        <x:v>0</x:v>
      </x:c>
      <x:c r="O36" s="106" t="str">
        <x:f>'Raw Data'!AP32</x:f>
        <x:v>0</x:v>
      </x:c>
      <x:c r="P36" s="106" t="str">
        <x:f>'Raw Data'!AX32</x:f>
        <x:v>0</x:v>
      </x:c>
      <x:c r="Q36" s="106" t="str">
        <x:f>'Raw Data'!BA32</x:f>
        <x:v>111</x:v>
      </x:c>
      <x:c r="R36" s="110" t="str">
        <x:f>'Raw Data'!BB32</x:f>
        <x:v>12.525506700039841</x:v>
      </x:c>
      <x:c r="S36" s="106" t="str">
        <x:f>'Raw Data'!BK32</x:f>
        <x:v>True</x:v>
      </x:c>
      <x:c r="T36" s="106" t="str">
        <x:f>'Raw Data'!BI32</x:f>
        <x:v>108</x:v>
      </x:c>
      <x:c r="U36" s="106" t="str">
        <x:f>'Raw Data'!BM32</x:f>
        <x:v>0</x:v>
      </x:c>
      <x:c r="V36" s="106" t="str">
        <x:f>'Raw Data'!BN32</x:f>
        <x:v>0</x:v>
      </x:c>
      <x:c r="W36" s="106" t="str">
        <x:f>'Raw Data'!BR32</x:f>
        <x:v>0</x:v>
      </x:c>
      <x:c r="X36" s="106" t="str">
        <x:f>'Raw Data'!BZ32</x:f>
        <x:v>0</x:v>
      </x:c>
      <x:c r="Y36" s="106" t="str">
        <x:f>'Raw Data'!CC32</x:f>
        <x:v>108</x:v>
      </x:c>
      <x:c r="Z36" s="110" t="str">
        <x:f>'Raw Data'!CD32</x:f>
        <x:v>9.07503429998178</x:v>
      </x:c>
      <x:c r="AA36" s="106" t="n">
        <x:f>Y36-Q36</x:f>
        <x:v>-3</x:v>
      </x:c>
      <x:c r="AB36" s="108" t="n">
        <x:f>IFERROR(Z36/R36,"")</x:f>
        <x:v>0.7245243260261012</x:v>
      </x:c>
      <x:c r="AC36" s="106" t="str">
        <x:f>'Raw Data'!CS32</x:f>
        <x:v>collision</x:v>
      </x:c>
      <x:c r="AD36" s="106" t="str">
        <x:f>'Raw Data'!CT32</x:f>
        <x:v>collision</x:v>
      </x:c>
      <x:c r="AE36" s="106" t="str">
        <x:f>'Raw Data'!CU32</x:f>
        <x:v>collision_dominates</x:v>
      </x:c>
      <x:c r="AF36" s="106" t="str">
        <x:f>'Raw Data'!CV32</x:f>
        <x:v>neither</x:v>
      </x:c>
      <x:c r="AG36" s="106" t="str">
        <x:f>'Raw Data'!CW32</x:f>
        <x:v>both_valid</x:v>
      </x:c>
      <x:c r="AH36" s="106" t="str">
        <x:f>'Raw Data'!CX32</x:f>
        <x:v>none</x:v>
      </x:c>
      <x:c r="AI36" s="106" t="str">
        <x:f>'Raw Data'!CY32</x:f>
        <x:v>none</x:v>
      </x:c>
    </x:row>
    <x:row r="37">
      <x:c r="A37" s="106" t="str">
        <x:f>'Raw Data'!E33</x:f>
        <x:v>n1000_r0.3_repeat4</x:v>
      </x:c>
      <x:c r="B37" s="106" t="str">
        <x:f>'Raw Data'!F33</x:f>
        <x:v>1000</x:v>
      </x:c>
      <x:c r="C37" s="106" t="str">
        <x:f>'Raw Data'!G33</x:f>
        <x:v>0.3</x:v>
      </x:c>
      <x:c r="D37" s="106" t="str">
        <x:f>'Raw Data'!H33</x:f>
        <x:v>4</x:v>
      </x:c>
      <x:c r="E37" s="106" t="str">
        <x:f>'Raw Data'!N33</x:f>
        <x:v>True</x:v>
      </x:c>
      <x:c r="F37" s="106" t="str">
        <x:f>'Raw Data'!L33</x:f>
        <x:v>1</x:v>
      </x:c>
      <x:c r="G37" s="128" t="str">
        <x:f>'Raw Data'!P33</x:f>
        <x:v>216.286</x:v>
      </x:c>
      <x:c r="H37" s="110" t="str">
        <x:f>'Raw Data'!T33</x:f>
        <x:v>0.2165025025025025</x:v>
      </x:c>
      <x:c r="I37" s="106" t="str">
        <x:f>'Raw Data'!Z33</x:f>
        <x:v>ich</x:v>
      </x:c>
      <x:c r="J37" s="106" t="str">
        <x:f>'Raw Data'!AE33</x:f>
        <x:v>entropy,collision</x:v>
      </x:c>
      <x:c r="K37" s="106" t="str">
        <x:f>'Raw Data'!AI33</x:f>
        <x:v>True</x:v>
      </x:c>
      <x:c r="L37" s="106" t="str">
        <x:f>'Raw Data'!AG33</x:f>
        <x:v>95</x:v>
      </x:c>
      <x:c r="M37" s="106" t="str">
        <x:f>'Raw Data'!AK33</x:f>
        <x:v>0</x:v>
      </x:c>
      <x:c r="N37" s="106" t="str">
        <x:f>'Raw Data'!AL33</x:f>
        <x:v>0</x:v>
      </x:c>
      <x:c r="O37" s="106" t="str">
        <x:f>'Raw Data'!AP33</x:f>
        <x:v>0</x:v>
      </x:c>
      <x:c r="P37" s="106" t="str">
        <x:f>'Raw Data'!AX33</x:f>
        <x:v>6</x:v>
      </x:c>
      <x:c r="Q37" s="106" t="str">
        <x:f>'Raw Data'!BA33</x:f>
        <x:v>89</x:v>
      </x:c>
      <x:c r="R37" s="110" t="str">
        <x:f>'Raw Data'!BB33</x:f>
        <x:v>182.57732539984863</x:v>
      </x:c>
      <x:c r="S37" s="106" t="str">
        <x:f>'Raw Data'!BK33</x:f>
        <x:v>True</x:v>
      </x:c>
      <x:c r="T37" s="106" t="str">
        <x:f>'Raw Data'!BI33</x:f>
        <x:v>93</x:v>
      </x:c>
      <x:c r="U37" s="106" t="str">
        <x:f>'Raw Data'!BM33</x:f>
        <x:v>0</x:v>
      </x:c>
      <x:c r="V37" s="106" t="str">
        <x:f>'Raw Data'!BN33</x:f>
        <x:v>0</x:v>
      </x:c>
      <x:c r="W37" s="106" t="str">
        <x:f>'Raw Data'!BR33</x:f>
        <x:v>0</x:v>
      </x:c>
      <x:c r="X37" s="106" t="str">
        <x:f>'Raw Data'!BZ33</x:f>
        <x:v>6</x:v>
      </x:c>
      <x:c r="Y37" s="106" t="str">
        <x:f>'Raw Data'!CC33</x:f>
        <x:v>87</x:v>
      </x:c>
      <x:c r="Z37" s="110" t="str">
        <x:f>'Raw Data'!CD33</x:f>
        <x:v>163.93756430002395</x:v>
      </x:c>
      <x:c r="AA37" s="106" t="n">
        <x:f>Y37-Q37</x:f>
        <x:v>-2</x:v>
      </x:c>
      <x:c r="AB37" s="108" t="n">
        <x:f>IFERROR(Z37/R37,"")</x:f>
        <x:v>0.8979075793831289</x:v>
      </x:c>
      <x:c r="AC37" s="106" t="str">
        <x:f>'Raw Data'!CS33</x:f>
        <x:v>collision</x:v>
      </x:c>
      <x:c r="AD37" s="106" t="str">
        <x:f>'Raw Data'!CT33</x:f>
        <x:v>collision</x:v>
      </x:c>
      <x:c r="AE37" s="106" t="str">
        <x:f>'Raw Data'!CU33</x:f>
        <x:v>collision_dominates</x:v>
      </x:c>
      <x:c r="AF37" s="106" t="str">
        <x:f>'Raw Data'!CV33</x:f>
        <x:v>neither</x:v>
      </x:c>
      <x:c r="AG37" s="106" t="str">
        <x:f>'Raw Data'!CW33</x:f>
        <x:v>both_valid</x:v>
      </x:c>
      <x:c r="AH37" s="106" t="str">
        <x:f>'Raw Data'!CX33</x:f>
        <x:v>none</x:v>
      </x:c>
      <x:c r="AI37" s="106" t="str">
        <x:f>'Raw Data'!CY33</x:f>
        <x:v>none</x:v>
      </x:c>
    </x:row>
    <x:row r="38">
      <x:c r="A38" s="106" t="str">
        <x:f>'Raw Data'!E34</x:f>
        <x:v>n1000_r0.5_repeat1</x:v>
      </x:c>
      <x:c r="B38" s="106" t="str">
        <x:f>'Raw Data'!F34</x:f>
        <x:v>1000</x:v>
      </x:c>
      <x:c r="C38" s="106" t="str">
        <x:f>'Raw Data'!G34</x:f>
        <x:v>0.5</x:v>
      </x:c>
      <x:c r="D38" s="106" t="str">
        <x:f>'Raw Data'!H34</x:f>
        <x:v>1</x:v>
      </x:c>
      <x:c r="E38" s="106" t="str">
        <x:f>'Raw Data'!N34</x:f>
        <x:v>True</x:v>
      </x:c>
      <x:c r="F38" s="106" t="str">
        <x:f>'Raw Data'!L34</x:f>
        <x:v>1</x:v>
      </x:c>
      <x:c r="G38" s="128" t="str">
        <x:f>'Raw Data'!P34</x:f>
        <x:v>491.974</x:v>
      </x:c>
      <x:c r="H38" s="110" t="str">
        <x:f>'Raw Data'!T34</x:f>
        <x:v>0.49246646646646647</x:v>
      </x:c>
      <x:c r="I38" s="106" t="str">
        <x:f>'Raw Data'!Z34</x:f>
        <x:v>zoomed</x:v>
      </x:c>
      <x:c r="J38" s="106" t="str">
        <x:f>'Raw Data'!AE34</x:f>
        <x:v>entropy,collision</x:v>
      </x:c>
      <x:c r="K38" s="106" t="str">
        <x:f>'Raw Data'!AI34</x:f>
        <x:v>True</x:v>
      </x:c>
      <x:c r="L38" s="106" t="str">
        <x:f>'Raw Data'!AG34</x:f>
        <x:v>143</x:v>
      </x:c>
      <x:c r="M38" s="106" t="str">
        <x:f>'Raw Data'!AK34</x:f>
        <x:v>0</x:v>
      </x:c>
      <x:c r="N38" s="106" t="str">
        <x:f>'Raw Data'!AL34</x:f>
        <x:v>0</x:v>
      </x:c>
      <x:c r="O38" s="106" t="str">
        <x:f>'Raw Data'!AP34</x:f>
        <x:v>0</x:v>
      </x:c>
      <x:c r="P38" s="106" t="str">
        <x:f>'Raw Data'!AX34</x:f>
        <x:v>0</x:v>
      </x:c>
      <x:c r="Q38" s="106" t="str">
        <x:f>'Raw Data'!BA34</x:f>
        <x:v>143</x:v>
      </x:c>
      <x:c r="R38" s="110" t="str">
        <x:f>'Raw Data'!BB34</x:f>
        <x:v>61.89629689976573</x:v>
      </x:c>
      <x:c r="S38" s="106" t="str">
        <x:f>'Raw Data'!BK34</x:f>
        <x:v>False</x:v>
      </x:c>
      <x:c r="T38" s="106" t="str">
        <x:f>'Raw Data'!BI34</x:f>
        <x:v>335</x:v>
      </x:c>
      <x:c r="U38" s="106" t="str">
        <x:f>'Raw Data'!BM34</x:f>
        <x:v>1</x:v>
      </x:c>
      <x:c r="V38" s="106" t="str">
        <x:f>'Raw Data'!BN34</x:f>
        <x:v>1</x:v>
      </x:c>
      <x:c r="W38" s="106" t="str">
        <x:f>'Raw Data'!BR34</x:f>
        <x:v>201</x:v>
      </x:c>
      <x:c r="X38" s="106" t="str">
        <x:f>'Raw Data'!BZ34</x:f>
        <x:v>0</x:v>
      </x:c>
      <x:c r="Y38" s="106" t="str">
        <x:f>'Raw Data'!CC34</x:f>
        <x:v>135</x:v>
      </x:c>
      <x:c r="Z38" s="110" t="str">
        <x:f>'Raw Data'!CD34</x:f>
        <x:v>37.01998630014714</x:v>
      </x:c>
      <x:c r="AA38" s="106" t="n">
        <x:f>Y38-Q38</x:f>
        <x:v>-8</x:v>
      </x:c>
      <x:c r="AB38" s="108" t="n">
        <x:f>IFERROR(Z38/R38,"")</x:f>
        <x:v>0.5980969485153037</x:v>
      </x:c>
      <x:c r="AC38" s="106" t="str">
        <x:f>'Raw Data'!CS34</x:f>
        <x:v>collision</x:v>
      </x:c>
      <x:c r="AD38" s="106" t="str">
        <x:f>'Raw Data'!CT34</x:f>
        <x:v>collision</x:v>
      </x:c>
      <x:c r="AE38" s="106" t="str">
        <x:f>'Raw Data'!CU34</x:f>
        <x:v>collision_dominates</x:v>
      </x:c>
      <x:c r="AF38" s="106" t="str">
        <x:f>'Raw Data'!CV34</x:f>
        <x:v>collision_only</x:v>
      </x:c>
      <x:c r="AG38" s="106" t="str">
        <x:f>'Raw Data'!CW34</x:f>
        <x:v>entropy_only_valid</x:v>
      </x:c>
      <x:c r="AH38" s="106" t="str">
        <x:f>'Raw Data'!CX34</x:f>
        <x:v>none</x:v>
      </x:c>
      <x:c r="AI38" s="106" t="str">
        <x:f>'Raw Data'!CY34</x:f>
        <x:v>none</x:v>
      </x:c>
    </x:row>
    <x:row r="39">
      <x:c r="A39" s="106" t="str">
        <x:f>'Raw Data'!E35</x:f>
        <x:v>n1000_r0.5_repeat1</x:v>
      </x:c>
      <x:c r="B39" s="106" t="str">
        <x:f>'Raw Data'!F35</x:f>
        <x:v>1000</x:v>
      </x:c>
      <x:c r="C39" s="106" t="str">
        <x:f>'Raw Data'!G35</x:f>
        <x:v>0.5</x:v>
      </x:c>
      <x:c r="D39" s="106" t="str">
        <x:f>'Raw Data'!H35</x:f>
        <x:v>1</x:v>
      </x:c>
      <x:c r="E39" s="106" t="str">
        <x:f>'Raw Data'!N35</x:f>
        <x:v>True</x:v>
      </x:c>
      <x:c r="F39" s="106" t="str">
        <x:f>'Raw Data'!L35</x:f>
        <x:v>1</x:v>
      </x:c>
      <x:c r="G39" s="128" t="str">
        <x:f>'Raw Data'!P35</x:f>
        <x:v>491.974</x:v>
      </x:c>
      <x:c r="H39" s="110" t="str">
        <x:f>'Raw Data'!T35</x:f>
        <x:v>0.49246646646646647</x:v>
      </x:c>
      <x:c r="I39" s="106" t="str">
        <x:f>'Raw Data'!Z35</x:f>
        <x:v>ich</x:v>
      </x:c>
      <x:c r="J39" s="106" t="str">
        <x:f>'Raw Data'!AE35</x:f>
        <x:v>entropy,collision</x:v>
      </x:c>
      <x:c r="K39" s="106" t="str">
        <x:f>'Raw Data'!AI35</x:f>
        <x:v>True</x:v>
      </x:c>
      <x:c r="L39" s="106" t="str">
        <x:f>'Raw Data'!AG35</x:f>
        <x:v>116</x:v>
      </x:c>
      <x:c r="M39" s="106" t="str">
        <x:f>'Raw Data'!AK35</x:f>
        <x:v>0</x:v>
      </x:c>
      <x:c r="N39" s="106" t="str">
        <x:f>'Raw Data'!AL35</x:f>
        <x:v>0</x:v>
      </x:c>
      <x:c r="O39" s="106" t="str">
        <x:f>'Raw Data'!AP35</x:f>
        <x:v>0</x:v>
      </x:c>
      <x:c r="P39" s="106" t="str">
        <x:f>'Raw Data'!AX35</x:f>
        <x:v>3</x:v>
      </x:c>
      <x:c r="Q39" s="106" t="str">
        <x:f>'Raw Data'!BA35</x:f>
        <x:v>113</x:v>
      </x:c>
      <x:c r="R39" s="110" t="str">
        <x:f>'Raw Data'!BB35</x:f>
        <x:v>203.59088510007132</x:v>
      </x:c>
      <x:c r="S39" s="106" t="str">
        <x:f>'Raw Data'!BK35</x:f>
        <x:v>True</x:v>
      </x:c>
      <x:c r="T39" s="106" t="str">
        <x:f>'Raw Data'!BI35</x:f>
        <x:v>118</x:v>
      </x:c>
      <x:c r="U39" s="106" t="str">
        <x:f>'Raw Data'!BM35</x:f>
        <x:v>0</x:v>
      </x:c>
      <x:c r="V39" s="106" t="str">
        <x:f>'Raw Data'!BN35</x:f>
        <x:v>0</x:v>
      </x:c>
      <x:c r="W39" s="106" t="str">
        <x:f>'Raw Data'!BR35</x:f>
        <x:v>0</x:v>
      </x:c>
      <x:c r="X39" s="106" t="str">
        <x:f>'Raw Data'!BZ35</x:f>
        <x:v>2</x:v>
      </x:c>
      <x:c r="Y39" s="106" t="str">
        <x:f>'Raw Data'!CC35</x:f>
        <x:v>116</x:v>
      </x:c>
      <x:c r="Z39" s="110" t="str">
        <x:f>'Raw Data'!CD35</x:f>
        <x:v>198.51366870000493</x:v>
      </x:c>
      <x:c r="AA39" s="106" t="n">
        <x:f>Y39-Q39</x:f>
        <x:v>3</x:v>
      </x:c>
      <x:c r="AB39" s="108" t="n">
        <x:f>IFERROR(Z39/R39,"")</x:f>
        <x:v>0.9750616713632795</x:v>
      </x:c>
      <x:c r="AC39" s="106" t="str">
        <x:f>'Raw Data'!CS35</x:f>
        <x:v>entropy</x:v>
      </x:c>
      <x:c r="AD39" s="106" t="str">
        <x:f>'Raw Data'!CT35</x:f>
        <x:v>collision</x:v>
      </x:c>
      <x:c r="AE39" s="106" t="str">
        <x:f>'Raw Data'!CU35</x:f>
        <x:v>tradeoff</x:v>
      </x:c>
      <x:c r="AF39" s="106" t="str">
        <x:f>'Raw Data'!CV35</x:f>
        <x:v>neither</x:v>
      </x:c>
      <x:c r="AG39" s="106" t="str">
        <x:f>'Raw Data'!CW35</x:f>
        <x:v>both_valid</x:v>
      </x:c>
      <x:c r="AH39" s="106" t="str">
        <x:f>'Raw Data'!CX35</x:f>
        <x:v>none</x:v>
      </x:c>
      <x:c r="AI39" s="106" t="str">
        <x:f>'Raw Data'!CY35</x:f>
        <x:v>none</x:v>
      </x:c>
    </x:row>
    <x:row r="40">
      <x:c r="A40" s="106" t="str">
        <x:f>'Raw Data'!E36</x:f>
        <x:v>n1000_r0.5_repeat1</x:v>
      </x:c>
      <x:c r="B40" s="106" t="str">
        <x:f>'Raw Data'!F36</x:f>
        <x:v>1000</x:v>
      </x:c>
      <x:c r="C40" s="106" t="str">
        <x:f>'Raw Data'!G36</x:f>
        <x:v>0.5</x:v>
      </x:c>
      <x:c r="D40" s="106" t="str">
        <x:f>'Raw Data'!H36</x:f>
        <x:v>1</x:v>
      </x:c>
      <x:c r="E40" s="106" t="str">
        <x:f>'Raw Data'!N36</x:f>
        <x:v>True</x:v>
      </x:c>
      <x:c r="F40" s="106" t="str">
        <x:f>'Raw Data'!L36</x:f>
        <x:v>1</x:v>
      </x:c>
      <x:c r="G40" s="128" t="str">
        <x:f>'Raw Data'!P36</x:f>
        <x:v>491.974</x:v>
      </x:c>
      <x:c r="H40" s="110" t="str">
        <x:f>'Raw Data'!T36</x:f>
        <x:v>0.49246646646646647</x:v>
      </x:c>
      <x:c r="I40" s="106" t="str">
        <x:f>'Raw Data'!Z36</x:f>
        <x:v>grid</x:v>
      </x:c>
      <x:c r="J40" s="106" t="str">
        <x:f>'Raw Data'!AE36</x:f>
        <x:v>entropy,collision</x:v>
      </x:c>
      <x:c r="K40" s="106" t="str">
        <x:f>'Raw Data'!AI36</x:f>
        <x:v>True</x:v>
      </x:c>
      <x:c r="L40" s="106" t="str">
        <x:f>'Raw Data'!AG36</x:f>
        <x:v>149</x:v>
      </x:c>
      <x:c r="M40" s="106" t="str">
        <x:f>'Raw Data'!AK36</x:f>
        <x:v>0</x:v>
      </x:c>
      <x:c r="N40" s="106" t="str">
        <x:f>'Raw Data'!AL36</x:f>
        <x:v>0</x:v>
      </x:c>
      <x:c r="O40" s="106" t="str">
        <x:f>'Raw Data'!AP36</x:f>
        <x:v>0</x:v>
      </x:c>
      <x:c r="P40" s="106" t="str">
        <x:f>'Raw Data'!AX36</x:f>
        <x:v>0</x:v>
      </x:c>
      <x:c r="Q40" s="106" t="str">
        <x:f>'Raw Data'!BA36</x:f>
        <x:v>149</x:v>
      </x:c>
      <x:c r="R40" s="110" t="str">
        <x:f>'Raw Data'!BB36</x:f>
        <x:v>139.0568481000373</x:v>
      </x:c>
      <x:c r="S40" s="106" t="str">
        <x:f>'Raw Data'!BK36</x:f>
        <x:v>True</x:v>
      </x:c>
      <x:c r="T40" s="106" t="str">
        <x:f>'Raw Data'!BI36</x:f>
        <x:v>116</x:v>
      </x:c>
      <x:c r="U40" s="106" t="str">
        <x:f>'Raw Data'!BM36</x:f>
        <x:v>0</x:v>
      </x:c>
      <x:c r="V40" s="106" t="str">
        <x:f>'Raw Data'!BN36</x:f>
        <x:v>0</x:v>
      </x:c>
      <x:c r="W40" s="106" t="str">
        <x:f>'Raw Data'!BR36</x:f>
        <x:v>0</x:v>
      </x:c>
      <x:c r="X40" s="106" t="str">
        <x:f>'Raw Data'!BZ36</x:f>
        <x:v>0</x:v>
      </x:c>
      <x:c r="Y40" s="106" t="str">
        <x:f>'Raw Data'!CC36</x:f>
        <x:v>116</x:v>
      </x:c>
      <x:c r="Z40" s="110" t="str">
        <x:f>'Raw Data'!CD36</x:f>
        <x:v>60.911395300063305</x:v>
      </x:c>
      <x:c r="AA40" s="106" t="n">
        <x:f>Y40-Q40</x:f>
        <x:v>-33</x:v>
      </x:c>
      <x:c r="AB40" s="108" t="n">
        <x:f>IFERROR(Z40/R40,"")</x:f>
        <x:v>0.4380323308942234</x:v>
      </x:c>
      <x:c r="AC40" s="106" t="str">
        <x:f>'Raw Data'!CS36</x:f>
        <x:v>collision</x:v>
      </x:c>
      <x:c r="AD40" s="106" t="str">
        <x:f>'Raw Data'!CT36</x:f>
        <x:v>collision</x:v>
      </x:c>
      <x:c r="AE40" s="106" t="str">
        <x:f>'Raw Data'!CU36</x:f>
        <x:v>collision_dominates</x:v>
      </x:c>
      <x:c r="AF40" s="106" t="str">
        <x:f>'Raw Data'!CV36</x:f>
        <x:v>neither</x:v>
      </x:c>
      <x:c r="AG40" s="106" t="str">
        <x:f>'Raw Data'!CW36</x:f>
        <x:v>both_valid</x:v>
      </x:c>
      <x:c r="AH40" s="106" t="str">
        <x:f>'Raw Data'!CX36</x:f>
        <x:v>entropy_much_larger</x:v>
      </x:c>
      <x:c r="AI40" s="106" t="str">
        <x:f>'Raw Data'!CY36</x:f>
        <x:v>collision_at_least_2x_faster</x:v>
      </x:c>
    </x:row>
    <x:row r="41">
      <x:c r="A41" s="106" t="str">
        <x:f>'Raw Data'!E37</x:f>
        <x:v>n1000_r0.5_repeat1</x:v>
      </x:c>
      <x:c r="B41" s="106" t="str">
        <x:f>'Raw Data'!F37</x:f>
        <x:v>1000</x:v>
      </x:c>
      <x:c r="C41" s="106" t="str">
        <x:f>'Raw Data'!G37</x:f>
        <x:v>0.5</x:v>
      </x:c>
      <x:c r="D41" s="106" t="str">
        <x:f>'Raw Data'!H37</x:f>
        <x:v>1</x:v>
      </x:c>
      <x:c r="E41" s="106" t="str">
        <x:f>'Raw Data'!N37</x:f>
        <x:v>True</x:v>
      </x:c>
      <x:c r="F41" s="106" t="str">
        <x:f>'Raw Data'!L37</x:f>
        <x:v>1</x:v>
      </x:c>
      <x:c r="G41" s="128" t="str">
        <x:f>'Raw Data'!P37</x:f>
        <x:v>491.974</x:v>
      </x:c>
      <x:c r="H41" s="110" t="str">
        <x:f>'Raw Data'!T37</x:f>
        <x:v>0.49246646646646647</x:v>
      </x:c>
      <x:c r="I41" s="106" t="str">
        <x:f>'Raw Data'!Z37</x:f>
        <x:v>circle</x:v>
      </x:c>
      <x:c r="J41" s="106" t="str">
        <x:f>'Raw Data'!AE37</x:f>
        <x:v>entropy,collision</x:v>
      </x:c>
      <x:c r="K41" s="106" t="str">
        <x:f>'Raw Data'!AI37</x:f>
        <x:v>True</x:v>
      </x:c>
      <x:c r="L41" s="106" t="str">
        <x:f>'Raw Data'!AG37</x:f>
        <x:v>140</x:v>
      </x:c>
      <x:c r="M41" s="106" t="str">
        <x:f>'Raw Data'!AK37</x:f>
        <x:v>0</x:v>
      </x:c>
      <x:c r="N41" s="106" t="str">
        <x:f>'Raw Data'!AL37</x:f>
        <x:v>0</x:v>
      </x:c>
      <x:c r="O41" s="106" t="str">
        <x:f>'Raw Data'!AP37</x:f>
        <x:v>0</x:v>
      </x:c>
      <x:c r="P41" s="106" t="str">
        <x:f>'Raw Data'!AX37</x:f>
        <x:v>0</x:v>
      </x:c>
      <x:c r="Q41" s="106" t="str">
        <x:f>'Raw Data'!BA37</x:f>
        <x:v>140</x:v>
      </x:c>
      <x:c r="R41" s="110" t="str">
        <x:f>'Raw Data'!BB37</x:f>
        <x:v>22.923280300106853</x:v>
      </x:c>
      <x:c r="S41" s="106" t="str">
        <x:f>'Raw Data'!BK37</x:f>
        <x:v>True</x:v>
      </x:c>
      <x:c r="T41" s="106" t="str">
        <x:f>'Raw Data'!BI37</x:f>
        <x:v>139</x:v>
      </x:c>
      <x:c r="U41" s="106" t="str">
        <x:f>'Raw Data'!BM37</x:f>
        <x:v>0</x:v>
      </x:c>
      <x:c r="V41" s="106" t="str">
        <x:f>'Raw Data'!BN37</x:f>
        <x:v>0</x:v>
      </x:c>
      <x:c r="W41" s="106" t="str">
        <x:f>'Raw Data'!BR37</x:f>
        <x:v>0</x:v>
      </x:c>
      <x:c r="X41" s="106" t="str">
        <x:f>'Raw Data'!BZ37</x:f>
        <x:v>0</x:v>
      </x:c>
      <x:c r="Y41" s="106" t="str">
        <x:f>'Raw Data'!CC37</x:f>
        <x:v>139</x:v>
      </x:c>
      <x:c r="Z41" s="110" t="str">
        <x:f>'Raw Data'!CD37</x:f>
        <x:v>23.878065199940465</x:v>
      </x:c>
      <x:c r="AA41" s="106" t="n">
        <x:f>Y41-Q41</x:f>
        <x:v>-1</x:v>
      </x:c>
      <x:c r="AB41" s="108" t="n">
        <x:f>IFERROR(Z41/R41,"")</x:f>
        <x:v>1.0416513207243363</x:v>
      </x:c>
      <x:c r="AC41" s="106" t="str">
        <x:f>'Raw Data'!CS37</x:f>
        <x:v>collision</x:v>
      </x:c>
      <x:c r="AD41" s="106" t="str">
        <x:f>'Raw Data'!CT37</x:f>
        <x:v>entropy</x:v>
      </x:c>
      <x:c r="AE41" s="106" t="str">
        <x:f>'Raw Data'!CU37</x:f>
        <x:v>tradeoff</x:v>
      </x:c>
      <x:c r="AF41" s="106" t="str">
        <x:f>'Raw Data'!CV37</x:f>
        <x:v>neither</x:v>
      </x:c>
      <x:c r="AG41" s="106" t="str">
        <x:f>'Raw Data'!CW37</x:f>
        <x:v>both_valid</x:v>
      </x:c>
      <x:c r="AH41" s="106" t="str">
        <x:f>'Raw Data'!CX37</x:f>
        <x:v>none</x:v>
      </x:c>
      <x:c r="AI41" s="106" t="str">
        <x:f>'Raw Data'!CY37</x:f>
        <x:v>none</x:v>
      </x:c>
    </x:row>
    <x:row r="42">
      <x:c r="A42" s="106" t="str">
        <x:f>'Raw Data'!E38</x:f>
        <x:v>n1000_r0.5_repeat2</x:v>
      </x:c>
      <x:c r="B42" s="106" t="str">
        <x:f>'Raw Data'!F38</x:f>
        <x:v>1000</x:v>
      </x:c>
      <x:c r="C42" s="106" t="str">
        <x:f>'Raw Data'!G38</x:f>
        <x:v>0.5</x:v>
      </x:c>
      <x:c r="D42" s="106" t="str">
        <x:f>'Raw Data'!H38</x:f>
        <x:v>2</x:v>
      </x:c>
      <x:c r="E42" s="106" t="str">
        <x:f>'Raw Data'!N38</x:f>
        <x:v>True</x:v>
      </x:c>
      <x:c r="F42" s="106" t="str">
        <x:f>'Raw Data'!L38</x:f>
        <x:v>1</x:v>
      </x:c>
      <x:c r="G42" s="128" t="str">
        <x:f>'Raw Data'!P38</x:f>
        <x:v>478.5</x:v>
      </x:c>
      <x:c r="H42" s="110" t="str">
        <x:f>'Raw Data'!T38</x:f>
        <x:v>0.47897897897897895</x:v>
      </x:c>
      <x:c r="I42" s="106" t="str">
        <x:f>'Raw Data'!Z38</x:f>
        <x:v>ich</x:v>
      </x:c>
      <x:c r="J42" s="106" t="str">
        <x:f>'Raw Data'!AE38</x:f>
        <x:v>collision,entropy</x:v>
      </x:c>
      <x:c r="K42" s="106" t="str">
        <x:f>'Raw Data'!AI38</x:f>
        <x:v>True</x:v>
      </x:c>
      <x:c r="L42" s="106" t="str">
        <x:f>'Raw Data'!AG38</x:f>
        <x:v>121</x:v>
      </x:c>
      <x:c r="M42" s="106" t="str">
        <x:f>'Raw Data'!AK38</x:f>
        <x:v>0</x:v>
      </x:c>
      <x:c r="N42" s="106" t="str">
        <x:f>'Raw Data'!AL38</x:f>
        <x:v>0</x:v>
      </x:c>
      <x:c r="O42" s="106" t="str">
        <x:f>'Raw Data'!AP38</x:f>
        <x:v>0</x:v>
      </x:c>
      <x:c r="P42" s="106" t="str">
        <x:f>'Raw Data'!AX38</x:f>
        <x:v>3</x:v>
      </x:c>
      <x:c r="Q42" s="106" t="str">
        <x:f>'Raw Data'!BA38</x:f>
        <x:v>118</x:v>
      </x:c>
      <x:c r="R42" s="110" t="str">
        <x:f>'Raw Data'!BB38</x:f>
        <x:v>215.66765399998985</x:v>
      </x:c>
      <x:c r="S42" s="106" t="str">
        <x:f>'Raw Data'!BK38</x:f>
        <x:v>True</x:v>
      </x:c>
      <x:c r="T42" s="106" t="str">
        <x:f>'Raw Data'!BI38</x:f>
        <x:v>120</x:v>
      </x:c>
      <x:c r="U42" s="106" t="str">
        <x:f>'Raw Data'!BM38</x:f>
        <x:v>0</x:v>
      </x:c>
      <x:c r="V42" s="106" t="str">
        <x:f>'Raw Data'!BN38</x:f>
        <x:v>0</x:v>
      </x:c>
      <x:c r="W42" s="106" t="str">
        <x:f>'Raw Data'!BR38</x:f>
        <x:v>0</x:v>
      </x:c>
      <x:c r="X42" s="106" t="str">
        <x:f>'Raw Data'!BZ38</x:f>
        <x:v>4</x:v>
      </x:c>
      <x:c r="Y42" s="106" t="str">
        <x:f>'Raw Data'!CC38</x:f>
        <x:v>116</x:v>
      </x:c>
      <x:c r="Z42" s="110" t="str">
        <x:f>'Raw Data'!CD38</x:f>
        <x:v>230.49046010000166</x:v>
      </x:c>
      <x:c r="AA42" s="106" t="n">
        <x:f>Y42-Q42</x:f>
        <x:v>-2</x:v>
      </x:c>
      <x:c r="AB42" s="108" t="n">
        <x:f>IFERROR(Z42/R42,"")</x:f>
        <x:v>1.0687298527391247</x:v>
      </x:c>
      <x:c r="AC42" s="106" t="str">
        <x:f>'Raw Data'!CS38</x:f>
        <x:v>collision</x:v>
      </x:c>
      <x:c r="AD42" s="106" t="str">
        <x:f>'Raw Data'!CT38</x:f>
        <x:v>entropy</x:v>
      </x:c>
      <x:c r="AE42" s="106" t="str">
        <x:f>'Raw Data'!CU38</x:f>
        <x:v>tradeoff</x:v>
      </x:c>
      <x:c r="AF42" s="106" t="str">
        <x:f>'Raw Data'!CV38</x:f>
        <x:v>neither</x:v>
      </x:c>
      <x:c r="AG42" s="106" t="str">
        <x:f>'Raw Data'!CW38</x:f>
        <x:v>both_valid</x:v>
      </x:c>
      <x:c r="AH42" s="106" t="str">
        <x:f>'Raw Data'!CX38</x:f>
        <x:v>none</x:v>
      </x:c>
      <x:c r="AI42" s="106" t="str">
        <x:f>'Raw Data'!CY38</x:f>
        <x:v>none</x:v>
      </x:c>
    </x:row>
    <x:row r="43">
      <x:c r="A43" s="106" t="str">
        <x:f>'Raw Data'!E39</x:f>
        <x:v>n1000_r0.5_repeat2</x:v>
      </x:c>
      <x:c r="B43" s="106" t="str">
        <x:f>'Raw Data'!F39</x:f>
        <x:v>1000</x:v>
      </x:c>
      <x:c r="C43" s="106" t="str">
        <x:f>'Raw Data'!G39</x:f>
        <x:v>0.5</x:v>
      </x:c>
      <x:c r="D43" s="106" t="str">
        <x:f>'Raw Data'!H39</x:f>
        <x:v>2</x:v>
      </x:c>
      <x:c r="E43" s="106" t="str">
        <x:f>'Raw Data'!N39</x:f>
        <x:v>True</x:v>
      </x:c>
      <x:c r="F43" s="106" t="str">
        <x:f>'Raw Data'!L39</x:f>
        <x:v>1</x:v>
      </x:c>
      <x:c r="G43" s="128" t="str">
        <x:f>'Raw Data'!P39</x:f>
        <x:v>478.5</x:v>
      </x:c>
      <x:c r="H43" s="110" t="str">
        <x:f>'Raw Data'!T39</x:f>
        <x:v>0.47897897897897895</x:v>
      </x:c>
      <x:c r="I43" s="106" t="str">
        <x:f>'Raw Data'!Z39</x:f>
        <x:v>grid</x:v>
      </x:c>
      <x:c r="J43" s="106" t="str">
        <x:f>'Raw Data'!AE39</x:f>
        <x:v>collision,entropy</x:v>
      </x:c>
      <x:c r="K43" s="106" t="str">
        <x:f>'Raw Data'!AI39</x:f>
        <x:v>True</x:v>
      </x:c>
      <x:c r="L43" s="106" t="str">
        <x:f>'Raw Data'!AG39</x:f>
        <x:v>148</x:v>
      </x:c>
      <x:c r="M43" s="106" t="str">
        <x:f>'Raw Data'!AK39</x:f>
        <x:v>0</x:v>
      </x:c>
      <x:c r="N43" s="106" t="str">
        <x:f>'Raw Data'!AL39</x:f>
        <x:v>0</x:v>
      </x:c>
      <x:c r="O43" s="106" t="str">
        <x:f>'Raw Data'!AP39</x:f>
        <x:v>0</x:v>
      </x:c>
      <x:c r="P43" s="106" t="str">
        <x:f>'Raw Data'!AX39</x:f>
        <x:v>0</x:v>
      </x:c>
      <x:c r="Q43" s="106" t="str">
        <x:f>'Raw Data'!BA39</x:f>
        <x:v>148</x:v>
      </x:c>
      <x:c r="R43" s="110" t="str">
        <x:f>'Raw Data'!BB39</x:f>
        <x:v>155.21703249996062</x:v>
      </x:c>
      <x:c r="S43" s="106" t="str">
        <x:f>'Raw Data'!BK39</x:f>
        <x:v>True</x:v>
      </x:c>
      <x:c r="T43" s="106" t="str">
        <x:f>'Raw Data'!BI39</x:f>
        <x:v>116</x:v>
      </x:c>
      <x:c r="U43" s="106" t="str">
        <x:f>'Raw Data'!BM39</x:f>
        <x:v>0</x:v>
      </x:c>
      <x:c r="V43" s="106" t="str">
        <x:f>'Raw Data'!BN39</x:f>
        <x:v>0</x:v>
      </x:c>
      <x:c r="W43" s="106" t="str">
        <x:f>'Raw Data'!BR39</x:f>
        <x:v>0</x:v>
      </x:c>
      <x:c r="X43" s="106" t="str">
        <x:f>'Raw Data'!BZ39</x:f>
        <x:v>0</x:v>
      </x:c>
      <x:c r="Y43" s="106" t="str">
        <x:f>'Raw Data'!CC39</x:f>
        <x:v>116</x:v>
      </x:c>
      <x:c r="Z43" s="110" t="str">
        <x:f>'Raw Data'!CD39</x:f>
        <x:v>69.28014939988498</x:v>
      </x:c>
      <x:c r="AA43" s="106" t="n">
        <x:f>Y43-Q43</x:f>
        <x:v>-32</x:v>
      </x:c>
      <x:c r="AB43" s="108" t="n">
        <x:f>IFERROR(Z43/R43,"")</x:f>
        <x:v>0.44634373099422936</x:v>
      </x:c>
      <x:c r="AC43" s="106" t="str">
        <x:f>'Raw Data'!CS39</x:f>
        <x:v>collision</x:v>
      </x:c>
      <x:c r="AD43" s="106" t="str">
        <x:f>'Raw Data'!CT39</x:f>
        <x:v>collision</x:v>
      </x:c>
      <x:c r="AE43" s="106" t="str">
        <x:f>'Raw Data'!CU39</x:f>
        <x:v>collision_dominates</x:v>
      </x:c>
      <x:c r="AF43" s="106" t="str">
        <x:f>'Raw Data'!CV39</x:f>
        <x:v>neither</x:v>
      </x:c>
      <x:c r="AG43" s="106" t="str">
        <x:f>'Raw Data'!CW39</x:f>
        <x:v>both_valid</x:v>
      </x:c>
      <x:c r="AH43" s="106" t="str">
        <x:f>'Raw Data'!CX39</x:f>
        <x:v>entropy_much_larger</x:v>
      </x:c>
      <x:c r="AI43" s="106" t="str">
        <x:f>'Raw Data'!CY39</x:f>
        <x:v>collision_at_least_2x_faster</x:v>
      </x:c>
    </x:row>
    <x:row r="44">
      <x:c r="A44" s="106" t="str">
        <x:f>'Raw Data'!E40</x:f>
        <x:v>n1000_r0.5_repeat2</x:v>
      </x:c>
      <x:c r="B44" s="106" t="str">
        <x:f>'Raw Data'!F40</x:f>
        <x:v>1000</x:v>
      </x:c>
      <x:c r="C44" s="106" t="str">
        <x:f>'Raw Data'!G40</x:f>
        <x:v>0.5</x:v>
      </x:c>
      <x:c r="D44" s="106" t="str">
        <x:f>'Raw Data'!H40</x:f>
        <x:v>2</x:v>
      </x:c>
      <x:c r="E44" s="106" t="str">
        <x:f>'Raw Data'!N40</x:f>
        <x:v>True</x:v>
      </x:c>
      <x:c r="F44" s="106" t="str">
        <x:f>'Raw Data'!L40</x:f>
        <x:v>1</x:v>
      </x:c>
      <x:c r="G44" s="128" t="str">
        <x:f>'Raw Data'!P40</x:f>
        <x:v>478.5</x:v>
      </x:c>
      <x:c r="H44" s="110" t="str">
        <x:f>'Raw Data'!T40</x:f>
        <x:v>0.47897897897897895</x:v>
      </x:c>
      <x:c r="I44" s="106" t="str">
        <x:f>'Raw Data'!Z40</x:f>
        <x:v>circle</x:v>
      </x:c>
      <x:c r="J44" s="106" t="str">
        <x:f>'Raw Data'!AE40</x:f>
        <x:v>collision,entropy</x:v>
      </x:c>
      <x:c r="K44" s="106" t="str">
        <x:f>'Raw Data'!AI40</x:f>
        <x:v>True</x:v>
      </x:c>
      <x:c r="L44" s="106" t="str">
        <x:f>'Raw Data'!AG40</x:f>
        <x:v>138</x:v>
      </x:c>
      <x:c r="M44" s="106" t="str">
        <x:f>'Raw Data'!AK40</x:f>
        <x:v>0</x:v>
      </x:c>
      <x:c r="N44" s="106" t="str">
        <x:f>'Raw Data'!AL40</x:f>
        <x:v>0</x:v>
      </x:c>
      <x:c r="O44" s="106" t="str">
        <x:f>'Raw Data'!AP40</x:f>
        <x:v>0</x:v>
      </x:c>
      <x:c r="P44" s="106" t="str">
        <x:f>'Raw Data'!AX40</x:f>
        <x:v>0</x:v>
      </x:c>
      <x:c r="Q44" s="106" t="str">
        <x:f>'Raw Data'!BA40</x:f>
        <x:v>138</x:v>
      </x:c>
      <x:c r="R44" s="110" t="str">
        <x:f>'Raw Data'!BB40</x:f>
        <x:v>20.159326000022702</x:v>
      </x:c>
      <x:c r="S44" s="106" t="str">
        <x:f>'Raw Data'!BK40</x:f>
        <x:v>True</x:v>
      </x:c>
      <x:c r="T44" s="106" t="str">
        <x:f>'Raw Data'!BI40</x:f>
        <x:v>138</x:v>
      </x:c>
      <x:c r="U44" s="106" t="str">
        <x:f>'Raw Data'!BM40</x:f>
        <x:v>0</x:v>
      </x:c>
      <x:c r="V44" s="106" t="str">
        <x:f>'Raw Data'!BN40</x:f>
        <x:v>0</x:v>
      </x:c>
      <x:c r="W44" s="106" t="str">
        <x:f>'Raw Data'!BR40</x:f>
        <x:v>0</x:v>
      </x:c>
      <x:c r="X44" s="106" t="str">
        <x:f>'Raw Data'!BZ40</x:f>
        <x:v>0</x:v>
      </x:c>
      <x:c r="Y44" s="106" t="str">
        <x:f>'Raw Data'!CC40</x:f>
        <x:v>138</x:v>
      </x:c>
      <x:c r="Z44" s="110" t="str">
        <x:f>'Raw Data'!CD40</x:f>
        <x:v>19.483732999884523</x:v>
      </x:c>
      <x:c r="AA44" s="106" t="n">
        <x:f>Y44-Q44</x:f>
        <x:v>0</x:v>
      </x:c>
      <x:c r="AB44" s="108" t="n">
        <x:f>IFERROR(Z44/R44,"")</x:f>
        <x:v>0.9664873220395653</x:v>
      </x:c>
      <x:c r="AC44" s="106" t="str">
        <x:f>'Raw Data'!CS40</x:f>
        <x:v>tie</x:v>
      </x:c>
      <x:c r="AD44" s="106" t="str">
        <x:f>'Raw Data'!CT40</x:f>
        <x:v>collision</x:v>
      </x:c>
      <x:c r="AE44" s="106" t="str">
        <x:f>'Raw Data'!CU40</x:f>
        <x:v>collision_dominates</x:v>
      </x:c>
      <x:c r="AF44" s="106" t="str">
        <x:f>'Raw Data'!CV40</x:f>
        <x:v>neither</x:v>
      </x:c>
      <x:c r="AG44" s="106" t="str">
        <x:f>'Raw Data'!CW40</x:f>
        <x:v>both_valid</x:v>
      </x:c>
      <x:c r="AH44" s="106" t="str">
        <x:f>'Raw Data'!CX40</x:f>
        <x:v>none</x:v>
      </x:c>
      <x:c r="AI44" s="106" t="str">
        <x:f>'Raw Data'!CY40</x:f>
        <x:v>none</x:v>
      </x:c>
    </x:row>
    <x:row r="45">
      <x:c r="A45" s="106" t="str">
        <x:f>'Raw Data'!E41</x:f>
        <x:v>n1000_r0.5_repeat2</x:v>
      </x:c>
      <x:c r="B45" s="106" t="str">
        <x:f>'Raw Data'!F41</x:f>
        <x:v>1000</x:v>
      </x:c>
      <x:c r="C45" s="106" t="str">
        <x:f>'Raw Data'!G41</x:f>
        <x:v>0.5</x:v>
      </x:c>
      <x:c r="D45" s="106" t="str">
        <x:f>'Raw Data'!H41</x:f>
        <x:v>2</x:v>
      </x:c>
      <x:c r="E45" s="106" t="str">
        <x:f>'Raw Data'!N41</x:f>
        <x:v>True</x:v>
      </x:c>
      <x:c r="F45" s="106" t="str">
        <x:f>'Raw Data'!L41</x:f>
        <x:v>1</x:v>
      </x:c>
      <x:c r="G45" s="128" t="str">
        <x:f>'Raw Data'!P41</x:f>
        <x:v>478.5</x:v>
      </x:c>
      <x:c r="H45" s="110" t="str">
        <x:f>'Raw Data'!T41</x:f>
        <x:v>0.47897897897897895</x:v>
      </x:c>
      <x:c r="I45" s="106" t="str">
        <x:f>'Raw Data'!Z41</x:f>
        <x:v>zoomed</x:v>
      </x:c>
      <x:c r="J45" s="106" t="str">
        <x:f>'Raw Data'!AE41</x:f>
        <x:v>collision,entropy</x:v>
      </x:c>
      <x:c r="K45" s="106" t="str">
        <x:f>'Raw Data'!AI41</x:f>
        <x:v>True</x:v>
      </x:c>
      <x:c r="L45" s="106" t="str">
        <x:f>'Raw Data'!AG41</x:f>
        <x:v>142</x:v>
      </x:c>
      <x:c r="M45" s="106" t="str">
        <x:f>'Raw Data'!AK41</x:f>
        <x:v>0</x:v>
      </x:c>
      <x:c r="N45" s="106" t="str">
        <x:f>'Raw Data'!AL41</x:f>
        <x:v>0</x:v>
      </x:c>
      <x:c r="O45" s="106" t="str">
        <x:f>'Raw Data'!AP41</x:f>
        <x:v>0</x:v>
      </x:c>
      <x:c r="P45" s="106" t="str">
        <x:f>'Raw Data'!AX41</x:f>
        <x:v>0</x:v>
      </x:c>
      <x:c r="Q45" s="106" t="str">
        <x:f>'Raw Data'!BA41</x:f>
        <x:v>142</x:v>
      </x:c>
      <x:c r="R45" s="110" t="str">
        <x:f>'Raw Data'!BB41</x:f>
        <x:v>34.66145539993886</x:v>
      </x:c>
      <x:c r="S45" s="106" t="str">
        <x:f>'Raw Data'!BK41</x:f>
        <x:v>True</x:v>
      </x:c>
      <x:c r="T45" s="106" t="str">
        <x:f>'Raw Data'!BI41</x:f>
        <x:v>134</x:v>
      </x:c>
      <x:c r="U45" s="106" t="str">
        <x:f>'Raw Data'!BM41</x:f>
        <x:v>0</x:v>
      </x:c>
      <x:c r="V45" s="106" t="str">
        <x:f>'Raw Data'!BN41</x:f>
        <x:v>0</x:v>
      </x:c>
      <x:c r="W45" s="106" t="str">
        <x:f>'Raw Data'!BR41</x:f>
        <x:v>0</x:v>
      </x:c>
      <x:c r="X45" s="106" t="str">
        <x:f>'Raw Data'!BZ41</x:f>
        <x:v>0</x:v>
      </x:c>
      <x:c r="Y45" s="106" t="str">
        <x:f>'Raw Data'!CC41</x:f>
        <x:v>134</x:v>
      </x:c>
      <x:c r="Z45" s="110" t="str">
        <x:f>'Raw Data'!CD41</x:f>
        <x:v>27.992120600072667</x:v>
      </x:c>
      <x:c r="AA45" s="106" t="n">
        <x:f>Y45-Q45</x:f>
        <x:v>-8</x:v>
      </x:c>
      <x:c r="AB45" s="108" t="n">
        <x:f>IFERROR(Z45/R45,"")</x:f>
        <x:v>0.8075864177394595</x:v>
      </x:c>
      <x:c r="AC45" s="106" t="str">
        <x:f>'Raw Data'!CS41</x:f>
        <x:v>collision</x:v>
      </x:c>
      <x:c r="AD45" s="106" t="str">
        <x:f>'Raw Data'!CT41</x:f>
        <x:v>collision</x:v>
      </x:c>
      <x:c r="AE45" s="106" t="str">
        <x:f>'Raw Data'!CU41</x:f>
        <x:v>collision_dominates</x:v>
      </x:c>
      <x:c r="AF45" s="106" t="str">
        <x:f>'Raw Data'!CV41</x:f>
        <x:v>neither</x:v>
      </x:c>
      <x:c r="AG45" s="106" t="str">
        <x:f>'Raw Data'!CW41</x:f>
        <x:v>both_valid</x:v>
      </x:c>
      <x:c r="AH45" s="106" t="str">
        <x:f>'Raw Data'!CX41</x:f>
        <x:v>none</x:v>
      </x:c>
      <x:c r="AI45" s="106" t="str">
        <x:f>'Raw Data'!CY41</x:f>
        <x:v>none</x:v>
      </x:c>
    </x:row>
    <x:row r="46">
      <x:c r="A46" s="106" t="str">
        <x:f>'Raw Data'!E42</x:f>
        <x:v>n1000_r0.5_repeat3</x:v>
      </x:c>
      <x:c r="B46" s="106" t="str">
        <x:f>'Raw Data'!F42</x:f>
        <x:v>1000</x:v>
      </x:c>
      <x:c r="C46" s="106" t="str">
        <x:f>'Raw Data'!G42</x:f>
        <x:v>0.5</x:v>
      </x:c>
      <x:c r="D46" s="106" t="str">
        <x:f>'Raw Data'!H42</x:f>
        <x:v>3</x:v>
      </x:c>
      <x:c r="E46" s="106" t="str">
        <x:f>'Raw Data'!N42</x:f>
        <x:v>True</x:v>
      </x:c>
      <x:c r="F46" s="106" t="str">
        <x:f>'Raw Data'!L42</x:f>
        <x:v>1</x:v>
      </x:c>
      <x:c r="G46" s="128" t="str">
        <x:f>'Raw Data'!P42</x:f>
        <x:v>476.214</x:v>
      </x:c>
      <x:c r="H46" s="110" t="str">
        <x:f>'Raw Data'!T42</x:f>
        <x:v>0.4766906906906907</x:v>
      </x:c>
      <x:c r="I46" s="106" t="str">
        <x:f>'Raw Data'!Z42</x:f>
        <x:v>grid</x:v>
      </x:c>
      <x:c r="J46" s="106" t="str">
        <x:f>'Raw Data'!AE42</x:f>
        <x:v>entropy,collision</x:v>
      </x:c>
      <x:c r="K46" s="106" t="str">
        <x:f>'Raw Data'!AI42</x:f>
        <x:v>True</x:v>
      </x:c>
      <x:c r="L46" s="106" t="str">
        <x:f>'Raw Data'!AG42</x:f>
        <x:v>146</x:v>
      </x:c>
      <x:c r="M46" s="106" t="str">
        <x:f>'Raw Data'!AK42</x:f>
        <x:v>0</x:v>
      </x:c>
      <x:c r="N46" s="106" t="str">
        <x:f>'Raw Data'!AL42</x:f>
        <x:v>0</x:v>
      </x:c>
      <x:c r="O46" s="106" t="str">
        <x:f>'Raw Data'!AP42</x:f>
        <x:v>0</x:v>
      </x:c>
      <x:c r="P46" s="106" t="str">
        <x:f>'Raw Data'!AX42</x:f>
        <x:v>0</x:v>
      </x:c>
      <x:c r="Q46" s="106" t="str">
        <x:f>'Raw Data'!BA42</x:f>
        <x:v>146</x:v>
      </x:c>
      <x:c r="R46" s="110" t="str">
        <x:f>'Raw Data'!BB42</x:f>
        <x:v>170.63591599988285</x:v>
      </x:c>
      <x:c r="S46" s="106" t="str">
        <x:f>'Raw Data'!BK42</x:f>
        <x:v>True</x:v>
      </x:c>
      <x:c r="T46" s="106" t="str">
        <x:f>'Raw Data'!BI42</x:f>
        <x:v>119</x:v>
      </x:c>
      <x:c r="U46" s="106" t="str">
        <x:f>'Raw Data'!BM42</x:f>
        <x:v>0</x:v>
      </x:c>
      <x:c r="V46" s="106" t="str">
        <x:f>'Raw Data'!BN42</x:f>
        <x:v>0</x:v>
      </x:c>
      <x:c r="W46" s="106" t="str">
        <x:f>'Raw Data'!BR42</x:f>
        <x:v>0</x:v>
      </x:c>
      <x:c r="X46" s="106" t="str">
        <x:f>'Raw Data'!BZ42</x:f>
        <x:v>0</x:v>
      </x:c>
      <x:c r="Y46" s="106" t="str">
        <x:f>'Raw Data'!CC42</x:f>
        <x:v>119</x:v>
      </x:c>
      <x:c r="Z46" s="110" t="str">
        <x:f>'Raw Data'!CD42</x:f>
        <x:v>75.12426890002098</x:v>
      </x:c>
      <x:c r="AA46" s="106" t="n">
        <x:f>Y46-Q46</x:f>
        <x:v>-27</x:v>
      </x:c>
      <x:c r="AB46" s="108" t="n">
        <x:f>IFERROR(Z46/R46,"")</x:f>
        <x:v>0.44026058910172555</x:v>
      </x:c>
      <x:c r="AC46" s="106" t="str">
        <x:f>'Raw Data'!CS42</x:f>
        <x:v>collision</x:v>
      </x:c>
      <x:c r="AD46" s="106" t="str">
        <x:f>'Raw Data'!CT42</x:f>
        <x:v>collision</x:v>
      </x:c>
      <x:c r="AE46" s="106" t="str">
        <x:f>'Raw Data'!CU42</x:f>
        <x:v>collision_dominates</x:v>
      </x:c>
      <x:c r="AF46" s="106" t="str">
        <x:f>'Raw Data'!CV42</x:f>
        <x:v>neither</x:v>
      </x:c>
      <x:c r="AG46" s="106" t="str">
        <x:f>'Raw Data'!CW42</x:f>
        <x:v>both_valid</x:v>
      </x:c>
      <x:c r="AH46" s="106" t="str">
        <x:f>'Raw Data'!CX42</x:f>
        <x:v>none</x:v>
      </x:c>
      <x:c r="AI46" s="106" t="str">
        <x:f>'Raw Data'!CY42</x:f>
        <x:v>collision_at_least_2x_faster</x:v>
      </x:c>
    </x:row>
    <x:row r="47">
      <x:c r="A47" s="106" t="str">
        <x:f>'Raw Data'!E43</x:f>
        <x:v>n1000_r0.5_repeat3</x:v>
      </x:c>
      <x:c r="B47" s="106" t="str">
        <x:f>'Raw Data'!F43</x:f>
        <x:v>1000</x:v>
      </x:c>
      <x:c r="C47" s="106" t="str">
        <x:f>'Raw Data'!G43</x:f>
        <x:v>0.5</x:v>
      </x:c>
      <x:c r="D47" s="106" t="str">
        <x:f>'Raw Data'!H43</x:f>
        <x:v>3</x:v>
      </x:c>
      <x:c r="E47" s="106" t="str">
        <x:f>'Raw Data'!N43</x:f>
        <x:v>True</x:v>
      </x:c>
      <x:c r="F47" s="106" t="str">
        <x:f>'Raw Data'!L43</x:f>
        <x:v>1</x:v>
      </x:c>
      <x:c r="G47" s="128" t="str">
        <x:f>'Raw Data'!P43</x:f>
        <x:v>476.214</x:v>
      </x:c>
      <x:c r="H47" s="110" t="str">
        <x:f>'Raw Data'!T43</x:f>
        <x:v>0.4766906906906907</x:v>
      </x:c>
      <x:c r="I47" s="106" t="str">
        <x:f>'Raw Data'!Z43</x:f>
        <x:v>circle</x:v>
      </x:c>
      <x:c r="J47" s="106" t="str">
        <x:f>'Raw Data'!AE43</x:f>
        <x:v>entropy,collision</x:v>
      </x:c>
      <x:c r="K47" s="106" t="str">
        <x:f>'Raw Data'!AI43</x:f>
        <x:v>True</x:v>
      </x:c>
      <x:c r="L47" s="106" t="str">
        <x:f>'Raw Data'!AG43</x:f>
        <x:v>137</x:v>
      </x:c>
      <x:c r="M47" s="106" t="str">
        <x:f>'Raw Data'!AK43</x:f>
        <x:v>0</x:v>
      </x:c>
      <x:c r="N47" s="106" t="str">
        <x:f>'Raw Data'!AL43</x:f>
        <x:v>0</x:v>
      </x:c>
      <x:c r="O47" s="106" t="str">
        <x:f>'Raw Data'!AP43</x:f>
        <x:v>0</x:v>
      </x:c>
      <x:c r="P47" s="106" t="str">
        <x:f>'Raw Data'!AX43</x:f>
        <x:v>0</x:v>
      </x:c>
      <x:c r="Q47" s="106" t="str">
        <x:f>'Raw Data'!BA43</x:f>
        <x:v>137</x:v>
      </x:c>
      <x:c r="R47" s="110" t="str">
        <x:f>'Raw Data'!BB43</x:f>
        <x:v>30.699214199907146</x:v>
      </x:c>
      <x:c r="S47" s="106" t="str">
        <x:f>'Raw Data'!BK43</x:f>
        <x:v>True</x:v>
      </x:c>
      <x:c r="T47" s="106" t="str">
        <x:f>'Raw Data'!BI43</x:f>
        <x:v>137</x:v>
      </x:c>
      <x:c r="U47" s="106" t="str">
        <x:f>'Raw Data'!BM43</x:f>
        <x:v>0</x:v>
      </x:c>
      <x:c r="V47" s="106" t="str">
        <x:f>'Raw Data'!BN43</x:f>
        <x:v>0</x:v>
      </x:c>
      <x:c r="W47" s="106" t="str">
        <x:f>'Raw Data'!BR43</x:f>
        <x:v>0</x:v>
      </x:c>
      <x:c r="X47" s="106" t="str">
        <x:f>'Raw Data'!BZ43</x:f>
        <x:v>0</x:v>
      </x:c>
      <x:c r="Y47" s="106" t="str">
        <x:f>'Raw Data'!CC43</x:f>
        <x:v>137</x:v>
      </x:c>
      <x:c r="Z47" s="110" t="str">
        <x:f>'Raw Data'!CD43</x:f>
        <x:v>26.68819750007242</x:v>
      </x:c>
      <x:c r="AA47" s="106" t="n">
        <x:f>Y47-Q47</x:f>
        <x:v>0</x:v>
      </x:c>
      <x:c r="AB47" s="108" t="n">
        <x:f>IFERROR(Z47/R47,"")</x:f>
        <x:v>0.8693446459666431</x:v>
      </x:c>
      <x:c r="AC47" s="106" t="str">
        <x:f>'Raw Data'!CS43</x:f>
        <x:v>tie</x:v>
      </x:c>
      <x:c r="AD47" s="106" t="str">
        <x:f>'Raw Data'!CT43</x:f>
        <x:v>collision</x:v>
      </x:c>
      <x:c r="AE47" s="106" t="str">
        <x:f>'Raw Data'!CU43</x:f>
        <x:v>collision_dominates</x:v>
      </x:c>
      <x:c r="AF47" s="106" t="str">
        <x:f>'Raw Data'!CV43</x:f>
        <x:v>neither</x:v>
      </x:c>
      <x:c r="AG47" s="106" t="str">
        <x:f>'Raw Data'!CW43</x:f>
        <x:v>both_valid</x:v>
      </x:c>
      <x:c r="AH47" s="106" t="str">
        <x:f>'Raw Data'!CX43</x:f>
        <x:v>none</x:v>
      </x:c>
      <x:c r="AI47" s="106" t="str">
        <x:f>'Raw Data'!CY43</x:f>
        <x:v>none</x:v>
      </x:c>
    </x:row>
    <x:row r="48">
      <x:c r="A48" s="106" t="str">
        <x:f>'Raw Data'!E44</x:f>
        <x:v>n1000_r0.5_repeat3</x:v>
      </x:c>
      <x:c r="B48" s="106" t="str">
        <x:f>'Raw Data'!F44</x:f>
        <x:v>1000</x:v>
      </x:c>
      <x:c r="C48" s="106" t="str">
        <x:f>'Raw Data'!G44</x:f>
        <x:v>0.5</x:v>
      </x:c>
      <x:c r="D48" s="106" t="str">
        <x:f>'Raw Data'!H44</x:f>
        <x:v>3</x:v>
      </x:c>
      <x:c r="E48" s="106" t="str">
        <x:f>'Raw Data'!N44</x:f>
        <x:v>True</x:v>
      </x:c>
      <x:c r="F48" s="106" t="str">
        <x:f>'Raw Data'!L44</x:f>
        <x:v>1</x:v>
      </x:c>
      <x:c r="G48" s="128" t="str">
        <x:f>'Raw Data'!P44</x:f>
        <x:v>476.214</x:v>
      </x:c>
      <x:c r="H48" s="110" t="str">
        <x:f>'Raw Data'!T44</x:f>
        <x:v>0.4766906906906907</x:v>
      </x:c>
      <x:c r="I48" s="106" t="str">
        <x:f>'Raw Data'!Z44</x:f>
        <x:v>zoomed</x:v>
      </x:c>
      <x:c r="J48" s="106" t="str">
        <x:f>'Raw Data'!AE44</x:f>
        <x:v>entropy,collision</x:v>
      </x:c>
      <x:c r="K48" s="106" t="str">
        <x:f>'Raw Data'!AI44</x:f>
        <x:v>True</x:v>
      </x:c>
      <x:c r="L48" s="106" t="str">
        <x:f>'Raw Data'!AG44</x:f>
        <x:v>143</x:v>
      </x:c>
      <x:c r="M48" s="106" t="str">
        <x:f>'Raw Data'!AK44</x:f>
        <x:v>0</x:v>
      </x:c>
      <x:c r="N48" s="106" t="str">
        <x:f>'Raw Data'!AL44</x:f>
        <x:v>0</x:v>
      </x:c>
      <x:c r="O48" s="106" t="str">
        <x:f>'Raw Data'!AP44</x:f>
        <x:v>0</x:v>
      </x:c>
      <x:c r="P48" s="106" t="str">
        <x:f>'Raw Data'!AX44</x:f>
        <x:v>0</x:v>
      </x:c>
      <x:c r="Q48" s="106" t="str">
        <x:f>'Raw Data'!BA44</x:f>
        <x:v>143</x:v>
      </x:c>
      <x:c r="R48" s="110" t="str">
        <x:f>'Raw Data'!BB44</x:f>
        <x:v>53.27292939997278</x:v>
      </x:c>
      <x:c r="S48" s="106" t="str">
        <x:f>'Raw Data'!BK44</x:f>
        <x:v>True</x:v>
      </x:c>
      <x:c r="T48" s="106" t="str">
        <x:f>'Raw Data'!BI44</x:f>
        <x:v>139</x:v>
      </x:c>
      <x:c r="U48" s="106" t="str">
        <x:f>'Raw Data'!BM44</x:f>
        <x:v>0</x:v>
      </x:c>
      <x:c r="V48" s="106" t="str">
        <x:f>'Raw Data'!BN44</x:f>
        <x:v>0</x:v>
      </x:c>
      <x:c r="W48" s="106" t="str">
        <x:f>'Raw Data'!BR44</x:f>
        <x:v>0</x:v>
      </x:c>
      <x:c r="X48" s="106" t="str">
        <x:f>'Raw Data'!BZ44</x:f>
        <x:v>0</x:v>
      </x:c>
      <x:c r="Y48" s="106" t="str">
        <x:f>'Raw Data'!CC44</x:f>
        <x:v>139</x:v>
      </x:c>
      <x:c r="Z48" s="110" t="str">
        <x:f>'Raw Data'!CD44</x:f>
        <x:v>31.172260399907827</x:v>
      </x:c>
      <x:c r="AA48" s="106" t="n">
        <x:f>Y48-Q48</x:f>
        <x:v>-4</x:v>
      </x:c>
      <x:c r="AB48" s="108" t="n">
        <x:f>IFERROR(Z48/R48,"")</x:f>
        <x:v>0.5851425996469373</x:v>
      </x:c>
      <x:c r="AC48" s="106" t="str">
        <x:f>'Raw Data'!CS44</x:f>
        <x:v>collision</x:v>
      </x:c>
      <x:c r="AD48" s="106" t="str">
        <x:f>'Raw Data'!CT44</x:f>
        <x:v>collision</x:v>
      </x:c>
      <x:c r="AE48" s="106" t="str">
        <x:f>'Raw Data'!CU44</x:f>
        <x:v>collision_dominates</x:v>
      </x:c>
      <x:c r="AF48" s="106" t="str">
        <x:f>'Raw Data'!CV44</x:f>
        <x:v>neither</x:v>
      </x:c>
      <x:c r="AG48" s="106" t="str">
        <x:f>'Raw Data'!CW44</x:f>
        <x:v>both_valid</x:v>
      </x:c>
      <x:c r="AH48" s="106" t="str">
        <x:f>'Raw Data'!CX44</x:f>
        <x:v>none</x:v>
      </x:c>
      <x:c r="AI48" s="106" t="str">
        <x:f>'Raw Data'!CY44</x:f>
        <x:v>none</x:v>
      </x:c>
    </x:row>
    <x:row r="49">
      <x:c r="A49" s="106" t="str">
        <x:f>'Raw Data'!E45</x:f>
        <x:v>n1000_r0.5_repeat3</x:v>
      </x:c>
      <x:c r="B49" s="106" t="str">
        <x:f>'Raw Data'!F45</x:f>
        <x:v>1000</x:v>
      </x:c>
      <x:c r="C49" s="106" t="str">
        <x:f>'Raw Data'!G45</x:f>
        <x:v>0.5</x:v>
      </x:c>
      <x:c r="D49" s="106" t="str">
        <x:f>'Raw Data'!H45</x:f>
        <x:v>3</x:v>
      </x:c>
      <x:c r="E49" s="106" t="str">
        <x:f>'Raw Data'!N45</x:f>
        <x:v>True</x:v>
      </x:c>
      <x:c r="F49" s="106" t="str">
        <x:f>'Raw Data'!L45</x:f>
        <x:v>1</x:v>
      </x:c>
      <x:c r="G49" s="128" t="str">
        <x:f>'Raw Data'!P45</x:f>
        <x:v>476.214</x:v>
      </x:c>
      <x:c r="H49" s="110" t="str">
        <x:f>'Raw Data'!T45</x:f>
        <x:v>0.4766906906906907</x:v>
      </x:c>
      <x:c r="I49" s="106" t="str">
        <x:f>'Raw Data'!Z45</x:f>
        <x:v>ich</x:v>
      </x:c>
      <x:c r="J49" s="106" t="str">
        <x:f>'Raw Data'!AE45</x:f>
        <x:v>entropy,collision</x:v>
      </x:c>
      <x:c r="K49" s="106" t="str">
        <x:f>'Raw Data'!AI45</x:f>
        <x:v>True</x:v>
      </x:c>
      <x:c r="L49" s="106" t="str">
        <x:f>'Raw Data'!AG45</x:f>
        <x:v>119</x:v>
      </x:c>
      <x:c r="M49" s="106" t="str">
        <x:f>'Raw Data'!AK45</x:f>
        <x:v>0</x:v>
      </x:c>
      <x:c r="N49" s="106" t="str">
        <x:f>'Raw Data'!AL45</x:f>
        <x:v>0</x:v>
      </x:c>
      <x:c r="O49" s="106" t="str">
        <x:f>'Raw Data'!AP45</x:f>
        <x:v>0</x:v>
      </x:c>
      <x:c r="P49" s="106" t="str">
        <x:f>'Raw Data'!AX45</x:f>
        <x:v>2</x:v>
      </x:c>
      <x:c r="Q49" s="106" t="str">
        <x:f>'Raw Data'!BA45</x:f>
        <x:v>117</x:v>
      </x:c>
      <x:c r="R49" s="110" t="str">
        <x:f>'Raw Data'!BB45</x:f>
        <x:v>198.64322790002916</x:v>
      </x:c>
      <x:c r="S49" s="106" t="str">
        <x:f>'Raw Data'!BK45</x:f>
        <x:v>True</x:v>
      </x:c>
      <x:c r="T49" s="106" t="str">
        <x:f>'Raw Data'!BI45</x:f>
        <x:v>126</x:v>
      </x:c>
      <x:c r="U49" s="106" t="str">
        <x:f>'Raw Data'!BM45</x:f>
        <x:v>0</x:v>
      </x:c>
      <x:c r="V49" s="106" t="str">
        <x:f>'Raw Data'!BN45</x:f>
        <x:v>0</x:v>
      </x:c>
      <x:c r="W49" s="106" t="str">
        <x:f>'Raw Data'!BR45</x:f>
        <x:v>0</x:v>
      </x:c>
      <x:c r="X49" s="106" t="str">
        <x:f>'Raw Data'!BZ45</x:f>
        <x:v>5</x:v>
      </x:c>
      <x:c r="Y49" s="106" t="str">
        <x:f>'Raw Data'!CC45</x:f>
        <x:v>121</x:v>
      </x:c>
      <x:c r="Z49" s="110" t="str">
        <x:f>'Raw Data'!CD45</x:f>
        <x:v>223.63320219982415</x:v>
      </x:c>
      <x:c r="AA49" s="106" t="n">
        <x:f>Y49-Q49</x:f>
        <x:v>4</x:v>
      </x:c>
      <x:c r="AB49" s="108" t="n">
        <x:f>IFERROR(Z49/R49,"")</x:f>
        <x:v>1.125803303560752</x:v>
      </x:c>
      <x:c r="AC49" s="106" t="str">
        <x:f>'Raw Data'!CS45</x:f>
        <x:v>entropy</x:v>
      </x:c>
      <x:c r="AD49" s="106" t="str">
        <x:f>'Raw Data'!CT45</x:f>
        <x:v>entropy</x:v>
      </x:c>
      <x:c r="AE49" s="106" t="str">
        <x:f>'Raw Data'!CU45</x:f>
        <x:v>entropy_dominates</x:v>
      </x:c>
      <x:c r="AF49" s="106" t="str">
        <x:f>'Raw Data'!CV45</x:f>
        <x:v>neither</x:v>
      </x:c>
      <x:c r="AG49" s="106" t="str">
        <x:f>'Raw Data'!CW45</x:f>
        <x:v>both_valid</x:v>
      </x:c>
      <x:c r="AH49" s="106" t="str">
        <x:f>'Raw Data'!CX45</x:f>
        <x:v>none</x:v>
      </x:c>
      <x:c r="AI49" s="106" t="str">
        <x:f>'Raw Data'!CY45</x:f>
        <x:v>none</x:v>
      </x:c>
    </x:row>
    <x:row r="50">
      <x:c r="A50" s="106" t="str">
        <x:f>'Raw Data'!E46</x:f>
        <x:v>n1000_r0.5_repeat4</x:v>
      </x:c>
      <x:c r="B50" s="106" t="str">
        <x:f>'Raw Data'!F46</x:f>
        <x:v>1000</x:v>
      </x:c>
      <x:c r="C50" s="106" t="str">
        <x:f>'Raw Data'!G46</x:f>
        <x:v>0.5</x:v>
      </x:c>
      <x:c r="D50" s="106" t="str">
        <x:f>'Raw Data'!H46</x:f>
        <x:v>4</x:v>
      </x:c>
      <x:c r="E50" s="106" t="str">
        <x:f>'Raw Data'!N46</x:f>
        <x:v>True</x:v>
      </x:c>
      <x:c r="F50" s="106" t="str">
        <x:f>'Raw Data'!L46</x:f>
        <x:v>1</x:v>
      </x:c>
      <x:c r="G50" s="128" t="str">
        <x:f>'Raw Data'!P46</x:f>
        <x:v>473.522</x:v>
      </x:c>
      <x:c r="H50" s="110" t="str">
        <x:f>'Raw Data'!T46</x:f>
        <x:v>0.473995995995996</x:v>
      </x:c>
      <x:c r="I50" s="106" t="str">
        <x:f>'Raw Data'!Z46</x:f>
        <x:v>circle</x:v>
      </x:c>
      <x:c r="J50" s="106" t="str">
        <x:f>'Raw Data'!AE46</x:f>
        <x:v>collision,entropy</x:v>
      </x:c>
      <x:c r="K50" s="106" t="str">
        <x:f>'Raw Data'!AI46</x:f>
        <x:v>True</x:v>
      </x:c>
      <x:c r="L50" s="106" t="str">
        <x:f>'Raw Data'!AG46</x:f>
        <x:v>142</x:v>
      </x:c>
      <x:c r="M50" s="106" t="str">
        <x:f>'Raw Data'!AK46</x:f>
        <x:v>0</x:v>
      </x:c>
      <x:c r="N50" s="106" t="str">
        <x:f>'Raw Data'!AL46</x:f>
        <x:v>0</x:v>
      </x:c>
      <x:c r="O50" s="106" t="str">
        <x:f>'Raw Data'!AP46</x:f>
        <x:v>0</x:v>
      </x:c>
      <x:c r="P50" s="106" t="str">
        <x:f>'Raw Data'!AX46</x:f>
        <x:v>0</x:v>
      </x:c>
      <x:c r="Q50" s="106" t="str">
        <x:f>'Raw Data'!BA46</x:f>
        <x:v>142</x:v>
      </x:c>
      <x:c r="R50" s="110" t="str">
        <x:f>'Raw Data'!BB46</x:f>
        <x:v>94.62278109998442</x:v>
      </x:c>
      <x:c r="S50" s="106" t="str">
        <x:f>'Raw Data'!BK46</x:f>
        <x:v>True</x:v>
      </x:c>
      <x:c r="T50" s="106" t="str">
        <x:f>'Raw Data'!BI46</x:f>
        <x:v>143</x:v>
      </x:c>
      <x:c r="U50" s="106" t="str">
        <x:f>'Raw Data'!BM46</x:f>
        <x:v>0</x:v>
      </x:c>
      <x:c r="V50" s="106" t="str">
        <x:f>'Raw Data'!BN46</x:f>
        <x:v>0</x:v>
      </x:c>
      <x:c r="W50" s="106" t="str">
        <x:f>'Raw Data'!BR46</x:f>
        <x:v>0</x:v>
      </x:c>
      <x:c r="X50" s="106" t="str">
        <x:f>'Raw Data'!BZ46</x:f>
        <x:v>0</x:v>
      </x:c>
      <x:c r="Y50" s="106" t="str">
        <x:f>'Raw Data'!CC46</x:f>
        <x:v>143</x:v>
      </x:c>
      <x:c r="Z50" s="110" t="str">
        <x:f>'Raw Data'!CD46</x:f>
        <x:v>84.69905000017025</x:v>
      </x:c>
      <x:c r="AA50" s="106" t="n">
        <x:f>Y50-Q50</x:f>
        <x:v>1</x:v>
      </x:c>
      <x:c r="AB50" s="108" t="n">
        <x:f>IFERROR(Z50/R50,"")</x:f>
        <x:v>0.8951232358164559</x:v>
      </x:c>
      <x:c r="AC50" s="106" t="str">
        <x:f>'Raw Data'!CS46</x:f>
        <x:v>entropy</x:v>
      </x:c>
      <x:c r="AD50" s="106" t="str">
        <x:f>'Raw Data'!CT46</x:f>
        <x:v>collision</x:v>
      </x:c>
      <x:c r="AE50" s="106" t="str">
        <x:f>'Raw Data'!CU46</x:f>
        <x:v>tradeoff</x:v>
      </x:c>
      <x:c r="AF50" s="106" t="str">
        <x:f>'Raw Data'!CV46</x:f>
        <x:v>neither</x:v>
      </x:c>
      <x:c r="AG50" s="106" t="str">
        <x:f>'Raw Data'!CW46</x:f>
        <x:v>both_valid</x:v>
      </x:c>
      <x:c r="AH50" s="106" t="str">
        <x:f>'Raw Data'!CX46</x:f>
        <x:v>none</x:v>
      </x:c>
      <x:c r="AI50" s="106" t="str">
        <x:f>'Raw Data'!CY46</x:f>
        <x:v>none</x:v>
      </x:c>
    </x:row>
    <x:row r="51">
      <x:c r="A51" s="106" t="str">
        <x:f>'Raw Data'!E47</x:f>
        <x:v>n1000_r0.5_repeat4</x:v>
      </x:c>
      <x:c r="B51" s="106" t="str">
        <x:f>'Raw Data'!F47</x:f>
        <x:v>1000</x:v>
      </x:c>
      <x:c r="C51" s="106" t="str">
        <x:f>'Raw Data'!G47</x:f>
        <x:v>0.5</x:v>
      </x:c>
      <x:c r="D51" s="106" t="str">
        <x:f>'Raw Data'!H47</x:f>
        <x:v>4</x:v>
      </x:c>
      <x:c r="E51" s="106" t="str">
        <x:f>'Raw Data'!N47</x:f>
        <x:v>True</x:v>
      </x:c>
      <x:c r="F51" s="106" t="str">
        <x:f>'Raw Data'!L47</x:f>
        <x:v>1</x:v>
      </x:c>
      <x:c r="G51" s="128" t="str">
        <x:f>'Raw Data'!P47</x:f>
        <x:v>473.522</x:v>
      </x:c>
      <x:c r="H51" s="110" t="str">
        <x:f>'Raw Data'!T47</x:f>
        <x:v>0.473995995995996</x:v>
      </x:c>
      <x:c r="I51" s="106" t="str">
        <x:f>'Raw Data'!Z47</x:f>
        <x:v>zoomed</x:v>
      </x:c>
      <x:c r="J51" s="106" t="str">
        <x:f>'Raw Data'!AE47</x:f>
        <x:v>collision,entropy</x:v>
      </x:c>
      <x:c r="K51" s="106" t="str">
        <x:f>'Raw Data'!AI47</x:f>
        <x:v>True</x:v>
      </x:c>
      <x:c r="L51" s="106" t="str">
        <x:f>'Raw Data'!AG47</x:f>
        <x:v>152</x:v>
      </x:c>
      <x:c r="M51" s="106" t="str">
        <x:f>'Raw Data'!AK47</x:f>
        <x:v>0</x:v>
      </x:c>
      <x:c r="N51" s="106" t="str">
        <x:f>'Raw Data'!AL47</x:f>
        <x:v>0</x:v>
      </x:c>
      <x:c r="O51" s="106" t="str">
        <x:f>'Raw Data'!AP47</x:f>
        <x:v>0</x:v>
      </x:c>
      <x:c r="P51" s="106" t="str">
        <x:f>'Raw Data'!AX47</x:f>
        <x:v>0</x:v>
      </x:c>
      <x:c r="Q51" s="106" t="str">
        <x:f>'Raw Data'!BA47</x:f>
        <x:v>152</x:v>
      </x:c>
      <x:c r="R51" s="110" t="str">
        <x:f>'Raw Data'!BB47</x:f>
        <x:v>30.271045199944638</x:v>
      </x:c>
      <x:c r="S51" s="106" t="str">
        <x:f>'Raw Data'!BK47</x:f>
        <x:v>True</x:v>
      </x:c>
      <x:c r="T51" s="106" t="str">
        <x:f>'Raw Data'!BI47</x:f>
        <x:v>151</x:v>
      </x:c>
      <x:c r="U51" s="106" t="str">
        <x:f>'Raw Data'!BM47</x:f>
        <x:v>0</x:v>
      </x:c>
      <x:c r="V51" s="106" t="str">
        <x:f>'Raw Data'!BN47</x:f>
        <x:v>0</x:v>
      </x:c>
      <x:c r="W51" s="106" t="str">
        <x:f>'Raw Data'!BR47</x:f>
        <x:v>0</x:v>
      </x:c>
      <x:c r="X51" s="106" t="str">
        <x:f>'Raw Data'!BZ47</x:f>
        <x:v>0</x:v>
      </x:c>
      <x:c r="Y51" s="106" t="str">
        <x:f>'Raw Data'!CC47</x:f>
        <x:v>151</x:v>
      </x:c>
      <x:c r="Z51" s="110" t="str">
        <x:f>'Raw Data'!CD47</x:f>
        <x:v>29.5152615000261</x:v>
      </x:c>
      <x:c r="AA51" s="106" t="n">
        <x:f>Y51-Q51</x:f>
        <x:v>-1</x:v>
      </x:c>
      <x:c r="AB51" s="108" t="n">
        <x:f>IFERROR(Z51/R51,"")</x:f>
        <x:v>0.9750327847972715</x:v>
      </x:c>
      <x:c r="AC51" s="106" t="str">
        <x:f>'Raw Data'!CS47</x:f>
        <x:v>collision</x:v>
      </x:c>
      <x:c r="AD51" s="106" t="str">
        <x:f>'Raw Data'!CT47</x:f>
        <x:v>collision</x:v>
      </x:c>
      <x:c r="AE51" s="106" t="str">
        <x:f>'Raw Data'!CU47</x:f>
        <x:v>collision_dominates</x:v>
      </x:c>
      <x:c r="AF51" s="106" t="str">
        <x:f>'Raw Data'!CV47</x:f>
        <x:v>neither</x:v>
      </x:c>
      <x:c r="AG51" s="106" t="str">
        <x:f>'Raw Data'!CW47</x:f>
        <x:v>both_valid</x:v>
      </x:c>
      <x:c r="AH51" s="106" t="str">
        <x:f>'Raw Data'!CX47</x:f>
        <x:v>none</x:v>
      </x:c>
      <x:c r="AI51" s="106" t="str">
        <x:f>'Raw Data'!CY47</x:f>
        <x:v>none</x:v>
      </x:c>
    </x:row>
    <x:row r="52">
      <x:c r="A52" s="106" t="str">
        <x:f>'Raw Data'!E48</x:f>
        <x:v>n1000_r0.5_repeat4</x:v>
      </x:c>
      <x:c r="B52" s="106" t="str">
        <x:f>'Raw Data'!F48</x:f>
        <x:v>1000</x:v>
      </x:c>
      <x:c r="C52" s="106" t="str">
        <x:f>'Raw Data'!G48</x:f>
        <x:v>0.5</x:v>
      </x:c>
      <x:c r="D52" s="106" t="str">
        <x:f>'Raw Data'!H48</x:f>
        <x:v>4</x:v>
      </x:c>
      <x:c r="E52" s="106" t="str">
        <x:f>'Raw Data'!N48</x:f>
        <x:v>True</x:v>
      </x:c>
      <x:c r="F52" s="106" t="str">
        <x:f>'Raw Data'!L48</x:f>
        <x:v>1</x:v>
      </x:c>
      <x:c r="G52" s="128" t="str">
        <x:f>'Raw Data'!P48</x:f>
        <x:v>473.522</x:v>
      </x:c>
      <x:c r="H52" s="110" t="str">
        <x:f>'Raw Data'!T48</x:f>
        <x:v>0.473995995995996</x:v>
      </x:c>
      <x:c r="I52" s="106" t="str">
        <x:f>'Raw Data'!Z48</x:f>
        <x:v>ich</x:v>
      </x:c>
      <x:c r="J52" s="106" t="str">
        <x:f>'Raw Data'!AE48</x:f>
        <x:v>collision,entropy</x:v>
      </x:c>
      <x:c r="K52" s="106" t="str">
        <x:f>'Raw Data'!AI48</x:f>
        <x:v>True</x:v>
      </x:c>
      <x:c r="L52" s="106" t="str">
        <x:f>'Raw Data'!AG48</x:f>
        <x:v>121</x:v>
      </x:c>
      <x:c r="M52" s="106" t="str">
        <x:f>'Raw Data'!AK48</x:f>
        <x:v>0</x:v>
      </x:c>
      <x:c r="N52" s="106" t="str">
        <x:f>'Raw Data'!AL48</x:f>
        <x:v>0</x:v>
      </x:c>
      <x:c r="O52" s="106" t="str">
        <x:f>'Raw Data'!AP48</x:f>
        <x:v>0</x:v>
      </x:c>
      <x:c r="P52" s="106" t="str">
        <x:f>'Raw Data'!AX48</x:f>
        <x:v>2</x:v>
      </x:c>
      <x:c r="Q52" s="106" t="str">
        <x:f>'Raw Data'!BA48</x:f>
        <x:v>119</x:v>
      </x:c>
      <x:c r="R52" s="110" t="str">
        <x:f>'Raw Data'!BB48</x:f>
        <x:v>228.19635560002644</x:v>
      </x:c>
      <x:c r="S52" s="106" t="str">
        <x:f>'Raw Data'!BK48</x:f>
        <x:v>True</x:v>
      </x:c>
      <x:c r="T52" s="106" t="str">
        <x:f>'Raw Data'!BI48</x:f>
        <x:v>124</x:v>
      </x:c>
      <x:c r="U52" s="106" t="str">
        <x:f>'Raw Data'!BM48</x:f>
        <x:v>0</x:v>
      </x:c>
      <x:c r="V52" s="106" t="str">
        <x:f>'Raw Data'!BN48</x:f>
        <x:v>0</x:v>
      </x:c>
      <x:c r="W52" s="106" t="str">
        <x:f>'Raw Data'!BR48</x:f>
        <x:v>0</x:v>
      </x:c>
      <x:c r="X52" s="106" t="str">
        <x:f>'Raw Data'!BZ48</x:f>
        <x:v>5</x:v>
      </x:c>
      <x:c r="Y52" s="106" t="str">
        <x:f>'Raw Data'!CC48</x:f>
        <x:v>119</x:v>
      </x:c>
      <x:c r="Z52" s="110" t="str">
        <x:f>'Raw Data'!CD48</x:f>
        <x:v>220.7447409001179</x:v>
      </x:c>
      <x:c r="AA52" s="106" t="n">
        <x:f>Y52-Q52</x:f>
        <x:v>0</x:v>
      </x:c>
      <x:c r="AB52" s="108" t="n">
        <x:f>IFERROR(Z52/R52,"")</x:f>
        <x:v>0.9673456016406791</x:v>
      </x:c>
      <x:c r="AC52" s="106" t="str">
        <x:f>'Raw Data'!CS48</x:f>
        <x:v>tie</x:v>
      </x:c>
      <x:c r="AD52" s="106" t="str">
        <x:f>'Raw Data'!CT48</x:f>
        <x:v>collision</x:v>
      </x:c>
      <x:c r="AE52" s="106" t="str">
        <x:f>'Raw Data'!CU48</x:f>
        <x:v>collision_dominates</x:v>
      </x:c>
      <x:c r="AF52" s="106" t="str">
        <x:f>'Raw Data'!CV48</x:f>
        <x:v>neither</x:v>
      </x:c>
      <x:c r="AG52" s="106" t="str">
        <x:f>'Raw Data'!CW48</x:f>
        <x:v>both_valid</x:v>
      </x:c>
      <x:c r="AH52" s="106" t="str">
        <x:f>'Raw Data'!CX48</x:f>
        <x:v>none</x:v>
      </x:c>
      <x:c r="AI52" s="106" t="str">
        <x:f>'Raw Data'!CY48</x:f>
        <x:v>none</x:v>
      </x:c>
    </x:row>
    <x:row r="53">
      <x:c r="A53" s="106" t="str">
        <x:f>'Raw Data'!E49</x:f>
        <x:v>n1000_r0.5_repeat4</x:v>
      </x:c>
      <x:c r="B53" s="106" t="str">
        <x:f>'Raw Data'!F49</x:f>
        <x:v>1000</x:v>
      </x:c>
      <x:c r="C53" s="106" t="str">
        <x:f>'Raw Data'!G49</x:f>
        <x:v>0.5</x:v>
      </x:c>
      <x:c r="D53" s="106" t="str">
        <x:f>'Raw Data'!H49</x:f>
        <x:v>4</x:v>
      </x:c>
      <x:c r="E53" s="106" t="str">
        <x:f>'Raw Data'!N49</x:f>
        <x:v>True</x:v>
      </x:c>
      <x:c r="F53" s="106" t="str">
        <x:f>'Raw Data'!L49</x:f>
        <x:v>1</x:v>
      </x:c>
      <x:c r="G53" s="128" t="str">
        <x:f>'Raw Data'!P49</x:f>
        <x:v>473.522</x:v>
      </x:c>
      <x:c r="H53" s="110" t="str">
        <x:f>'Raw Data'!T49</x:f>
        <x:v>0.473995995995996</x:v>
      </x:c>
      <x:c r="I53" s="106" t="str">
        <x:f>'Raw Data'!Z49</x:f>
        <x:v>grid</x:v>
      </x:c>
      <x:c r="J53" s="106" t="str">
        <x:f>'Raw Data'!AE49</x:f>
        <x:v>collision,entropy</x:v>
      </x:c>
      <x:c r="K53" s="106" t="str">
        <x:f>'Raw Data'!AI49</x:f>
        <x:v>True</x:v>
      </x:c>
      <x:c r="L53" s="106" t="str">
        <x:f>'Raw Data'!AG49</x:f>
        <x:v>142</x:v>
      </x:c>
      <x:c r="M53" s="106" t="str">
        <x:f>'Raw Data'!AK49</x:f>
        <x:v>0</x:v>
      </x:c>
      <x:c r="N53" s="106" t="str">
        <x:f>'Raw Data'!AL49</x:f>
        <x:v>0</x:v>
      </x:c>
      <x:c r="O53" s="106" t="str">
        <x:f>'Raw Data'!AP49</x:f>
        <x:v>0</x:v>
      </x:c>
      <x:c r="P53" s="106" t="str">
        <x:f>'Raw Data'!AX49</x:f>
        <x:v>0</x:v>
      </x:c>
      <x:c r="Q53" s="106" t="str">
        <x:f>'Raw Data'!BA49</x:f>
        <x:v>142</x:v>
      </x:c>
      <x:c r="R53" s="110" t="str">
        <x:f>'Raw Data'!BB49</x:f>
        <x:v>177.89206800004467</x:v>
      </x:c>
      <x:c r="S53" s="106" t="str">
        <x:f>'Raw Data'!BK49</x:f>
        <x:v>True</x:v>
      </x:c>
      <x:c r="T53" s="106" t="str">
        <x:f>'Raw Data'!BI49</x:f>
        <x:v>124</x:v>
      </x:c>
      <x:c r="U53" s="106" t="str">
        <x:f>'Raw Data'!BM49</x:f>
        <x:v>0</x:v>
      </x:c>
      <x:c r="V53" s="106" t="str">
        <x:f>'Raw Data'!BN49</x:f>
        <x:v>0</x:v>
      </x:c>
      <x:c r="W53" s="106" t="str">
        <x:f>'Raw Data'!BR49</x:f>
        <x:v>0</x:v>
      </x:c>
      <x:c r="X53" s="106" t="str">
        <x:f>'Raw Data'!BZ49</x:f>
        <x:v>0</x:v>
      </x:c>
      <x:c r="Y53" s="106" t="str">
        <x:f>'Raw Data'!CC49</x:f>
        <x:v>124</x:v>
      </x:c>
      <x:c r="Z53" s="110" t="str">
        <x:f>'Raw Data'!CD49</x:f>
        <x:v>77.99209469999187</x:v>
      </x:c>
      <x:c r="AA53" s="106" t="n">
        <x:f>Y53-Q53</x:f>
        <x:v>-18</x:v>
      </x:c>
      <x:c r="AB53" s="108" t="n">
        <x:f>IFERROR(Z53/R53,"")</x:f>
        <x:v>0.4384236777773154</x:v>
      </x:c>
      <x:c r="AC53" s="106" t="str">
        <x:f>'Raw Data'!CS49</x:f>
        <x:v>collision</x:v>
      </x:c>
      <x:c r="AD53" s="106" t="str">
        <x:f>'Raw Data'!CT49</x:f>
        <x:v>collision</x:v>
      </x:c>
      <x:c r="AE53" s="106" t="str">
        <x:f>'Raw Data'!CU49</x:f>
        <x:v>collision_dominates</x:v>
      </x:c>
      <x:c r="AF53" s="106" t="str">
        <x:f>'Raw Data'!CV49</x:f>
        <x:v>neither</x:v>
      </x:c>
      <x:c r="AG53" s="106" t="str">
        <x:f>'Raw Data'!CW49</x:f>
        <x:v>both_valid</x:v>
      </x:c>
      <x:c r="AH53" s="106" t="str">
        <x:f>'Raw Data'!CX49</x:f>
        <x:v>none</x:v>
      </x:c>
      <x:c r="AI53" s="106" t="str">
        <x:f>'Raw Data'!CY49</x:f>
        <x:v>collision_at_least_2x_faster</x:v>
      </x:c>
    </x:row>
    <x:row r="54">
      <x:c r="A54" s="106" t="str">
        <x:f>'Raw Data'!E50</x:f>
        <x:v>n1000_r0.7_repeat1</x:v>
      </x:c>
      <x:c r="B54" s="106" t="str">
        <x:f>'Raw Data'!F50</x:f>
        <x:v>1000</x:v>
      </x:c>
      <x:c r="C54" s="106" t="str">
        <x:f>'Raw Data'!G50</x:f>
        <x:v>0.7</x:v>
      </x:c>
      <x:c r="D54" s="106" t="str">
        <x:f>'Raw Data'!H50</x:f>
        <x:v>1</x:v>
      </x:c>
      <x:c r="E54" s="106" t="str">
        <x:f>'Raw Data'!N50</x:f>
        <x:v>True</x:v>
      </x:c>
      <x:c r="F54" s="106" t="str">
        <x:f>'Raw Data'!L50</x:f>
        <x:v>1</x:v>
      </x:c>
      <x:c r="G54" s="128" t="str">
        <x:f>'Raw Data'!P50</x:f>
        <x:v>740.778</x:v>
      </x:c>
      <x:c r="H54" s="110" t="str">
        <x:f>'Raw Data'!T50</x:f>
        <x:v>0.7415195195195196</x:v>
      </x:c>
      <x:c r="I54" s="106" t="str">
        <x:f>'Raw Data'!Z50</x:f>
        <x:v>ich</x:v>
      </x:c>
      <x:c r="J54" s="106" t="str">
        <x:f>'Raw Data'!AE50</x:f>
        <x:v>collision,entropy</x:v>
      </x:c>
      <x:c r="K54" s="106" t="str">
        <x:f>'Raw Data'!AI50</x:f>
        <x:v>True</x:v>
      </x:c>
      <x:c r="L54" s="106" t="str">
        <x:f>'Raw Data'!AG50</x:f>
        <x:v>168</x:v>
      </x:c>
      <x:c r="M54" s="106" t="str">
        <x:f>'Raw Data'!AK50</x:f>
        <x:v>0</x:v>
      </x:c>
      <x:c r="N54" s="106" t="str">
        <x:f>'Raw Data'!AL50</x:f>
        <x:v>0</x:v>
      </x:c>
      <x:c r="O54" s="106" t="str">
        <x:f>'Raw Data'!AP50</x:f>
        <x:v>0</x:v>
      </x:c>
      <x:c r="P54" s="106" t="str">
        <x:f>'Raw Data'!AX50</x:f>
        <x:v>6</x:v>
      </x:c>
      <x:c r="Q54" s="106" t="str">
        <x:f>'Raw Data'!BA50</x:f>
        <x:v>162</x:v>
      </x:c>
      <x:c r="R54" s="110" t="str">
        <x:f>'Raw Data'!BB50</x:f>
        <x:v>259.4442950999364</x:v>
      </x:c>
      <x:c r="S54" s="106" t="str">
        <x:f>'Raw Data'!BK50</x:f>
        <x:v>True</x:v>
      </x:c>
      <x:c r="T54" s="106" t="str">
        <x:f>'Raw Data'!BI50</x:f>
        <x:v>167</x:v>
      </x:c>
      <x:c r="U54" s="106" t="str">
        <x:f>'Raw Data'!BM50</x:f>
        <x:v>0</x:v>
      </x:c>
      <x:c r="V54" s="106" t="str">
        <x:f>'Raw Data'!BN50</x:f>
        <x:v>0</x:v>
      </x:c>
      <x:c r="W54" s="106" t="str">
        <x:f>'Raw Data'!BR50</x:f>
        <x:v>0</x:v>
      </x:c>
      <x:c r="X54" s="106" t="str">
        <x:f>'Raw Data'!BZ50</x:f>
        <x:v>7</x:v>
      </x:c>
      <x:c r="Y54" s="106" t="str">
        <x:f>'Raw Data'!CC50</x:f>
        <x:v>160</x:v>
      </x:c>
      <x:c r="Z54" s="110" t="str">
        <x:f>'Raw Data'!CD50</x:f>
        <x:v>257.4560318000149</x:v>
      </x:c>
      <x:c r="AA54" s="106" t="n">
        <x:f>Y54-Q54</x:f>
        <x:v>-2</x:v>
      </x:c>
      <x:c r="AB54" s="108" t="n">
        <x:f>IFERROR(Z54/R54,"")</x:f>
        <x:v>0.9923364539615116</x:v>
      </x:c>
      <x:c r="AC54" s="106" t="str">
        <x:f>'Raw Data'!CS50</x:f>
        <x:v>collision</x:v>
      </x:c>
      <x:c r="AD54" s="106" t="str">
        <x:f>'Raw Data'!CT50</x:f>
        <x:v>collision</x:v>
      </x:c>
      <x:c r="AE54" s="106" t="str">
        <x:f>'Raw Data'!CU50</x:f>
        <x:v>collision_dominates</x:v>
      </x:c>
      <x:c r="AF54" s="106" t="str">
        <x:f>'Raw Data'!CV50</x:f>
        <x:v>neither</x:v>
      </x:c>
      <x:c r="AG54" s="106" t="str">
        <x:f>'Raw Data'!CW50</x:f>
        <x:v>both_valid</x:v>
      </x:c>
      <x:c r="AH54" s="106" t="str">
        <x:f>'Raw Data'!CX50</x:f>
        <x:v>none</x:v>
      </x:c>
      <x:c r="AI54" s="106" t="str">
        <x:f>'Raw Data'!CY50</x:f>
        <x:v>none</x:v>
      </x:c>
    </x:row>
    <x:row r="55">
      <x:c r="A55" s="106" t="str">
        <x:f>'Raw Data'!E51</x:f>
        <x:v>n1000_r0.7_repeat1</x:v>
      </x:c>
      <x:c r="B55" s="106" t="str">
        <x:f>'Raw Data'!F51</x:f>
        <x:v>1000</x:v>
      </x:c>
      <x:c r="C55" s="106" t="str">
        <x:f>'Raw Data'!G51</x:f>
        <x:v>0.7</x:v>
      </x:c>
      <x:c r="D55" s="106" t="str">
        <x:f>'Raw Data'!H51</x:f>
        <x:v>1</x:v>
      </x:c>
      <x:c r="E55" s="106" t="str">
        <x:f>'Raw Data'!N51</x:f>
        <x:v>True</x:v>
      </x:c>
      <x:c r="F55" s="106" t="str">
        <x:f>'Raw Data'!L51</x:f>
        <x:v>1</x:v>
      </x:c>
      <x:c r="G55" s="128" t="str">
        <x:f>'Raw Data'!P51</x:f>
        <x:v>740.778</x:v>
      </x:c>
      <x:c r="H55" s="110" t="str">
        <x:f>'Raw Data'!T51</x:f>
        <x:v>0.7415195195195196</x:v>
      </x:c>
      <x:c r="I55" s="106" t="str">
        <x:f>'Raw Data'!Z51</x:f>
        <x:v>grid</x:v>
      </x:c>
      <x:c r="J55" s="106" t="str">
        <x:f>'Raw Data'!AE51</x:f>
        <x:v>collision,entropy</x:v>
      </x:c>
      <x:c r="K55" s="106" t="str">
        <x:f>'Raw Data'!AI51</x:f>
        <x:v>True</x:v>
      </x:c>
      <x:c r="L55" s="106" t="str">
        <x:f>'Raw Data'!AG51</x:f>
        <x:v>179</x:v>
      </x:c>
      <x:c r="M55" s="106" t="str">
        <x:f>'Raw Data'!AK51</x:f>
        <x:v>0</x:v>
      </x:c>
      <x:c r="N55" s="106" t="str">
        <x:f>'Raw Data'!AL51</x:f>
        <x:v>0</x:v>
      </x:c>
      <x:c r="O55" s="106" t="str">
        <x:f>'Raw Data'!AP51</x:f>
        <x:v>0</x:v>
      </x:c>
      <x:c r="P55" s="106" t="str">
        <x:f>'Raw Data'!AX51</x:f>
        <x:v>0</x:v>
      </x:c>
      <x:c r="Q55" s="106" t="str">
        <x:f>'Raw Data'!BA51</x:f>
        <x:v>179</x:v>
      </x:c>
      <x:c r="R55" s="110" t="str">
        <x:f>'Raw Data'!BB51</x:f>
        <x:v>160.39027740003075</x:v>
      </x:c>
      <x:c r="S55" s="106" t="str">
        <x:f>'Raw Data'!BK51</x:f>
        <x:v>True</x:v>
      </x:c>
      <x:c r="T55" s="106" t="str">
        <x:f>'Raw Data'!BI51</x:f>
        <x:v>158</x:v>
      </x:c>
      <x:c r="U55" s="106" t="str">
        <x:f>'Raw Data'!BM51</x:f>
        <x:v>0</x:v>
      </x:c>
      <x:c r="V55" s="106" t="str">
        <x:f>'Raw Data'!BN51</x:f>
        <x:v>0</x:v>
      </x:c>
      <x:c r="W55" s="106" t="str">
        <x:f>'Raw Data'!BR51</x:f>
        <x:v>0</x:v>
      </x:c>
      <x:c r="X55" s="106" t="str">
        <x:f>'Raw Data'!BZ51</x:f>
        <x:v>0</x:v>
      </x:c>
      <x:c r="Y55" s="106" t="str">
        <x:f>'Raw Data'!CC51</x:f>
        <x:v>158</x:v>
      </x:c>
      <x:c r="Z55" s="110" t="str">
        <x:f>'Raw Data'!CD51</x:f>
        <x:v>97.89177220012061</x:v>
      </x:c>
      <x:c r="AA55" s="106" t="n">
        <x:f>Y55-Q55</x:f>
        <x:v>-21</x:v>
      </x:c>
      <x:c r="AB55" s="108" t="n">
        <x:f>IFERROR(Z55/R55,"")</x:f>
        <x:v>0.6103348269419593</x:v>
      </x:c>
      <x:c r="AC55" s="106" t="str">
        <x:f>'Raw Data'!CS51</x:f>
        <x:v>collision</x:v>
      </x:c>
      <x:c r="AD55" s="106" t="str">
        <x:f>'Raw Data'!CT51</x:f>
        <x:v>collision</x:v>
      </x:c>
      <x:c r="AE55" s="106" t="str">
        <x:f>'Raw Data'!CU51</x:f>
        <x:v>collision_dominates</x:v>
      </x:c>
      <x:c r="AF55" s="106" t="str">
        <x:f>'Raw Data'!CV51</x:f>
        <x:v>neither</x:v>
      </x:c>
      <x:c r="AG55" s="106" t="str">
        <x:f>'Raw Data'!CW51</x:f>
        <x:v>both_valid</x:v>
      </x:c>
      <x:c r="AH55" s="106" t="str">
        <x:f>'Raw Data'!CX51</x:f>
        <x:v>none</x:v>
      </x:c>
      <x:c r="AI55" s="106" t="str">
        <x:f>'Raw Data'!CY51</x:f>
        <x:v>none</x:v>
      </x:c>
    </x:row>
    <x:row r="56">
      <x:c r="A56" s="106" t="str">
        <x:f>'Raw Data'!E52</x:f>
        <x:v>n1000_r0.7_repeat1</x:v>
      </x:c>
      <x:c r="B56" s="106" t="str">
        <x:f>'Raw Data'!F52</x:f>
        <x:v>1000</x:v>
      </x:c>
      <x:c r="C56" s="106" t="str">
        <x:f>'Raw Data'!G52</x:f>
        <x:v>0.7</x:v>
      </x:c>
      <x:c r="D56" s="106" t="str">
        <x:f>'Raw Data'!H52</x:f>
        <x:v>1</x:v>
      </x:c>
      <x:c r="E56" s="106" t="str">
        <x:f>'Raw Data'!N52</x:f>
        <x:v>True</x:v>
      </x:c>
      <x:c r="F56" s="106" t="str">
        <x:f>'Raw Data'!L52</x:f>
        <x:v>1</x:v>
      </x:c>
      <x:c r="G56" s="128" t="str">
        <x:f>'Raw Data'!P52</x:f>
        <x:v>740.778</x:v>
      </x:c>
      <x:c r="H56" s="110" t="str">
        <x:f>'Raw Data'!T52</x:f>
        <x:v>0.7415195195195196</x:v>
      </x:c>
      <x:c r="I56" s="106" t="str">
        <x:f>'Raw Data'!Z52</x:f>
        <x:v>circle</x:v>
      </x:c>
      <x:c r="J56" s="106" t="str">
        <x:f>'Raw Data'!AE52</x:f>
        <x:v>collision,entropy</x:v>
      </x:c>
      <x:c r="K56" s="106" t="str">
        <x:f>'Raw Data'!AI52</x:f>
        <x:v>True</x:v>
      </x:c>
      <x:c r="L56" s="106" t="str">
        <x:f>'Raw Data'!AG52</x:f>
        <x:v>257</x:v>
      </x:c>
      <x:c r="M56" s="106" t="str">
        <x:f>'Raw Data'!AK52</x:f>
        <x:v>0</x:v>
      </x:c>
      <x:c r="N56" s="106" t="str">
        <x:f>'Raw Data'!AL52</x:f>
        <x:v>0</x:v>
      </x:c>
      <x:c r="O56" s="106" t="str">
        <x:f>'Raw Data'!AP52</x:f>
        <x:v>0</x:v>
      </x:c>
      <x:c r="P56" s="106" t="str">
        <x:f>'Raw Data'!AX52</x:f>
        <x:v>0</x:v>
      </x:c>
      <x:c r="Q56" s="106" t="str">
        <x:f>'Raw Data'!BA52</x:f>
        <x:v>257</x:v>
      </x:c>
      <x:c r="R56" s="110" t="str">
        <x:f>'Raw Data'!BB52</x:f>
        <x:v>99.1641518000979</x:v>
      </x:c>
      <x:c r="S56" s="106" t="str">
        <x:f>'Raw Data'!BK52</x:f>
        <x:v>True</x:v>
      </x:c>
      <x:c r="T56" s="106" t="str">
        <x:f>'Raw Data'!BI52</x:f>
        <x:v>271</x:v>
      </x:c>
      <x:c r="U56" s="106" t="str">
        <x:f>'Raw Data'!BM52</x:f>
        <x:v>0</x:v>
      </x:c>
      <x:c r="V56" s="106" t="str">
        <x:f>'Raw Data'!BN52</x:f>
        <x:v>0</x:v>
      </x:c>
      <x:c r="W56" s="106" t="str">
        <x:f>'Raw Data'!BR52</x:f>
        <x:v>0</x:v>
      </x:c>
      <x:c r="X56" s="106" t="str">
        <x:f>'Raw Data'!BZ52</x:f>
        <x:v>0</x:v>
      </x:c>
      <x:c r="Y56" s="106" t="str">
        <x:f>'Raw Data'!CC52</x:f>
        <x:v>271</x:v>
      </x:c>
      <x:c r="Z56" s="110" t="str">
        <x:f>'Raw Data'!CD52</x:f>
        <x:v>54.14607800007798</x:v>
      </x:c>
      <x:c r="AA56" s="106" t="n">
        <x:f>Y56-Q56</x:f>
        <x:v>14</x:v>
      </x:c>
      <x:c r="AB56" s="108" t="n">
        <x:f>IFERROR(Z56/R56,"")</x:f>
        <x:v>0.5460247177753254</x:v>
      </x:c>
      <x:c r="AC56" s="106" t="str">
        <x:f>'Raw Data'!CS52</x:f>
        <x:v>entropy</x:v>
      </x:c>
      <x:c r="AD56" s="106" t="str">
        <x:f>'Raw Data'!CT52</x:f>
        <x:v>collision</x:v>
      </x:c>
      <x:c r="AE56" s="106" t="str">
        <x:f>'Raw Data'!CU52</x:f>
        <x:v>tradeoff</x:v>
      </x:c>
      <x:c r="AF56" s="106" t="str">
        <x:f>'Raw Data'!CV52</x:f>
        <x:v>neither</x:v>
      </x:c>
      <x:c r="AG56" s="106" t="str">
        <x:f>'Raw Data'!CW52</x:f>
        <x:v>both_valid</x:v>
      </x:c>
      <x:c r="AH56" s="106" t="str">
        <x:f>'Raw Data'!CX52</x:f>
        <x:v>none</x:v>
      </x:c>
      <x:c r="AI56" s="106" t="str">
        <x:f>'Raw Data'!CY52</x:f>
        <x:v>none</x:v>
      </x:c>
    </x:row>
    <x:row r="57">
      <x:c r="A57" s="106" t="str">
        <x:f>'Raw Data'!E53</x:f>
        <x:v>n1000_r0.7_repeat1</x:v>
      </x:c>
      <x:c r="B57" s="106" t="str">
        <x:f>'Raw Data'!F53</x:f>
        <x:v>1000</x:v>
      </x:c>
      <x:c r="C57" s="106" t="str">
        <x:f>'Raw Data'!G53</x:f>
        <x:v>0.7</x:v>
      </x:c>
      <x:c r="D57" s="106" t="str">
        <x:f>'Raw Data'!H53</x:f>
        <x:v>1</x:v>
      </x:c>
      <x:c r="E57" s="106" t="str">
        <x:f>'Raw Data'!N53</x:f>
        <x:v>True</x:v>
      </x:c>
      <x:c r="F57" s="106" t="str">
        <x:f>'Raw Data'!L53</x:f>
        <x:v>1</x:v>
      </x:c>
      <x:c r="G57" s="128" t="str">
        <x:f>'Raw Data'!P53</x:f>
        <x:v>740.778</x:v>
      </x:c>
      <x:c r="H57" s="110" t="str">
        <x:f>'Raw Data'!T53</x:f>
        <x:v>0.7415195195195196</x:v>
      </x:c>
      <x:c r="I57" s="106" t="str">
        <x:f>'Raw Data'!Z53</x:f>
        <x:v>zoomed</x:v>
      </x:c>
      <x:c r="J57" s="106" t="str">
        <x:f>'Raw Data'!AE53</x:f>
        <x:v>collision,entropy</x:v>
      </x:c>
      <x:c r="K57" s="106" t="str">
        <x:f>'Raw Data'!AI53</x:f>
        <x:v>True</x:v>
      </x:c>
      <x:c r="L57" s="106" t="str">
        <x:f>'Raw Data'!AG53</x:f>
        <x:v>210</x:v>
      </x:c>
      <x:c r="M57" s="106" t="str">
        <x:f>'Raw Data'!AK53</x:f>
        <x:v>0</x:v>
      </x:c>
      <x:c r="N57" s="106" t="str">
        <x:f>'Raw Data'!AL53</x:f>
        <x:v>0</x:v>
      </x:c>
      <x:c r="O57" s="106" t="str">
        <x:f>'Raw Data'!AP53</x:f>
        <x:v>0</x:v>
      </x:c>
      <x:c r="P57" s="106" t="str">
        <x:f>'Raw Data'!AX53</x:f>
        <x:v>0</x:v>
      </x:c>
      <x:c r="Q57" s="106" t="str">
        <x:f>'Raw Data'!BA53</x:f>
        <x:v>210</x:v>
      </x:c>
      <x:c r="R57" s="110" t="str">
        <x:f>'Raw Data'!BB53</x:f>
        <x:v>129.59432629996445</x:v>
      </x:c>
      <x:c r="S57" s="106" t="str">
        <x:f>'Raw Data'!BK53</x:f>
        <x:v>True</x:v>
      </x:c>
      <x:c r="T57" s="106" t="str">
        <x:f>'Raw Data'!BI53</x:f>
        <x:v>160</x:v>
      </x:c>
      <x:c r="U57" s="106" t="str">
        <x:f>'Raw Data'!BM53</x:f>
        <x:v>0</x:v>
      </x:c>
      <x:c r="V57" s="106" t="str">
        <x:f>'Raw Data'!BN53</x:f>
        <x:v>0</x:v>
      </x:c>
      <x:c r="W57" s="106" t="str">
        <x:f>'Raw Data'!BR53</x:f>
        <x:v>0</x:v>
      </x:c>
      <x:c r="X57" s="106" t="str">
        <x:f>'Raw Data'!BZ53</x:f>
        <x:v>0</x:v>
      </x:c>
      <x:c r="Y57" s="106" t="str">
        <x:f>'Raw Data'!CC53</x:f>
        <x:v>160</x:v>
      </x:c>
      <x:c r="Z57" s="110" t="str">
        <x:f>'Raw Data'!CD53</x:f>
        <x:v>68.37673080002423</x:v>
      </x:c>
      <x:c r="AA57" s="106" t="n">
        <x:f>Y57-Q57</x:f>
        <x:v>-50</x:v>
      </x:c>
      <x:c r="AB57" s="108" t="n">
        <x:f>IFERROR(Z57/R57,"")</x:f>
        <x:v>0.527621329978263</x:v>
      </x:c>
      <x:c r="AC57" s="106" t="str">
        <x:f>'Raw Data'!CS53</x:f>
        <x:v>collision</x:v>
      </x:c>
      <x:c r="AD57" s="106" t="str">
        <x:f>'Raw Data'!CT53</x:f>
        <x:v>collision</x:v>
      </x:c>
      <x:c r="AE57" s="106" t="str">
        <x:f>'Raw Data'!CU53</x:f>
        <x:v>collision_dominates</x:v>
      </x:c>
      <x:c r="AF57" s="106" t="str">
        <x:f>'Raw Data'!CV53</x:f>
        <x:v>neither</x:v>
      </x:c>
      <x:c r="AG57" s="106" t="str">
        <x:f>'Raw Data'!CW53</x:f>
        <x:v>both_valid</x:v>
      </x:c>
      <x:c r="AH57" s="106" t="str">
        <x:f>'Raw Data'!CX53</x:f>
        <x:v>entropy_much_larger</x:v>
      </x:c>
      <x:c r="AI57" s="106" t="str">
        <x:f>'Raw Data'!CY53</x:f>
        <x:v>none</x:v>
      </x:c>
    </x:row>
    <x:row r="58">
      <x:c r="A58" s="106" t="str">
        <x:f>'Raw Data'!E54</x:f>
        <x:v>n1000_r0.7_repeat2</x:v>
      </x:c>
      <x:c r="B58" s="106" t="str">
        <x:f>'Raw Data'!F54</x:f>
        <x:v>1000</x:v>
      </x:c>
      <x:c r="C58" s="106" t="str">
        <x:f>'Raw Data'!G54</x:f>
        <x:v>0.7</x:v>
      </x:c>
      <x:c r="D58" s="106" t="str">
        <x:f>'Raw Data'!H54</x:f>
        <x:v>2</x:v>
      </x:c>
      <x:c r="E58" s="106" t="str">
        <x:f>'Raw Data'!N54</x:f>
        <x:v>True</x:v>
      </x:c>
      <x:c r="F58" s="106" t="str">
        <x:f>'Raw Data'!L54</x:f>
        <x:v>1</x:v>
      </x:c>
      <x:c r="G58" s="128" t="str">
        <x:f>'Raw Data'!P54</x:f>
        <x:v>743.308</x:v>
      </x:c>
      <x:c r="H58" s="110" t="str">
        <x:f>'Raw Data'!T54</x:f>
        <x:v>0.744052052052052</x:v>
      </x:c>
      <x:c r="I58" s="106" t="str">
        <x:f>'Raw Data'!Z54</x:f>
        <x:v>grid</x:v>
      </x:c>
      <x:c r="J58" s="106" t="str">
        <x:f>'Raw Data'!AE54</x:f>
        <x:v>entropy,collision</x:v>
      </x:c>
      <x:c r="K58" s="106" t="str">
        <x:f>'Raw Data'!AI54</x:f>
        <x:v>True</x:v>
      </x:c>
      <x:c r="L58" s="106" t="str">
        <x:f>'Raw Data'!AG54</x:f>
        <x:v>179</x:v>
      </x:c>
      <x:c r="M58" s="106" t="str">
        <x:f>'Raw Data'!AK54</x:f>
        <x:v>0</x:v>
      </x:c>
      <x:c r="N58" s="106" t="str">
        <x:f>'Raw Data'!AL54</x:f>
        <x:v>0</x:v>
      </x:c>
      <x:c r="O58" s="106" t="str">
        <x:f>'Raw Data'!AP54</x:f>
        <x:v>0</x:v>
      </x:c>
      <x:c r="P58" s="106" t="str">
        <x:f>'Raw Data'!AX54</x:f>
        <x:v>0</x:v>
      </x:c>
      <x:c r="Q58" s="106" t="str">
        <x:f>'Raw Data'!BA54</x:f>
        <x:v>179</x:v>
      </x:c>
      <x:c r="R58" s="110" t="str">
        <x:f>'Raw Data'!BB54</x:f>
        <x:v>141.23755590012297</x:v>
      </x:c>
      <x:c r="S58" s="106" t="str">
        <x:f>'Raw Data'!BK54</x:f>
        <x:v>True</x:v>
      </x:c>
      <x:c r="T58" s="106" t="str">
        <x:f>'Raw Data'!BI54</x:f>
        <x:v>154</x:v>
      </x:c>
      <x:c r="U58" s="106" t="str">
        <x:f>'Raw Data'!BM54</x:f>
        <x:v>0</x:v>
      </x:c>
      <x:c r="V58" s="106" t="str">
        <x:f>'Raw Data'!BN54</x:f>
        <x:v>0</x:v>
      </x:c>
      <x:c r="W58" s="106" t="str">
        <x:f>'Raw Data'!BR54</x:f>
        <x:v>0</x:v>
      </x:c>
      <x:c r="X58" s="106" t="str">
        <x:f>'Raw Data'!BZ54</x:f>
        <x:v>0</x:v>
      </x:c>
      <x:c r="Y58" s="106" t="str">
        <x:f>'Raw Data'!CC54</x:f>
        <x:v>154</x:v>
      </x:c>
      <x:c r="Z58" s="110" t="str">
        <x:f>'Raw Data'!CD54</x:f>
        <x:v>66.30094149999786</x:v>
      </x:c>
      <x:c r="AA58" s="106" t="n">
        <x:f>Y58-Q58</x:f>
        <x:v>-25</x:v>
      </x:c>
      <x:c r="AB58" s="108" t="n">
        <x:f>IFERROR(Z58/R58,"")</x:f>
        <x:v>0.4694285530321906</x:v>
      </x:c>
      <x:c r="AC58" s="106" t="str">
        <x:f>'Raw Data'!CS54</x:f>
        <x:v>collision</x:v>
      </x:c>
      <x:c r="AD58" s="106" t="str">
        <x:f>'Raw Data'!CT54</x:f>
        <x:v>collision</x:v>
      </x:c>
      <x:c r="AE58" s="106" t="str">
        <x:f>'Raw Data'!CU54</x:f>
        <x:v>collision_dominates</x:v>
      </x:c>
      <x:c r="AF58" s="106" t="str">
        <x:f>'Raw Data'!CV54</x:f>
        <x:v>neither</x:v>
      </x:c>
      <x:c r="AG58" s="106" t="str">
        <x:f>'Raw Data'!CW54</x:f>
        <x:v>both_valid</x:v>
      </x:c>
      <x:c r="AH58" s="106" t="str">
        <x:f>'Raw Data'!CX54</x:f>
        <x:v>none</x:v>
      </x:c>
      <x:c r="AI58" s="106" t="str">
        <x:f>'Raw Data'!CY54</x:f>
        <x:v>collision_at_least_2x_faster</x:v>
      </x:c>
    </x:row>
    <x:row r="59">
      <x:c r="A59" s="106" t="str">
        <x:f>'Raw Data'!E55</x:f>
        <x:v>n1000_r0.7_repeat2</x:v>
      </x:c>
      <x:c r="B59" s="106" t="str">
        <x:f>'Raw Data'!F55</x:f>
        <x:v>1000</x:v>
      </x:c>
      <x:c r="C59" s="106" t="str">
        <x:f>'Raw Data'!G55</x:f>
        <x:v>0.7</x:v>
      </x:c>
      <x:c r="D59" s="106" t="str">
        <x:f>'Raw Data'!H55</x:f>
        <x:v>2</x:v>
      </x:c>
      <x:c r="E59" s="106" t="str">
        <x:f>'Raw Data'!N55</x:f>
        <x:v>True</x:v>
      </x:c>
      <x:c r="F59" s="106" t="str">
        <x:f>'Raw Data'!L55</x:f>
        <x:v>1</x:v>
      </x:c>
      <x:c r="G59" s="128" t="str">
        <x:f>'Raw Data'!P55</x:f>
        <x:v>743.308</x:v>
      </x:c>
      <x:c r="H59" s="110" t="str">
        <x:f>'Raw Data'!T55</x:f>
        <x:v>0.744052052052052</x:v>
      </x:c>
      <x:c r="I59" s="106" t="str">
        <x:f>'Raw Data'!Z55</x:f>
        <x:v>circle</x:v>
      </x:c>
      <x:c r="J59" s="106" t="str">
        <x:f>'Raw Data'!AE55</x:f>
        <x:v>entropy,collision</x:v>
      </x:c>
      <x:c r="K59" s="106" t="str">
        <x:f>'Raw Data'!AI55</x:f>
        <x:v>True</x:v>
      </x:c>
      <x:c r="L59" s="106" t="str">
        <x:f>'Raw Data'!AG55</x:f>
        <x:v>194</x:v>
      </x:c>
      <x:c r="M59" s="106" t="str">
        <x:f>'Raw Data'!AK55</x:f>
        <x:v>0</x:v>
      </x:c>
      <x:c r="N59" s="106" t="str">
        <x:f>'Raw Data'!AL55</x:f>
        <x:v>0</x:v>
      </x:c>
      <x:c r="O59" s="106" t="str">
        <x:f>'Raw Data'!AP55</x:f>
        <x:v>0</x:v>
      </x:c>
      <x:c r="P59" s="106" t="str">
        <x:f>'Raw Data'!AX55</x:f>
        <x:v>0</x:v>
      </x:c>
      <x:c r="Q59" s="106" t="str">
        <x:f>'Raw Data'!BA55</x:f>
        <x:v>194</x:v>
      </x:c>
      <x:c r="R59" s="110" t="str">
        <x:f>'Raw Data'!BB55</x:f>
        <x:v>62.111084500094876</x:v>
      </x:c>
      <x:c r="S59" s="106" t="str">
        <x:f>'Raw Data'!BK55</x:f>
        <x:v>True</x:v>
      </x:c>
      <x:c r="T59" s="106" t="str">
        <x:f>'Raw Data'!BI55</x:f>
        <x:v>194</x:v>
      </x:c>
      <x:c r="U59" s="106" t="str">
        <x:f>'Raw Data'!BM55</x:f>
        <x:v>0</x:v>
      </x:c>
      <x:c r="V59" s="106" t="str">
        <x:f>'Raw Data'!BN55</x:f>
        <x:v>0</x:v>
      </x:c>
      <x:c r="W59" s="106" t="str">
        <x:f>'Raw Data'!BR55</x:f>
        <x:v>0</x:v>
      </x:c>
      <x:c r="X59" s="106" t="str">
        <x:f>'Raw Data'!BZ55</x:f>
        <x:v>0</x:v>
      </x:c>
      <x:c r="Y59" s="106" t="str">
        <x:f>'Raw Data'!CC55</x:f>
        <x:v>194</x:v>
      </x:c>
      <x:c r="Z59" s="110" t="str">
        <x:f>'Raw Data'!CD55</x:f>
        <x:v>62.58760480012279</x:v>
      </x:c>
      <x:c r="AA59" s="106" t="n">
        <x:f>Y59-Q59</x:f>
        <x:v>0</x:v>
      </x:c>
      <x:c r="AB59" s="108" t="n">
        <x:f>IFERROR(Z59/R59,"")</x:f>
        <x:v>1.0076720653626197</x:v>
      </x:c>
      <x:c r="AC59" s="106" t="str">
        <x:f>'Raw Data'!CS55</x:f>
        <x:v>tie</x:v>
      </x:c>
      <x:c r="AD59" s="106" t="str">
        <x:f>'Raw Data'!CT55</x:f>
        <x:v>entropy</x:v>
      </x:c>
      <x:c r="AE59" s="106" t="str">
        <x:f>'Raw Data'!CU55</x:f>
        <x:v>entropy_dominates</x:v>
      </x:c>
      <x:c r="AF59" s="106" t="str">
        <x:f>'Raw Data'!CV55</x:f>
        <x:v>neither</x:v>
      </x:c>
      <x:c r="AG59" s="106" t="str">
        <x:f>'Raw Data'!CW55</x:f>
        <x:v>both_valid</x:v>
      </x:c>
      <x:c r="AH59" s="106" t="str">
        <x:f>'Raw Data'!CX55</x:f>
        <x:v>none</x:v>
      </x:c>
      <x:c r="AI59" s="106" t="str">
        <x:f>'Raw Data'!CY55</x:f>
        <x:v>none</x:v>
      </x:c>
    </x:row>
    <x:row r="60">
      <x:c r="A60" s="106" t="str">
        <x:f>'Raw Data'!E56</x:f>
        <x:v>n1000_r0.7_repeat2</x:v>
      </x:c>
      <x:c r="B60" s="106" t="str">
        <x:f>'Raw Data'!F56</x:f>
        <x:v>1000</x:v>
      </x:c>
      <x:c r="C60" s="106" t="str">
        <x:f>'Raw Data'!G56</x:f>
        <x:v>0.7</x:v>
      </x:c>
      <x:c r="D60" s="106" t="str">
        <x:f>'Raw Data'!H56</x:f>
        <x:v>2</x:v>
      </x:c>
      <x:c r="E60" s="106" t="str">
        <x:f>'Raw Data'!N56</x:f>
        <x:v>True</x:v>
      </x:c>
      <x:c r="F60" s="106" t="str">
        <x:f>'Raw Data'!L56</x:f>
        <x:v>1</x:v>
      </x:c>
      <x:c r="G60" s="128" t="str">
        <x:f>'Raw Data'!P56</x:f>
        <x:v>743.308</x:v>
      </x:c>
      <x:c r="H60" s="110" t="str">
        <x:f>'Raw Data'!T56</x:f>
        <x:v>0.744052052052052</x:v>
      </x:c>
      <x:c r="I60" s="106" t="str">
        <x:f>'Raw Data'!Z56</x:f>
        <x:v>zoomed</x:v>
      </x:c>
      <x:c r="J60" s="106" t="str">
        <x:f>'Raw Data'!AE56</x:f>
        <x:v>entropy,collision</x:v>
      </x:c>
      <x:c r="K60" s="106" t="str">
        <x:f>'Raw Data'!AI56</x:f>
        <x:v>True</x:v>
      </x:c>
      <x:c r="L60" s="106" t="str">
        <x:f>'Raw Data'!AG56</x:f>
        <x:v>222</x:v>
      </x:c>
      <x:c r="M60" s="106" t="str">
        <x:f>'Raw Data'!AK56</x:f>
        <x:v>0</x:v>
      </x:c>
      <x:c r="N60" s="106" t="str">
        <x:f>'Raw Data'!AL56</x:f>
        <x:v>0</x:v>
      </x:c>
      <x:c r="O60" s="106" t="str">
        <x:f>'Raw Data'!AP56</x:f>
        <x:v>0</x:v>
      </x:c>
      <x:c r="P60" s="106" t="str">
        <x:f>'Raw Data'!AX56</x:f>
        <x:v>0</x:v>
      </x:c>
      <x:c r="Q60" s="106" t="str">
        <x:f>'Raw Data'!BA56</x:f>
        <x:v>222</x:v>
      </x:c>
      <x:c r="R60" s="110" t="str">
        <x:f>'Raw Data'!BB56</x:f>
        <x:v>43.14281389990356</x:v>
      </x:c>
      <x:c r="S60" s="106" t="str">
        <x:f>'Raw Data'!BK56</x:f>
        <x:v>True</x:v>
      </x:c>
      <x:c r="T60" s="106" t="str">
        <x:f>'Raw Data'!BI56</x:f>
        <x:v>208</x:v>
      </x:c>
      <x:c r="U60" s="106" t="str">
        <x:f>'Raw Data'!BM56</x:f>
        <x:v>0</x:v>
      </x:c>
      <x:c r="V60" s="106" t="str">
        <x:f>'Raw Data'!BN56</x:f>
        <x:v>0</x:v>
      </x:c>
      <x:c r="W60" s="106" t="str">
        <x:f>'Raw Data'!BR56</x:f>
        <x:v>0</x:v>
      </x:c>
      <x:c r="X60" s="106" t="str">
        <x:f>'Raw Data'!BZ56</x:f>
        <x:v>0</x:v>
      </x:c>
      <x:c r="Y60" s="106" t="str">
        <x:f>'Raw Data'!CC56</x:f>
        <x:v>208</x:v>
      </x:c>
      <x:c r="Z60" s="110" t="str">
        <x:f>'Raw Data'!CD56</x:f>
        <x:v>42.65859669994097</x:v>
      </x:c>
      <x:c r="AA60" s="106" t="n">
        <x:f>Y60-Q60</x:f>
        <x:v>-14</x:v>
      </x:c>
      <x:c r="AB60" s="108" t="n">
        <x:f>IFERROR(Z60/R60,"")</x:f>
        <x:v>0.9887764112677947</x:v>
      </x:c>
      <x:c r="AC60" s="106" t="str">
        <x:f>'Raw Data'!CS56</x:f>
        <x:v>collision</x:v>
      </x:c>
      <x:c r="AD60" s="106" t="str">
        <x:f>'Raw Data'!CT56</x:f>
        <x:v>collision</x:v>
      </x:c>
      <x:c r="AE60" s="106" t="str">
        <x:f>'Raw Data'!CU56</x:f>
        <x:v>collision_dominates</x:v>
      </x:c>
      <x:c r="AF60" s="106" t="str">
        <x:f>'Raw Data'!CV56</x:f>
        <x:v>neither</x:v>
      </x:c>
      <x:c r="AG60" s="106" t="str">
        <x:f>'Raw Data'!CW56</x:f>
        <x:v>both_valid</x:v>
      </x:c>
      <x:c r="AH60" s="106" t="str">
        <x:f>'Raw Data'!CX56</x:f>
        <x:v>none</x:v>
      </x:c>
      <x:c r="AI60" s="106" t="str">
        <x:f>'Raw Data'!CY56</x:f>
        <x:v>none</x:v>
      </x:c>
    </x:row>
    <x:row r="61">
      <x:c r="A61" s="106" t="str">
        <x:f>'Raw Data'!E57</x:f>
        <x:v>n1000_r0.7_repeat2</x:v>
      </x:c>
      <x:c r="B61" s="106" t="str">
        <x:f>'Raw Data'!F57</x:f>
        <x:v>1000</x:v>
      </x:c>
      <x:c r="C61" s="106" t="str">
        <x:f>'Raw Data'!G57</x:f>
        <x:v>0.7</x:v>
      </x:c>
      <x:c r="D61" s="106" t="str">
        <x:f>'Raw Data'!H57</x:f>
        <x:v>2</x:v>
      </x:c>
      <x:c r="E61" s="106" t="str">
        <x:f>'Raw Data'!N57</x:f>
        <x:v>True</x:v>
      </x:c>
      <x:c r="F61" s="106" t="str">
        <x:f>'Raw Data'!L57</x:f>
        <x:v>1</x:v>
      </x:c>
      <x:c r="G61" s="128" t="str">
        <x:f>'Raw Data'!P57</x:f>
        <x:v>743.308</x:v>
      </x:c>
      <x:c r="H61" s="110" t="str">
        <x:f>'Raw Data'!T57</x:f>
        <x:v>0.744052052052052</x:v>
      </x:c>
      <x:c r="I61" s="106" t="str">
        <x:f>'Raw Data'!Z57</x:f>
        <x:v>ich</x:v>
      </x:c>
      <x:c r="J61" s="106" t="str">
        <x:f>'Raw Data'!AE57</x:f>
        <x:v>entropy,collision</x:v>
      </x:c>
      <x:c r="K61" s="106" t="str">
        <x:f>'Raw Data'!AI57</x:f>
        <x:v>True</x:v>
      </x:c>
      <x:c r="L61" s="106" t="str">
        <x:f>'Raw Data'!AG57</x:f>
        <x:v>160</x:v>
      </x:c>
      <x:c r="M61" s="106" t="str">
        <x:f>'Raw Data'!AK57</x:f>
        <x:v>0</x:v>
      </x:c>
      <x:c r="N61" s="106" t="str">
        <x:f>'Raw Data'!AL57</x:f>
        <x:v>0</x:v>
      </x:c>
      <x:c r="O61" s="106" t="str">
        <x:f>'Raw Data'!AP57</x:f>
        <x:v>0</x:v>
      </x:c>
      <x:c r="P61" s="106" t="str">
        <x:f>'Raw Data'!AX57</x:f>
        <x:v>4</x:v>
      </x:c>
      <x:c r="Q61" s="106" t="str">
        <x:f>'Raw Data'!BA57</x:f>
        <x:v>156</x:v>
      </x:c>
      <x:c r="R61" s="110" t="str">
        <x:f>'Raw Data'!BB57</x:f>
        <x:v>165.3715820000507</x:v>
      </x:c>
      <x:c r="S61" s="106" t="str">
        <x:f>'Raw Data'!BK57</x:f>
        <x:v>True</x:v>
      </x:c>
      <x:c r="T61" s="106" t="str">
        <x:f>'Raw Data'!BI57</x:f>
        <x:v>161</x:v>
      </x:c>
      <x:c r="U61" s="106" t="str">
        <x:f>'Raw Data'!BM57</x:f>
        <x:v>0</x:v>
      </x:c>
      <x:c r="V61" s="106" t="str">
        <x:f>'Raw Data'!BN57</x:f>
        <x:v>0</x:v>
      </x:c>
      <x:c r="W61" s="106" t="str">
        <x:f>'Raw Data'!BR57</x:f>
        <x:v>0</x:v>
      </x:c>
      <x:c r="X61" s="106" t="str">
        <x:f>'Raw Data'!BZ57</x:f>
        <x:v>5</x:v>
      </x:c>
      <x:c r="Y61" s="106" t="str">
        <x:f>'Raw Data'!CC57</x:f>
        <x:v>156</x:v>
      </x:c>
      <x:c r="Z61" s="110" t="str">
        <x:f>'Raw Data'!CD57</x:f>
        <x:v>165.5508346001152</x:v>
      </x:c>
      <x:c r="AA61" s="106" t="n">
        <x:f>Y61-Q61</x:f>
        <x:v>0</x:v>
      </x:c>
      <x:c r="AB61" s="108" t="n">
        <x:f>IFERROR(Z61/R61,"")</x:f>
        <x:v>1.0010839383520225</x:v>
      </x:c>
      <x:c r="AC61" s="106" t="str">
        <x:f>'Raw Data'!CS57</x:f>
        <x:v>tie</x:v>
      </x:c>
      <x:c r="AD61" s="106" t="str">
        <x:f>'Raw Data'!CT57</x:f>
        <x:v>entropy</x:v>
      </x:c>
      <x:c r="AE61" s="106" t="str">
        <x:f>'Raw Data'!CU57</x:f>
        <x:v>entropy_dominates</x:v>
      </x:c>
      <x:c r="AF61" s="106" t="str">
        <x:f>'Raw Data'!CV57</x:f>
        <x:v>neither</x:v>
      </x:c>
      <x:c r="AG61" s="106" t="str">
        <x:f>'Raw Data'!CW57</x:f>
        <x:v>both_valid</x:v>
      </x:c>
      <x:c r="AH61" s="106" t="str">
        <x:f>'Raw Data'!CX57</x:f>
        <x:v>none</x:v>
      </x:c>
      <x:c r="AI61" s="106" t="str">
        <x:f>'Raw Data'!CY57</x:f>
        <x:v>none</x:v>
      </x:c>
    </x:row>
    <x:row r="62">
      <x:c r="A62" s="106" t="str">
        <x:f>'Raw Data'!E58</x:f>
        <x:v>n1000_r0.7_repeat3</x:v>
      </x:c>
      <x:c r="B62" s="106" t="str">
        <x:f>'Raw Data'!F58</x:f>
        <x:v>1000</x:v>
      </x:c>
      <x:c r="C62" s="106" t="str">
        <x:f>'Raw Data'!G58</x:f>
        <x:v>0.7</x:v>
      </x:c>
      <x:c r="D62" s="106" t="str">
        <x:f>'Raw Data'!H58</x:f>
        <x:v>3</x:v>
      </x:c>
      <x:c r="E62" s="106" t="str">
        <x:f>'Raw Data'!N58</x:f>
        <x:v>True</x:v>
      </x:c>
      <x:c r="F62" s="106" t="str">
        <x:f>'Raw Data'!L58</x:f>
        <x:v>1</x:v>
      </x:c>
      <x:c r="G62" s="128" t="str">
        <x:f>'Raw Data'!P58</x:f>
        <x:v>760.388</x:v>
      </x:c>
      <x:c r="H62" s="110" t="str">
        <x:f>'Raw Data'!T58</x:f>
        <x:v>0.7611491491491491</x:v>
      </x:c>
      <x:c r="I62" s="106" t="str">
        <x:f>'Raw Data'!Z58</x:f>
        <x:v>circle</x:v>
      </x:c>
      <x:c r="J62" s="106" t="str">
        <x:f>'Raw Data'!AE58</x:f>
        <x:v>collision,entropy</x:v>
      </x:c>
      <x:c r="K62" s="106" t="str">
        <x:f>'Raw Data'!AI58</x:f>
        <x:v>True</x:v>
      </x:c>
      <x:c r="L62" s="106" t="str">
        <x:f>'Raw Data'!AG58</x:f>
        <x:v>262</x:v>
      </x:c>
      <x:c r="M62" s="106" t="str">
        <x:f>'Raw Data'!AK58</x:f>
        <x:v>0</x:v>
      </x:c>
      <x:c r="N62" s="106" t="str">
        <x:f>'Raw Data'!AL58</x:f>
        <x:v>0</x:v>
      </x:c>
      <x:c r="O62" s="106" t="str">
        <x:f>'Raw Data'!AP58</x:f>
        <x:v>0</x:v>
      </x:c>
      <x:c r="P62" s="106" t="str">
        <x:f>'Raw Data'!AX58</x:f>
        <x:v>0</x:v>
      </x:c>
      <x:c r="Q62" s="106" t="str">
        <x:f>'Raw Data'!BA58</x:f>
        <x:v>262</x:v>
      </x:c>
      <x:c r="R62" s="110" t="str">
        <x:f>'Raw Data'!BB58</x:f>
        <x:v>143.55117120000068</x:v>
      </x:c>
      <x:c r="S62" s="106" t="str">
        <x:f>'Raw Data'!BK58</x:f>
        <x:v>True</x:v>
      </x:c>
      <x:c r="T62" s="106" t="str">
        <x:f>'Raw Data'!BI58</x:f>
        <x:v>263</x:v>
      </x:c>
      <x:c r="U62" s="106" t="str">
        <x:f>'Raw Data'!BM58</x:f>
        <x:v>0</x:v>
      </x:c>
      <x:c r="V62" s="106" t="str">
        <x:f>'Raw Data'!BN58</x:f>
        <x:v>0</x:v>
      </x:c>
      <x:c r="W62" s="106" t="str">
        <x:f>'Raw Data'!BR58</x:f>
        <x:v>0</x:v>
      </x:c>
      <x:c r="X62" s="106" t="str">
        <x:f>'Raw Data'!BZ58</x:f>
        <x:v>0</x:v>
      </x:c>
      <x:c r="Y62" s="106" t="str">
        <x:f>'Raw Data'!CC58</x:f>
        <x:v>263</x:v>
      </x:c>
      <x:c r="Z62" s="110" t="str">
        <x:f>'Raw Data'!CD58</x:f>
        <x:v>135.85365720000118</x:v>
      </x:c>
      <x:c r="AA62" s="106" t="n">
        <x:f>Y62-Q62</x:f>
        <x:v>1</x:v>
      </x:c>
      <x:c r="AB62" s="108" t="n">
        <x:f>IFERROR(Z62/R62,"")</x:f>
        <x:v>0.9463779087578809</x:v>
      </x:c>
      <x:c r="AC62" s="106" t="str">
        <x:f>'Raw Data'!CS58</x:f>
        <x:v>entropy</x:v>
      </x:c>
      <x:c r="AD62" s="106" t="str">
        <x:f>'Raw Data'!CT58</x:f>
        <x:v>collision</x:v>
      </x:c>
      <x:c r="AE62" s="106" t="str">
        <x:f>'Raw Data'!CU58</x:f>
        <x:v>tradeoff</x:v>
      </x:c>
      <x:c r="AF62" s="106" t="str">
        <x:f>'Raw Data'!CV58</x:f>
        <x:v>neither</x:v>
      </x:c>
      <x:c r="AG62" s="106" t="str">
        <x:f>'Raw Data'!CW58</x:f>
        <x:v>both_valid</x:v>
      </x:c>
      <x:c r="AH62" s="106" t="str">
        <x:f>'Raw Data'!CX58</x:f>
        <x:v>none</x:v>
      </x:c>
      <x:c r="AI62" s="106" t="str">
        <x:f>'Raw Data'!CY58</x:f>
        <x:v>none</x:v>
      </x:c>
    </x:row>
    <x:row r="63">
      <x:c r="A63" s="106" t="str">
        <x:f>'Raw Data'!E59</x:f>
        <x:v>n1000_r0.7_repeat3</x:v>
      </x:c>
      <x:c r="B63" s="106" t="str">
        <x:f>'Raw Data'!F59</x:f>
        <x:v>1000</x:v>
      </x:c>
      <x:c r="C63" s="106" t="str">
        <x:f>'Raw Data'!G59</x:f>
        <x:v>0.7</x:v>
      </x:c>
      <x:c r="D63" s="106" t="str">
        <x:f>'Raw Data'!H59</x:f>
        <x:v>3</x:v>
      </x:c>
      <x:c r="E63" s="106" t="str">
        <x:f>'Raw Data'!N59</x:f>
        <x:v>True</x:v>
      </x:c>
      <x:c r="F63" s="106" t="str">
        <x:f>'Raw Data'!L59</x:f>
        <x:v>1</x:v>
      </x:c>
      <x:c r="G63" s="128" t="str">
        <x:f>'Raw Data'!P59</x:f>
        <x:v>760.388</x:v>
      </x:c>
      <x:c r="H63" s="110" t="str">
        <x:f>'Raw Data'!T59</x:f>
        <x:v>0.7611491491491491</x:v>
      </x:c>
      <x:c r="I63" s="106" t="str">
        <x:f>'Raw Data'!Z59</x:f>
        <x:v>zoomed</x:v>
      </x:c>
      <x:c r="J63" s="106" t="str">
        <x:f>'Raw Data'!AE59</x:f>
        <x:v>collision,entropy</x:v>
      </x:c>
      <x:c r="K63" s="106" t="str">
        <x:f>'Raw Data'!AI59</x:f>
        <x:v>True</x:v>
      </x:c>
      <x:c r="L63" s="106" t="str">
        <x:f>'Raw Data'!AG59</x:f>
        <x:v>253</x:v>
      </x:c>
      <x:c r="M63" s="106" t="str">
        <x:f>'Raw Data'!AK59</x:f>
        <x:v>0</x:v>
      </x:c>
      <x:c r="N63" s="106" t="str">
        <x:f>'Raw Data'!AL59</x:f>
        <x:v>0</x:v>
      </x:c>
      <x:c r="O63" s="106" t="str">
        <x:f>'Raw Data'!AP59</x:f>
        <x:v>0</x:v>
      </x:c>
      <x:c r="P63" s="106" t="str">
        <x:f>'Raw Data'!AX59</x:f>
        <x:v>0</x:v>
      </x:c>
      <x:c r="Q63" s="106" t="str">
        <x:f>'Raw Data'!BA59</x:f>
        <x:v>253</x:v>
      </x:c>
      <x:c r="R63" s="110" t="str">
        <x:f>'Raw Data'!BB59</x:f>
        <x:v>100.89338440005668</x:v>
      </x:c>
      <x:c r="S63" s="106" t="str">
        <x:f>'Raw Data'!BK59</x:f>
        <x:v>True</x:v>
      </x:c>
      <x:c r="T63" s="106" t="str">
        <x:f>'Raw Data'!BI59</x:f>
        <x:v>195</x:v>
      </x:c>
      <x:c r="U63" s="106" t="str">
        <x:f>'Raw Data'!BM59</x:f>
        <x:v>0</x:v>
      </x:c>
      <x:c r="V63" s="106" t="str">
        <x:f>'Raw Data'!BN59</x:f>
        <x:v>0</x:v>
      </x:c>
      <x:c r="W63" s="106" t="str">
        <x:f>'Raw Data'!BR59</x:f>
        <x:v>0</x:v>
      </x:c>
      <x:c r="X63" s="106" t="str">
        <x:f>'Raw Data'!BZ59</x:f>
        <x:v>0</x:v>
      </x:c>
      <x:c r="Y63" s="106" t="str">
        <x:f>'Raw Data'!CC59</x:f>
        <x:v>195</x:v>
      </x:c>
      <x:c r="Z63" s="110" t="str">
        <x:f>'Raw Data'!CD59</x:f>
        <x:v>71.38481090008281</x:v>
      </x:c>
      <x:c r="AA63" s="106" t="n">
        <x:f>Y63-Q63</x:f>
        <x:v>-58</x:v>
      </x:c>
      <x:c r="AB63" s="108" t="n">
        <x:f>IFERROR(Z63/R63,"")</x:f>
        <x:v>0.7075271716233826</x:v>
      </x:c>
      <x:c r="AC63" s="106" t="str">
        <x:f>'Raw Data'!CS59</x:f>
        <x:v>collision</x:v>
      </x:c>
      <x:c r="AD63" s="106" t="str">
        <x:f>'Raw Data'!CT59</x:f>
        <x:v>collision</x:v>
      </x:c>
      <x:c r="AE63" s="106" t="str">
        <x:f>'Raw Data'!CU59</x:f>
        <x:v>collision_dominates</x:v>
      </x:c>
      <x:c r="AF63" s="106" t="str">
        <x:f>'Raw Data'!CV59</x:f>
        <x:v>neither</x:v>
      </x:c>
      <x:c r="AG63" s="106" t="str">
        <x:f>'Raw Data'!CW59</x:f>
        <x:v>both_valid</x:v>
      </x:c>
      <x:c r="AH63" s="106" t="str">
        <x:f>'Raw Data'!CX59</x:f>
        <x:v>entropy_much_larger</x:v>
      </x:c>
      <x:c r="AI63" s="106" t="str">
        <x:f>'Raw Data'!CY59</x:f>
        <x:v>none</x:v>
      </x:c>
    </x:row>
    <x:row r="64">
      <x:c r="A64" s="106" t="str">
        <x:f>'Raw Data'!E60</x:f>
        <x:v>n1000_r0.7_repeat3</x:v>
      </x:c>
      <x:c r="B64" s="106" t="str">
        <x:f>'Raw Data'!F60</x:f>
        <x:v>1000</x:v>
      </x:c>
      <x:c r="C64" s="106" t="str">
        <x:f>'Raw Data'!G60</x:f>
        <x:v>0.7</x:v>
      </x:c>
      <x:c r="D64" s="106" t="str">
        <x:f>'Raw Data'!H60</x:f>
        <x:v>3</x:v>
      </x:c>
      <x:c r="E64" s="106" t="str">
        <x:f>'Raw Data'!N60</x:f>
        <x:v>True</x:v>
      </x:c>
      <x:c r="F64" s="106" t="str">
        <x:f>'Raw Data'!L60</x:f>
        <x:v>1</x:v>
      </x:c>
      <x:c r="G64" s="128" t="str">
        <x:f>'Raw Data'!P60</x:f>
        <x:v>760.388</x:v>
      </x:c>
      <x:c r="H64" s="110" t="str">
        <x:f>'Raw Data'!T60</x:f>
        <x:v>0.7611491491491491</x:v>
      </x:c>
      <x:c r="I64" s="106" t="str">
        <x:f>'Raw Data'!Z60</x:f>
        <x:v>ich</x:v>
      </x:c>
      <x:c r="J64" s="106" t="str">
        <x:f>'Raw Data'!AE60</x:f>
        <x:v>collision,entropy</x:v>
      </x:c>
      <x:c r="K64" s="106" t="str">
        <x:f>'Raw Data'!AI60</x:f>
        <x:v>True</x:v>
      </x:c>
      <x:c r="L64" s="106" t="str">
        <x:f>'Raw Data'!AG60</x:f>
        <x:v>167</x:v>
      </x:c>
      <x:c r="M64" s="106" t="str">
        <x:f>'Raw Data'!AK60</x:f>
        <x:v>0</x:v>
      </x:c>
      <x:c r="N64" s="106" t="str">
        <x:f>'Raw Data'!AL60</x:f>
        <x:v>0</x:v>
      </x:c>
      <x:c r="O64" s="106" t="str">
        <x:f>'Raw Data'!AP60</x:f>
        <x:v>0</x:v>
      </x:c>
      <x:c r="P64" s="106" t="str">
        <x:f>'Raw Data'!AX60</x:f>
        <x:v>3</x:v>
      </x:c>
      <x:c r="Q64" s="106" t="str">
        <x:f>'Raw Data'!BA60</x:f>
        <x:v>164</x:v>
      </x:c>
      <x:c r="R64" s="110" t="str">
        <x:f>'Raw Data'!BB60</x:f>
        <x:v>211.0748788000783</x:v>
      </x:c>
      <x:c r="S64" s="106" t="str">
        <x:f>'Raw Data'!BK60</x:f>
        <x:v>True</x:v>
      </x:c>
      <x:c r="T64" s="106" t="str">
        <x:f>'Raw Data'!BI60</x:f>
        <x:v>164</x:v>
      </x:c>
      <x:c r="U64" s="106" t="str">
        <x:f>'Raw Data'!BM60</x:f>
        <x:v>0</x:v>
      </x:c>
      <x:c r="V64" s="106" t="str">
        <x:f>'Raw Data'!BN60</x:f>
        <x:v>0</x:v>
      </x:c>
      <x:c r="W64" s="106" t="str">
        <x:f>'Raw Data'!BR60</x:f>
        <x:v>0</x:v>
      </x:c>
      <x:c r="X64" s="106" t="str">
        <x:f>'Raw Data'!BZ60</x:f>
        <x:v>5</x:v>
      </x:c>
      <x:c r="Y64" s="106" t="str">
        <x:f>'Raw Data'!CC60</x:f>
        <x:v>159</x:v>
      </x:c>
      <x:c r="Z64" s="110" t="str">
        <x:f>'Raw Data'!CD60</x:f>
        <x:v>190.02765529998578</x:v>
      </x:c>
      <x:c r="AA64" s="106" t="n">
        <x:f>Y64-Q64</x:f>
        <x:v>-5</x:v>
      </x:c>
      <x:c r="AB64" s="108" t="n">
        <x:f>IFERROR(Z64/R64,"")</x:f>
        <x:v>0.9002855118536981</x:v>
      </x:c>
      <x:c r="AC64" s="106" t="str">
        <x:f>'Raw Data'!CS60</x:f>
        <x:v>collision</x:v>
      </x:c>
      <x:c r="AD64" s="106" t="str">
        <x:f>'Raw Data'!CT60</x:f>
        <x:v>collision</x:v>
      </x:c>
      <x:c r="AE64" s="106" t="str">
        <x:f>'Raw Data'!CU60</x:f>
        <x:v>collision_dominates</x:v>
      </x:c>
      <x:c r="AF64" s="106" t="str">
        <x:f>'Raw Data'!CV60</x:f>
        <x:v>neither</x:v>
      </x:c>
      <x:c r="AG64" s="106" t="str">
        <x:f>'Raw Data'!CW60</x:f>
        <x:v>both_valid</x:v>
      </x:c>
      <x:c r="AH64" s="106" t="str">
        <x:f>'Raw Data'!CX60</x:f>
        <x:v>none</x:v>
      </x:c>
      <x:c r="AI64" s="106" t="str">
        <x:f>'Raw Data'!CY60</x:f>
        <x:v>none</x:v>
      </x:c>
    </x:row>
    <x:row r="65">
      <x:c r="A65" s="106" t="str">
        <x:f>'Raw Data'!E61</x:f>
        <x:v>n1000_r0.7_repeat3</x:v>
      </x:c>
      <x:c r="B65" s="106" t="str">
        <x:f>'Raw Data'!F61</x:f>
        <x:v>1000</x:v>
      </x:c>
      <x:c r="C65" s="106" t="str">
        <x:f>'Raw Data'!G61</x:f>
        <x:v>0.7</x:v>
      </x:c>
      <x:c r="D65" s="106" t="str">
        <x:f>'Raw Data'!H61</x:f>
        <x:v>3</x:v>
      </x:c>
      <x:c r="E65" s="106" t="str">
        <x:f>'Raw Data'!N61</x:f>
        <x:v>True</x:v>
      </x:c>
      <x:c r="F65" s="106" t="str">
        <x:f>'Raw Data'!L61</x:f>
        <x:v>1</x:v>
      </x:c>
      <x:c r="G65" s="128" t="str">
        <x:f>'Raw Data'!P61</x:f>
        <x:v>760.388</x:v>
      </x:c>
      <x:c r="H65" s="110" t="str">
        <x:f>'Raw Data'!T61</x:f>
        <x:v>0.7611491491491491</x:v>
      </x:c>
      <x:c r="I65" s="106" t="str">
        <x:f>'Raw Data'!Z61</x:f>
        <x:v>grid</x:v>
      </x:c>
      <x:c r="J65" s="106" t="str">
        <x:f>'Raw Data'!AE61</x:f>
        <x:v>collision,entropy</x:v>
      </x:c>
      <x:c r="K65" s="106" t="str">
        <x:f>'Raw Data'!AI61</x:f>
        <x:v>True</x:v>
      </x:c>
      <x:c r="L65" s="106" t="str">
        <x:f>'Raw Data'!AG61</x:f>
        <x:v>197</x:v>
      </x:c>
      <x:c r="M65" s="106" t="str">
        <x:f>'Raw Data'!AK61</x:f>
        <x:v>0</x:v>
      </x:c>
      <x:c r="N65" s="106" t="str">
        <x:f>'Raw Data'!AL61</x:f>
        <x:v>0</x:v>
      </x:c>
      <x:c r="O65" s="106" t="str">
        <x:f>'Raw Data'!AP61</x:f>
        <x:v>0</x:v>
      </x:c>
      <x:c r="P65" s="106" t="str">
        <x:f>'Raw Data'!AX61</x:f>
        <x:v>0</x:v>
      </x:c>
      <x:c r="Q65" s="106" t="str">
        <x:f>'Raw Data'!BA61</x:f>
        <x:v>197</x:v>
      </x:c>
      <x:c r="R65" s="110" t="str">
        <x:f>'Raw Data'!BB61</x:f>
        <x:v>141.0059777998831</x:v>
      </x:c>
      <x:c r="S65" s="106" t="str">
        <x:f>'Raw Data'!BK61</x:f>
        <x:v>True</x:v>
      </x:c>
      <x:c r="T65" s="106" t="str">
        <x:f>'Raw Data'!BI61</x:f>
        <x:v>160</x:v>
      </x:c>
      <x:c r="U65" s="106" t="str">
        <x:f>'Raw Data'!BM61</x:f>
        <x:v>0</x:v>
      </x:c>
      <x:c r="V65" s="106" t="str">
        <x:f>'Raw Data'!BN61</x:f>
        <x:v>0</x:v>
      </x:c>
      <x:c r="W65" s="106" t="str">
        <x:f>'Raw Data'!BR61</x:f>
        <x:v>0</x:v>
      </x:c>
      <x:c r="X65" s="106" t="str">
        <x:f>'Raw Data'!BZ61</x:f>
        <x:v>0</x:v>
      </x:c>
      <x:c r="Y65" s="106" t="str">
        <x:f>'Raw Data'!CC61</x:f>
        <x:v>160</x:v>
      </x:c>
      <x:c r="Z65" s="110" t="str">
        <x:f>'Raw Data'!CD61</x:f>
        <x:v>81.2698209999362</x:v>
      </x:c>
      <x:c r="AA65" s="106" t="n">
        <x:f>Y65-Q65</x:f>
        <x:v>-37</x:v>
      </x:c>
      <x:c r="AB65" s="108" t="n">
        <x:f>IFERROR(Z65/R65,"")</x:f>
        <x:v>0.5763572741240448</x:v>
      </x:c>
      <x:c r="AC65" s="106" t="str">
        <x:f>'Raw Data'!CS61</x:f>
        <x:v>collision</x:v>
      </x:c>
      <x:c r="AD65" s="106" t="str">
        <x:f>'Raw Data'!CT61</x:f>
        <x:v>collision</x:v>
      </x:c>
      <x:c r="AE65" s="106" t="str">
        <x:f>'Raw Data'!CU61</x:f>
        <x:v>collision_dominates</x:v>
      </x:c>
      <x:c r="AF65" s="106" t="str">
        <x:f>'Raw Data'!CV61</x:f>
        <x:v>neither</x:v>
      </x:c>
      <x:c r="AG65" s="106" t="str">
        <x:f>'Raw Data'!CW61</x:f>
        <x:v>both_valid</x:v>
      </x:c>
      <x:c r="AH65" s="106" t="str">
        <x:f>'Raw Data'!CX61</x:f>
        <x:v>none</x:v>
      </x:c>
      <x:c r="AI65" s="106" t="str">
        <x:f>'Raw Data'!CY61</x:f>
        <x:v>none</x:v>
      </x:c>
    </x:row>
    <x:row r="66">
      <x:c r="A66" s="106" t="str">
        <x:f>'Raw Data'!E62</x:f>
        <x:v>n1000_r0.7_repeat4</x:v>
      </x:c>
      <x:c r="B66" s="106" t="str">
        <x:f>'Raw Data'!F62</x:f>
        <x:v>1000</x:v>
      </x:c>
      <x:c r="C66" s="106" t="str">
        <x:f>'Raw Data'!G62</x:f>
        <x:v>0.7</x:v>
      </x:c>
      <x:c r="D66" s="106" t="str">
        <x:f>'Raw Data'!H62</x:f>
        <x:v>4</x:v>
      </x:c>
      <x:c r="E66" s="106" t="str">
        <x:f>'Raw Data'!N62</x:f>
        <x:v>True</x:v>
      </x:c>
      <x:c r="F66" s="106" t="str">
        <x:f>'Raw Data'!L62</x:f>
        <x:v>1</x:v>
      </x:c>
      <x:c r="G66" s="128" t="str">
        <x:f>'Raw Data'!P62</x:f>
        <x:v>740.752</x:v>
      </x:c>
      <x:c r="H66" s="110" t="str">
        <x:f>'Raw Data'!T62</x:f>
        <x:v>0.7414934934934935</x:v>
      </x:c>
      <x:c r="I66" s="106" t="str">
        <x:f>'Raw Data'!Z62</x:f>
        <x:v>zoomed</x:v>
      </x:c>
      <x:c r="J66" s="106" t="str">
        <x:f>'Raw Data'!AE62</x:f>
        <x:v>entropy,collision</x:v>
      </x:c>
      <x:c r="K66" s="106" t="str">
        <x:f>'Raw Data'!AI62</x:f>
        <x:v>True</x:v>
      </x:c>
      <x:c r="L66" s="106" t="str">
        <x:f>'Raw Data'!AG62</x:f>
        <x:v>196</x:v>
      </x:c>
      <x:c r="M66" s="106" t="str">
        <x:f>'Raw Data'!AK62</x:f>
        <x:v>0</x:v>
      </x:c>
      <x:c r="N66" s="106" t="str">
        <x:f>'Raw Data'!AL62</x:f>
        <x:v>0</x:v>
      </x:c>
      <x:c r="O66" s="106" t="str">
        <x:f>'Raw Data'!AP62</x:f>
        <x:v>0</x:v>
      </x:c>
      <x:c r="P66" s="106" t="str">
        <x:f>'Raw Data'!AX62</x:f>
        <x:v>0</x:v>
      </x:c>
      <x:c r="Q66" s="106" t="str">
        <x:f>'Raw Data'!BA62</x:f>
        <x:v>196</x:v>
      </x:c>
      <x:c r="R66" s="110" t="str">
        <x:f>'Raw Data'!BB62</x:f>
        <x:v>76.5915670999093</x:v>
      </x:c>
      <x:c r="S66" s="106" t="str">
        <x:f>'Raw Data'!BK62</x:f>
        <x:v>True</x:v>
      </x:c>
      <x:c r="T66" s="106" t="str">
        <x:f>'Raw Data'!BI62</x:f>
        <x:v>177</x:v>
      </x:c>
      <x:c r="U66" s="106" t="str">
        <x:f>'Raw Data'!BM62</x:f>
        <x:v>0</x:v>
      </x:c>
      <x:c r="V66" s="106" t="str">
        <x:f>'Raw Data'!BN62</x:f>
        <x:v>0</x:v>
      </x:c>
      <x:c r="W66" s="106" t="str">
        <x:f>'Raw Data'!BR62</x:f>
        <x:v>0</x:v>
      </x:c>
      <x:c r="X66" s="106" t="str">
        <x:f>'Raw Data'!BZ62</x:f>
        <x:v>0</x:v>
      </x:c>
      <x:c r="Y66" s="106" t="str">
        <x:f>'Raw Data'!CC62</x:f>
        <x:v>177</x:v>
      </x:c>
      <x:c r="Z66" s="110" t="str">
        <x:f>'Raw Data'!CD62</x:f>
        <x:v>64.36454909993336</x:v>
      </x:c>
      <x:c r="AA66" s="106" t="n">
        <x:f>Y66-Q66</x:f>
        <x:v>-19</x:v>
      </x:c>
      <x:c r="AB66" s="108" t="n">
        <x:f>IFERROR(Z66/R66,"")</x:f>
        <x:v>0.8403607803973184</x:v>
      </x:c>
      <x:c r="AC66" s="106" t="str">
        <x:f>'Raw Data'!CS62</x:f>
        <x:v>collision</x:v>
      </x:c>
      <x:c r="AD66" s="106" t="str">
        <x:f>'Raw Data'!CT62</x:f>
        <x:v>collision</x:v>
      </x:c>
      <x:c r="AE66" s="106" t="str">
        <x:f>'Raw Data'!CU62</x:f>
        <x:v>collision_dominates</x:v>
      </x:c>
      <x:c r="AF66" s="106" t="str">
        <x:f>'Raw Data'!CV62</x:f>
        <x:v>neither</x:v>
      </x:c>
      <x:c r="AG66" s="106" t="str">
        <x:f>'Raw Data'!CW62</x:f>
        <x:v>both_valid</x:v>
      </x:c>
      <x:c r="AH66" s="106" t="str">
        <x:f>'Raw Data'!CX62</x:f>
        <x:v>none</x:v>
      </x:c>
      <x:c r="AI66" s="106" t="str">
        <x:f>'Raw Data'!CY62</x:f>
        <x:v>none</x:v>
      </x:c>
    </x:row>
    <x:row r="67">
      <x:c r="A67" s="106" t="str">
        <x:f>'Raw Data'!E63</x:f>
        <x:v>n1000_r0.7_repeat4</x:v>
      </x:c>
      <x:c r="B67" s="106" t="str">
        <x:f>'Raw Data'!F63</x:f>
        <x:v>1000</x:v>
      </x:c>
      <x:c r="C67" s="106" t="str">
        <x:f>'Raw Data'!G63</x:f>
        <x:v>0.7</x:v>
      </x:c>
      <x:c r="D67" s="106" t="str">
        <x:f>'Raw Data'!H63</x:f>
        <x:v>4</x:v>
      </x:c>
      <x:c r="E67" s="106" t="str">
        <x:f>'Raw Data'!N63</x:f>
        <x:v>True</x:v>
      </x:c>
      <x:c r="F67" s="106" t="str">
        <x:f>'Raw Data'!L63</x:f>
        <x:v>1</x:v>
      </x:c>
      <x:c r="G67" s="128" t="str">
        <x:f>'Raw Data'!P63</x:f>
        <x:v>740.752</x:v>
      </x:c>
      <x:c r="H67" s="110" t="str">
        <x:f>'Raw Data'!T63</x:f>
        <x:v>0.7414934934934935</x:v>
      </x:c>
      <x:c r="I67" s="106" t="str">
        <x:f>'Raw Data'!Z63</x:f>
        <x:v>ich</x:v>
      </x:c>
      <x:c r="J67" s="106" t="str">
        <x:f>'Raw Data'!AE63</x:f>
        <x:v>entropy,collision</x:v>
      </x:c>
      <x:c r="K67" s="106" t="str">
        <x:f>'Raw Data'!AI63</x:f>
        <x:v>True</x:v>
      </x:c>
      <x:c r="L67" s="106" t="str">
        <x:f>'Raw Data'!AG63</x:f>
        <x:v>159</x:v>
      </x:c>
      <x:c r="M67" s="106" t="str">
        <x:f>'Raw Data'!AK63</x:f>
        <x:v>0</x:v>
      </x:c>
      <x:c r="N67" s="106" t="str">
        <x:f>'Raw Data'!AL63</x:f>
        <x:v>0</x:v>
      </x:c>
      <x:c r="O67" s="106" t="str">
        <x:f>'Raw Data'!AP63</x:f>
        <x:v>0</x:v>
      </x:c>
      <x:c r="P67" s="106" t="str">
        <x:f>'Raw Data'!AX63</x:f>
        <x:v>7</x:v>
      </x:c>
      <x:c r="Q67" s="106" t="str">
        <x:f>'Raw Data'!BA63</x:f>
        <x:v>152</x:v>
      </x:c>
      <x:c r="R67" s="110" t="str">
        <x:f>'Raw Data'!BB63</x:f>
        <x:v>212.4834532001987</x:v>
      </x:c>
      <x:c r="S67" s="106" t="str">
        <x:f>'Raw Data'!BK63</x:f>
        <x:v>True</x:v>
      </x:c>
      <x:c r="T67" s="106" t="str">
        <x:f>'Raw Data'!BI63</x:f>
        <x:v>159</x:v>
      </x:c>
      <x:c r="U67" s="106" t="str">
        <x:f>'Raw Data'!BM63</x:f>
        <x:v>0</x:v>
      </x:c>
      <x:c r="V67" s="106" t="str">
        <x:f>'Raw Data'!BN63</x:f>
        <x:v>0</x:v>
      </x:c>
      <x:c r="W67" s="106" t="str">
        <x:f>'Raw Data'!BR63</x:f>
        <x:v>0</x:v>
      </x:c>
      <x:c r="X67" s="106" t="str">
        <x:f>'Raw Data'!BZ63</x:f>
        <x:v>6</x:v>
      </x:c>
      <x:c r="Y67" s="106" t="str">
        <x:f>'Raw Data'!CC63</x:f>
        <x:v>153</x:v>
      </x:c>
      <x:c r="Z67" s="110" t="str">
        <x:f>'Raw Data'!CD63</x:f>
        <x:v>203.84842770011164</x:v>
      </x:c>
      <x:c r="AA67" s="106" t="n">
        <x:f>Y67-Q67</x:f>
        <x:v>1</x:v>
      </x:c>
      <x:c r="AB67" s="108" t="n">
        <x:f>IFERROR(Z67/R67,"")</x:f>
        <x:v>0.9593614214658339</x:v>
      </x:c>
      <x:c r="AC67" s="106" t="str">
        <x:f>'Raw Data'!CS63</x:f>
        <x:v>entropy</x:v>
      </x:c>
      <x:c r="AD67" s="106" t="str">
        <x:f>'Raw Data'!CT63</x:f>
        <x:v>collision</x:v>
      </x:c>
      <x:c r="AE67" s="106" t="str">
        <x:f>'Raw Data'!CU63</x:f>
        <x:v>tradeoff</x:v>
      </x:c>
      <x:c r="AF67" s="106" t="str">
        <x:f>'Raw Data'!CV63</x:f>
        <x:v>neither</x:v>
      </x:c>
      <x:c r="AG67" s="106" t="str">
        <x:f>'Raw Data'!CW63</x:f>
        <x:v>both_valid</x:v>
      </x:c>
      <x:c r="AH67" s="106" t="str">
        <x:f>'Raw Data'!CX63</x:f>
        <x:v>none</x:v>
      </x:c>
      <x:c r="AI67" s="106" t="str">
        <x:f>'Raw Data'!CY63</x:f>
        <x:v>none</x:v>
      </x:c>
    </x:row>
    <x:row r="68">
      <x:c r="A68" s="106" t="str">
        <x:f>'Raw Data'!E64</x:f>
        <x:v>n1000_r0.7_repeat4</x:v>
      </x:c>
      <x:c r="B68" s="106" t="str">
        <x:f>'Raw Data'!F64</x:f>
        <x:v>1000</x:v>
      </x:c>
      <x:c r="C68" s="106" t="str">
        <x:f>'Raw Data'!G64</x:f>
        <x:v>0.7</x:v>
      </x:c>
      <x:c r="D68" s="106" t="str">
        <x:f>'Raw Data'!H64</x:f>
        <x:v>4</x:v>
      </x:c>
      <x:c r="E68" s="106" t="str">
        <x:f>'Raw Data'!N64</x:f>
        <x:v>True</x:v>
      </x:c>
      <x:c r="F68" s="106" t="str">
        <x:f>'Raw Data'!L64</x:f>
        <x:v>1</x:v>
      </x:c>
      <x:c r="G68" s="128" t="str">
        <x:f>'Raw Data'!P64</x:f>
        <x:v>740.752</x:v>
      </x:c>
      <x:c r="H68" s="110" t="str">
        <x:f>'Raw Data'!T64</x:f>
        <x:v>0.7414934934934935</x:v>
      </x:c>
      <x:c r="I68" s="106" t="str">
        <x:f>'Raw Data'!Z64</x:f>
        <x:v>grid</x:v>
      </x:c>
      <x:c r="J68" s="106" t="str">
        <x:f>'Raw Data'!AE64</x:f>
        <x:v>entropy,collision</x:v>
      </x:c>
      <x:c r="K68" s="106" t="str">
        <x:f>'Raw Data'!AI64</x:f>
        <x:v>True</x:v>
      </x:c>
      <x:c r="L68" s="106" t="str">
        <x:f>'Raw Data'!AG64</x:f>
        <x:v>176</x:v>
      </x:c>
      <x:c r="M68" s="106" t="str">
        <x:f>'Raw Data'!AK64</x:f>
        <x:v>0</x:v>
      </x:c>
      <x:c r="N68" s="106" t="str">
        <x:f>'Raw Data'!AL64</x:f>
        <x:v>0</x:v>
      </x:c>
      <x:c r="O68" s="106" t="str">
        <x:f>'Raw Data'!AP64</x:f>
        <x:v>0</x:v>
      </x:c>
      <x:c r="P68" s="106" t="str">
        <x:f>'Raw Data'!AX64</x:f>
        <x:v>0</x:v>
      </x:c>
      <x:c r="Q68" s="106" t="str">
        <x:f>'Raw Data'!BA64</x:f>
        <x:v>176</x:v>
      </x:c>
      <x:c r="R68" s="110" t="str">
        <x:f>'Raw Data'!BB64</x:f>
        <x:v>145.77432229998522</x:v>
      </x:c>
      <x:c r="S68" s="106" t="str">
        <x:f>'Raw Data'!BK64</x:f>
        <x:v>True</x:v>
      </x:c>
      <x:c r="T68" s="106" t="str">
        <x:f>'Raw Data'!BI64</x:f>
        <x:v>154</x:v>
      </x:c>
      <x:c r="U68" s="106" t="str">
        <x:f>'Raw Data'!BM64</x:f>
        <x:v>0</x:v>
      </x:c>
      <x:c r="V68" s="106" t="str">
        <x:f>'Raw Data'!BN64</x:f>
        <x:v>0</x:v>
      </x:c>
      <x:c r="W68" s="106" t="str">
        <x:f>'Raw Data'!BR64</x:f>
        <x:v>0</x:v>
      </x:c>
      <x:c r="X68" s="106" t="str">
        <x:f>'Raw Data'!BZ64</x:f>
        <x:v>0</x:v>
      </x:c>
      <x:c r="Y68" s="106" t="str">
        <x:f>'Raw Data'!CC64</x:f>
        <x:v>154</x:v>
      </x:c>
      <x:c r="Z68" s="110" t="str">
        <x:f>'Raw Data'!CD64</x:f>
        <x:v>84.97974460001569</x:v>
      </x:c>
      <x:c r="AA68" s="106" t="n">
        <x:f>Y68-Q68</x:f>
        <x:v>-22</x:v>
      </x:c>
      <x:c r="AB68" s="108" t="n">
        <x:f>IFERROR(Z68/R68,"")</x:f>
        <x:v>0.582954139379486</x:v>
      </x:c>
      <x:c r="AC68" s="106" t="str">
        <x:f>'Raw Data'!CS64</x:f>
        <x:v>collision</x:v>
      </x:c>
      <x:c r="AD68" s="106" t="str">
        <x:f>'Raw Data'!CT64</x:f>
        <x:v>collision</x:v>
      </x:c>
      <x:c r="AE68" s="106" t="str">
        <x:f>'Raw Data'!CU64</x:f>
        <x:v>collision_dominates</x:v>
      </x:c>
      <x:c r="AF68" s="106" t="str">
        <x:f>'Raw Data'!CV64</x:f>
        <x:v>neither</x:v>
      </x:c>
      <x:c r="AG68" s="106" t="str">
        <x:f>'Raw Data'!CW64</x:f>
        <x:v>both_valid</x:v>
      </x:c>
      <x:c r="AH68" s="106" t="str">
        <x:f>'Raw Data'!CX64</x:f>
        <x:v>none</x:v>
      </x:c>
      <x:c r="AI68" s="106" t="str">
        <x:f>'Raw Data'!CY64</x:f>
        <x:v>none</x:v>
      </x:c>
    </x:row>
    <x:row r="69">
      <x:c r="A69" s="106" t="str">
        <x:f>'Raw Data'!E65</x:f>
        <x:v>n1000_r0.7_repeat4</x:v>
      </x:c>
      <x:c r="B69" s="106" t="str">
        <x:f>'Raw Data'!F65</x:f>
        <x:v>1000</x:v>
      </x:c>
      <x:c r="C69" s="106" t="str">
        <x:f>'Raw Data'!G65</x:f>
        <x:v>0.7</x:v>
      </x:c>
      <x:c r="D69" s="106" t="str">
        <x:f>'Raw Data'!H65</x:f>
        <x:v>4</x:v>
      </x:c>
      <x:c r="E69" s="106" t="str">
        <x:f>'Raw Data'!N65</x:f>
        <x:v>True</x:v>
      </x:c>
      <x:c r="F69" s="106" t="str">
        <x:f>'Raw Data'!L65</x:f>
        <x:v>1</x:v>
      </x:c>
      <x:c r="G69" s="128" t="str">
        <x:f>'Raw Data'!P65</x:f>
        <x:v>740.752</x:v>
      </x:c>
      <x:c r="H69" s="110" t="str">
        <x:f>'Raw Data'!T65</x:f>
        <x:v>0.7414934934934935</x:v>
      </x:c>
      <x:c r="I69" s="106" t="str">
        <x:f>'Raw Data'!Z65</x:f>
        <x:v>circle</x:v>
      </x:c>
      <x:c r="J69" s="106" t="str">
        <x:f>'Raw Data'!AE65</x:f>
        <x:v>entropy,collision</x:v>
      </x:c>
      <x:c r="K69" s="106" t="str">
        <x:f>'Raw Data'!AI65</x:f>
        <x:v>True</x:v>
      </x:c>
      <x:c r="L69" s="106" t="str">
        <x:f>'Raw Data'!AG65</x:f>
        <x:v>220</x:v>
      </x:c>
      <x:c r="M69" s="106" t="str">
        <x:f>'Raw Data'!AK65</x:f>
        <x:v>0</x:v>
      </x:c>
      <x:c r="N69" s="106" t="str">
        <x:f>'Raw Data'!AL65</x:f>
        <x:v>0</x:v>
      </x:c>
      <x:c r="O69" s="106" t="str">
        <x:f>'Raw Data'!AP65</x:f>
        <x:v>0</x:v>
      </x:c>
      <x:c r="P69" s="106" t="str">
        <x:f>'Raw Data'!AX65</x:f>
        <x:v>0</x:v>
      </x:c>
      <x:c r="Q69" s="106" t="str">
        <x:f>'Raw Data'!BA65</x:f>
        <x:v>220</x:v>
      </x:c>
      <x:c r="R69" s="110" t="str">
        <x:f>'Raw Data'!BB65</x:f>
        <x:v>36.52966410003137</x:v>
      </x:c>
      <x:c r="S69" s="106" t="str">
        <x:f>'Raw Data'!BK65</x:f>
        <x:v>True</x:v>
      </x:c>
      <x:c r="T69" s="106" t="str">
        <x:f>'Raw Data'!BI65</x:f>
        <x:v>221</x:v>
      </x:c>
      <x:c r="U69" s="106" t="str">
        <x:f>'Raw Data'!BM65</x:f>
        <x:v>0</x:v>
      </x:c>
      <x:c r="V69" s="106" t="str">
        <x:f>'Raw Data'!BN65</x:f>
        <x:v>0</x:v>
      </x:c>
      <x:c r="W69" s="106" t="str">
        <x:f>'Raw Data'!BR65</x:f>
        <x:v>0</x:v>
      </x:c>
      <x:c r="X69" s="106" t="str">
        <x:f>'Raw Data'!BZ65</x:f>
        <x:v>0</x:v>
      </x:c>
      <x:c r="Y69" s="106" t="str">
        <x:f>'Raw Data'!CC65</x:f>
        <x:v>221</x:v>
      </x:c>
      <x:c r="Z69" s="110" t="str">
        <x:f>'Raw Data'!CD65</x:f>
        <x:v>35.452747299917974</x:v>
      </x:c>
      <x:c r="AA69" s="106" t="n">
        <x:f>Y69-Q69</x:f>
        <x:v>1</x:v>
      </x:c>
      <x:c r="AB69" s="108" t="n">
        <x:f>IFERROR(Z69/R69,"")</x:f>
        <x:v>0.9705193894703108</x:v>
      </x:c>
      <x:c r="AC69" s="106" t="str">
        <x:f>'Raw Data'!CS65</x:f>
        <x:v>entropy</x:v>
      </x:c>
      <x:c r="AD69" s="106" t="str">
        <x:f>'Raw Data'!CT65</x:f>
        <x:v>collision</x:v>
      </x:c>
      <x:c r="AE69" s="106" t="str">
        <x:f>'Raw Data'!CU65</x:f>
        <x:v>tradeoff</x:v>
      </x:c>
      <x:c r="AF69" s="106" t="str">
        <x:f>'Raw Data'!CV65</x:f>
        <x:v>neither</x:v>
      </x:c>
      <x:c r="AG69" s="106" t="str">
        <x:f>'Raw Data'!CW65</x:f>
        <x:v>both_valid</x:v>
      </x:c>
      <x:c r="AH69" s="106" t="str">
        <x:f>'Raw Data'!CX65</x:f>
        <x:v>none</x:v>
      </x:c>
      <x:c r="AI69" s="106" t="str">
        <x:f>'Raw Data'!CY65</x:f>
        <x:v>none</x:v>
      </x:c>
    </x:row>
  </x:sheetData>
  <x:mergeCells>
    <x:mergeCell ref="A1:AI2"/>
    <x:mergeCell ref="A3:AI3"/>
  </x:mergeCells>
  <x:conditionalFormatting sqref="AA6:AA69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AB6:AB69">
    <x:cfRule type="cellIs" dxfId="2" priority="3" operator="lessThan">
      <x:formula>1</x:formula>
    </x:cfRule>
  </x:conditionalFormatting>
  <x:conditionalFormatting sqref="N6:N69">
    <x:cfRule type="cellIs" dxfId="3" priority="4" operator="greaterThan">
      <x:formula>0</x:formula>
    </x:cfRule>
  </x:conditionalFormatting>
  <x:conditionalFormatting sqref="V6:V69">
    <x:cfRule type="cellIs" dxfId="4" priority="5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589dbff28c40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0" hidden="0" customWidth="1"/>
  </x:cols>
  <x:sheetData>
    <x:row r="1" ht="30" customHeight="1">
      <x:c r="A1" s="8" t="str">
        <x:v>n=1000 research interpretation</x:v>
      </x:c>
      <x:c r="B1" s="8" t="str">
        <x:v>n=1000 research interpretation</x:v>
      </x:c>
      <x:c r="C1" s="8" t="str">
        <x:v>n=1000 research interpretation</x:v>
      </x:c>
      <x:c r="D1" s="8" t="str">
        <x:v>n=1000 research interpretation</x:v>
      </x:c>
      <x:c r="E1" s="8" t="str">
        <x:v>n=1000 research interpretation</x:v>
      </x:c>
      <x:c r="F1" s="8" t="str">
        <x:v>n=1000 research interpretation</x:v>
      </x:c>
      <x:c r="G1" s="8" t="str">
        <x:v>n=1000 research interpretation</x:v>
      </x:c>
      <x:c r="H1" s="8" t="str">
        <x:v>n=1000 research interpretation</x:v>
      </x:c>
      <x:c r="I1" s="8" t="str">
        <x:v>n=1000 research interpretation</x:v>
      </x:c>
      <x:c r="J1" s="8" t="str">
        <x:v>n=1000 research interpretation</x:v>
      </x:c>
    </x:row>
    <x:row r="2" ht="30" customHeight="1">
      <x:c r="A2" s="8" t="str">
        <x:v>n=1000 research interpretation</x:v>
      </x:c>
      <x:c r="B2" s="8" t="str">
        <x:v>n=1000 research interpretation</x:v>
      </x:c>
      <x:c r="C2" s="8" t="str">
        <x:v>n=1000 research interpretation</x:v>
      </x:c>
      <x:c r="D2" s="8" t="str">
        <x:v>n=1000 research interpretation</x:v>
      </x:c>
      <x:c r="E2" s="8" t="str">
        <x:v>n=1000 research interpretation</x:v>
      </x:c>
      <x:c r="F2" s="8" t="str">
        <x:v>n=1000 research interpretation</x:v>
      </x:c>
      <x:c r="G2" s="8" t="str">
        <x:v>n=1000 research interpretation</x:v>
      </x:c>
      <x:c r="H2" s="8" t="str">
        <x:v>n=1000 research interpretation</x:v>
      </x:c>
      <x:c r="I2" s="8" t="str">
        <x:v>n=1000 research interpretation</x:v>
      </x:c>
      <x:c r="J2" s="8" t="str">
        <x:v>n=1000 research interpretation</x:v>
      </x:c>
    </x:row>
    <x:row r="3" ht="32" customHeight="1">
      <x:c r="A3" s="16" t="str">
        <x:v>These conclusions are exploratory and apply only to the 4-radius n=1000 extension. The proposed heterogeneous-graph experiment below was not run.</x:v>
      </x:c>
      <x:c r="B3" s="16" t="str">
        <x:v>These conclusions are exploratory and apply only to the 4-radius n=1000 extension. The proposed heterogeneous-graph experiment below was not run.</x:v>
      </x:c>
      <x:c r="C3" s="16" t="str">
        <x:v>These conclusions are exploratory and apply only to the 4-radius n=1000 extension. The proposed heterogeneous-graph experiment below was not run.</x:v>
      </x:c>
      <x:c r="D3" s="16" t="str">
        <x:v>These conclusions are exploratory and apply only to the 4-radius n=1000 extension. The proposed heterogeneous-graph experiment below was not run.</x:v>
      </x:c>
      <x:c r="E3" s="16" t="str">
        <x:v>These conclusions are exploratory and apply only to the 4-radius n=1000 extension. The proposed heterogeneous-graph experiment below was not run.</x:v>
      </x:c>
      <x:c r="F3" s="16" t="str">
        <x:v>These conclusions are exploratory and apply only to the 4-radius n=1000 extension. The proposed heterogeneous-graph experiment below was not run.</x:v>
      </x:c>
      <x:c r="G3" s="16" t="str">
        <x:v>These conclusions are exploratory and apply only to the 4-radius n=1000 extension. The proposed heterogeneous-graph experiment below was not run.</x:v>
      </x:c>
      <x:c r="H3" s="16" t="str">
        <x:v>These conclusions are exploratory and apply only to the 4-radius n=1000 extension. The proposed heterogeneous-graph experiment below was not run.</x:v>
      </x:c>
      <x:c r="I3" s="16" t="str">
        <x:v>These conclusions are exploratory and apply only to the 4-radius n=1000 extension. The proposed heterogeneous-graph experiment below was not run.</x:v>
      </x:c>
      <x:c r="J3" s="16" t="str">
        <x:v>These conclusions are exploratory and apply only to the 4-radius n=1000 extension. The proposed heterogeneous-graph experiment below was not run.</x:v>
      </x:c>
    </x:row>
    <x:row r="4">
      <x:c r="A4" s="232"/>
      <x:c r="B4" s="232"/>
      <x:c r="C4" s="232"/>
      <x:c r="D4" s="232"/>
      <x:c r="E4" s="232"/>
      <x:c r="F4" s="232"/>
      <x:c r="G4" s="232"/>
      <x:c r="H4" s="232"/>
      <x:c r="I4" s="232"/>
      <x:c r="J4" s="232"/>
    </x:row>
    <x:row r="5" ht="22" customHeight="1">
      <x:c r="A5" s="204" t="str">
        <x:v>Protocol</x:v>
      </x:c>
      <x:c r="B5" s="204" t="str">
        <x:v>Protocol</x:v>
      </x:c>
      <x:c r="C5" s="204" t="str">
        <x:v>Protocol</x:v>
      </x:c>
      <x:c r="D5" s="204" t="str">
        <x:v>Protocol</x:v>
      </x:c>
      <x:c r="E5" s="204" t="str">
        <x:v>Protocol</x:v>
      </x:c>
      <x:c r="F5" s="204" t="str">
        <x:v>Protocol</x:v>
      </x:c>
      <x:c r="G5" s="204" t="str">
        <x:v>Protocol</x:v>
      </x:c>
      <x:c r="H5" s="204" t="str">
        <x:v>Protocol</x:v>
      </x:c>
      <x:c r="I5" s="204" t="str">
        <x:v>Protocol</x:v>
      </x:c>
      <x:c r="J5" s="204" t="str">
        <x:v>Protocol</x:v>
      </x:c>
    </x:row>
    <x:row r="6" ht="33" customHeight="1">
      <x:c r="A6" s="214" t="str">
        <x:v>Design</x:v>
      </x:c>
      <x:c r="B6" s="216" t="str">
        <x:v>n=1000 × 4 radii × 4 graph seeds; all four method families; Entropy and Collision paired on identical graphs and seeds.</x:v>
      </x:c>
      <x:c r="C6" s="232"/>
      <x:c r="D6" s="232"/>
      <x:c r="E6" s="232"/>
      <x:c r="F6" s="232"/>
      <x:c r="G6" s="232"/>
      <x:c r="H6" s="232"/>
      <x:c r="I6" s="232"/>
      <x:c r="J6" s="232"/>
    </x:row>
    <x:row r="7" ht="33" customHeight="1">
      <x:c r="A7" s="214" t="str">
        <x:v>Fair post-processing</x:v>
      </x:c>
      <x:c r="B7" s="216" t="str">
        <x:v>Every output received global collision repair, the same seeded redundancy prune, and exact final validation.</x:v>
      </x:c>
      <x:c r="C7" s="232"/>
      <x:c r="D7" s="232"/>
      <x:c r="E7" s="232"/>
      <x:c r="F7" s="232"/>
      <x:c r="G7" s="232"/>
      <x:c r="H7" s="232"/>
      <x:c r="I7" s="232"/>
      <x:c r="J7" s="232"/>
    </x:row>
    <x:row r="8" ht="33" customHeight="1">
      <x:c r="A8" s="214" t="str">
        <x:v>Primary sample</x:v>
      </x:c>
      <x:c r="B8" s="216" t="str">
        <x:v>16 connected graph instances (128 connected final outputs).</x:v>
      </x:c>
      <x:c r="C8" s="232"/>
      <x:c r="D8" s="232"/>
      <x:c r="E8" s="232"/>
      <x:c r="F8" s="232"/>
      <x:c r="G8" s="232"/>
      <x:c r="H8" s="232"/>
      <x:c r="I8" s="232"/>
      <x:c r="J8" s="232"/>
    </x:row>
    <x:row r="9" ht="33" customHeight="1">
      <x:c r="A9" s="214" t="str">
        <x:v>Sensitivity sample</x:v>
      </x:c>
      <x:c r="B9" s="216" t="str">
        <x:v>All 16 graph instances, including 0 disconnected graphs (128 final outputs).</x:v>
      </x:c>
      <x:c r="C9" s="232"/>
      <x:c r="D9" s="232"/>
      <x:c r="E9" s="232"/>
      <x:c r="F9" s="232"/>
      <x:c r="G9" s="232"/>
      <x:c r="H9" s="232"/>
      <x:c r="I9" s="232"/>
      <x:c r="J9" s="232"/>
    </x:row>
    <x:row r="10" ht="33" customHeight="1">
      <x:c r="A10" s="214" t="str">
        <x:v>Timing</x:v>
      </x:c>
      <x:c r="B10" s="216" t="str">
        <x:v>End-to-end method runtime plus repair/common-prune time. Cross-family timing includes each implementation's own preprocessing choices.</x:v>
      </x:c>
      <x:c r="C10" s="232"/>
      <x:c r="D10" s="232"/>
      <x:c r="E10" s="232"/>
      <x:c r="F10" s="232"/>
      <x:c r="G10" s="232"/>
      <x:c r="H10" s="232"/>
      <x:c r="I10" s="232"/>
      <x:c r="J10" s="232"/>
    </x:row>
    <x:row r="11" ht="33" customHeight="1">
      <x:c r="A11" s="214" t="str">
        <x:v>Validity</x:v>
      </x:c>
      <x:c r="B11" s="216" t="str">
        <x:v>All 128 final sets were exact-valid; common-prune reversions for exact validity: 0.</x:v>
      </x:c>
      <x:c r="C11" s="232"/>
      <x:c r="D11" s="232"/>
      <x:c r="E11" s="232"/>
      <x:c r="F11" s="232"/>
      <x:c r="G11" s="232"/>
      <x:c r="H11" s="232"/>
      <x:c r="I11" s="232"/>
      <x:c r="J11" s="232"/>
    </x:row>
    <x:row r="12" ht="33" customHeight="1">
      <x:c r="A12" s="232"/>
      <x:c r="B12" s="234"/>
      <x:c r="C12" s="232"/>
      <x:c r="D12" s="232"/>
      <x:c r="E12" s="232"/>
      <x:c r="F12" s="232"/>
      <x:c r="G12" s="232"/>
      <x:c r="H12" s="232"/>
      <x:c r="I12" s="232"/>
      <x:c r="J12" s="232"/>
    </x:row>
    <x:row r="13" ht="33" customHeight="1">
      <x:c r="A13" s="90" t="str">
        <x:v>What the results say</x:v>
      </x:c>
      <x:c r="B13" s="218" t="str">
        <x:v>What the results say</x:v>
      </x:c>
      <x:c r="C13" s="90" t="str">
        <x:v>What the results say</x:v>
      </x:c>
      <x:c r="D13" s="90" t="str">
        <x:v>What the results say</x:v>
      </x:c>
      <x:c r="E13" s="90" t="str">
        <x:v>What the results say</x:v>
      </x:c>
      <x:c r="F13" s="90" t="str">
        <x:v>What the results say</x:v>
      </x:c>
      <x:c r="G13" s="90" t="str">
        <x:v>What the results say</x:v>
      </x:c>
      <x:c r="H13" s="90" t="str">
        <x:v>What the results say</x:v>
      </x:c>
      <x:c r="I13" s="90" t="str">
        <x:v>What the results say</x:v>
      </x:c>
      <x:c r="J13" s="90" t="str">
        <x:v>What the results say</x:v>
      </x:c>
    </x:row>
    <x:row r="14" ht="33" customHeight="1">
      <x:c r="A14" s="214" t="str">
        <x:v>Pure size leaders</x:v>
      </x:c>
      <x:c r="B14" s="216" t="str">
        <x:v>ich entropy and ich collision tied: connected median final size/n = 0.106 and median final size = 105.5.</x:v>
      </x:c>
      <x:c r="C14" s="232"/>
      <x:c r="D14" s="232"/>
      <x:c r="E14" s="232"/>
      <x:c r="F14" s="232"/>
      <x:c r="G14" s="232"/>
      <x:c r="H14" s="232"/>
      <x:c r="I14" s="232"/>
      <x:c r="J14" s="232"/>
    </x:row>
    <x:row r="15" ht="33" customHeight="1">
      <x:c r="A15" s="214" t="str">
        <x:v>Pooled speed leaders</x:v>
      </x:c>
      <x:c r="B15" s="216" t="str">
        <x:v>Circle Entropy/Collision medians = 14.639/14.782 s; essentially tied, with Collision faster on 11/16 paired graphs.</x:v>
      </x:c>
      <x:c r="C15" s="232"/>
      <x:c r="D15" s="232"/>
      <x:c r="E15" s="232"/>
      <x:c r="F15" s="232"/>
      <x:c r="G15" s="232"/>
      <x:c r="H15" s="232"/>
      <x:c r="I15" s="232"/>
      <x:c r="J15" s="232"/>
    </x:row>
    <x:row r="16" ht="33" customHeight="1">
      <x:c r="A16" s="214" t="str">
        <x:v>Strongest score effect</x:v>
      </x:c>
      <x:c r="B16" s="216" t="str">
        <x:v>grid: Collision size W/T/L = 13/1/2; mean C−E = -14.44 probes.</x:v>
      </x:c>
      <x:c r="C16" s="232"/>
      <x:c r="D16" s="232"/>
      <x:c r="E16" s="232"/>
      <x:c r="F16" s="232"/>
      <x:c r="G16" s="232"/>
      <x:c r="H16" s="232"/>
      <x:c r="I16" s="232"/>
      <x:c r="J16" s="232"/>
    </x:row>
    <x:row r="17" ht="33" customHeight="1">
      <x:c r="A17" s="214" t="str">
        <x:v>Grid</x:v>
      </x:c>
      <x:c r="B17" s="216" t="str">
        <x:v>Collision size W/T/L = 13/1/2; median C/E time = 0.548.</x:v>
      </x:c>
      <x:c r="C17" s="232"/>
      <x:c r="D17" s="232"/>
      <x:c r="E17" s="232"/>
      <x:c r="F17" s="232"/>
      <x:c r="G17" s="232"/>
      <x:c r="H17" s="232"/>
      <x:c r="I17" s="232"/>
      <x:c r="J17" s="232"/>
    </x:row>
    <x:row r="18" ht="33" customHeight="1">
      <x:c r="A18" s="214" t="str">
        <x:v>Circle</x:v>
      </x:c>
      <x:c r="B18" s="216" t="str">
        <x:v>Collision size W/T/L = 5/4/7; median C/E time = 0.938.</x:v>
      </x:c>
      <x:c r="C18" s="232"/>
      <x:c r="D18" s="232"/>
      <x:c r="E18" s="232"/>
      <x:c r="F18" s="232"/>
      <x:c r="G18" s="232"/>
      <x:c r="H18" s="232"/>
      <x:c r="I18" s="232"/>
      <x:c r="J18" s="232"/>
    </x:row>
    <x:row r="19" ht="33" customHeight="1">
      <x:c r="A19" s="214" t="str">
        <x:v>Zoomed</x:v>
      </x:c>
      <x:c r="B19" s="216" t="str">
        <x:v>Collision size W/T/L = 12/0/4; median C/E time = 0.748.</x:v>
      </x:c>
      <x:c r="C19" s="232"/>
      <x:c r="D19" s="232"/>
      <x:c r="E19" s="232"/>
      <x:c r="F19" s="232"/>
      <x:c r="G19" s="232"/>
      <x:c r="H19" s="232"/>
      <x:c r="I19" s="232"/>
      <x:c r="J19" s="232"/>
    </x:row>
    <x:row r="20" ht="33" customHeight="1">
      <x:c r="A20" s="214" t="str">
        <x:v>ICH</x:v>
      </x:c>
      <x:c r="B20" s="216" t="str">
        <x:v>Collision size W/T/L = 6/2/8; median C/E time = 0.963.</x:v>
      </x:c>
      <x:c r="C20" s="232"/>
      <x:c r="D20" s="232"/>
      <x:c r="E20" s="232"/>
      <x:c r="F20" s="232"/>
      <x:c r="G20" s="232"/>
      <x:c r="H20" s="232"/>
      <x:c r="I20" s="232"/>
      <x:c r="J20" s="232"/>
    </x:row>
    <x:row r="21" ht="33" customHeight="1">
      <x:c r="A21" s="214" t="str">
        <x:v>Repair and pruning</x:v>
      </x:c>
      <x:c r="B21" s="216" t="str">
        <x:v>1 connected outputs needed 1 total repair probes; common pruning removed 165 redundant probes. All final outputs remained exact-valid.</x:v>
      </x:c>
      <x:c r="C21" s="232"/>
      <x:c r="D21" s="232"/>
      <x:c r="E21" s="232"/>
      <x:c r="F21" s="232"/>
      <x:c r="G21" s="232"/>
      <x:c r="H21" s="232"/>
      <x:c r="I21" s="232"/>
      <x:c r="J21" s="232"/>
    </x:row>
    <x:row r="22" ht="33" customHeight="1">
      <x:c r="A22" s="232"/>
      <x:c r="B22" s="234"/>
      <x:c r="C22" s="232"/>
      <x:c r="D22" s="232"/>
      <x:c r="E22" s="232"/>
      <x:c r="F22" s="232"/>
      <x:c r="G22" s="232"/>
      <x:c r="H22" s="232"/>
      <x:c r="I22" s="232"/>
      <x:c r="J22" s="232"/>
    </x:row>
    <x:row r="23" ht="33" customHeight="1">
      <x:c r="A23" s="210" t="str">
        <x:v>Limitations to state in a report</x:v>
      </x:c>
      <x:c r="B23" s="219" t="str">
        <x:v>Limitations to state in a report</x:v>
      </x:c>
      <x:c r="C23" s="210" t="str">
        <x:v>Limitations to state in a report</x:v>
      </x:c>
      <x:c r="D23" s="210" t="str">
        <x:v>Limitations to state in a report</x:v>
      </x:c>
      <x:c r="E23" s="210" t="str">
        <x:v>Limitations to state in a report</x:v>
      </x:c>
      <x:c r="F23" s="210" t="str">
        <x:v>Limitations to state in a report</x:v>
      </x:c>
      <x:c r="G23" s="210" t="str">
        <x:v>Limitations to state in a report</x:v>
      </x:c>
      <x:c r="H23" s="210" t="str">
        <x:v>Limitations to state in a report</x:v>
      </x:c>
      <x:c r="I23" s="210" t="str">
        <x:v>Limitations to state in a report</x:v>
      </x:c>
      <x:c r="J23" s="210" t="str">
        <x:v>Limitations to state in a report</x:v>
      </x:c>
    </x:row>
    <x:row r="24" ht="33" customHeight="1">
      <x:c r="A24" s="214" t="str">
        <x:v>Replication</x:v>
      </x:c>
      <x:c r="B24" s="216" t="str">
        <x:v>4 graph seeds per radius is exploratory, not confirmatory.</x:v>
      </x:c>
      <x:c r="C24" s="232"/>
      <x:c r="D24" s="232"/>
      <x:c r="E24" s="232"/>
      <x:c r="F24" s="232"/>
      <x:c r="G24" s="232"/>
      <x:c r="H24" s="232"/>
      <x:c r="I24" s="232"/>
      <x:c r="J24" s="232"/>
    </x:row>
    <x:row r="25" ht="33" customHeight="1">
      <x:c r="A25" s="214" t="str">
        <x:v>Density confound</x:v>
      </x:c>
      <x:c r="B25" s="216" t="str">
        <x:v>The four radii create very different graph densities; radius effects should not be interpreted as density-independent.</x:v>
      </x:c>
      <x:c r="C25" s="232"/>
      <x:c r="D25" s="232"/>
      <x:c r="E25" s="232"/>
      <x:c r="F25" s="232"/>
      <x:c r="G25" s="232"/>
      <x:c r="H25" s="232"/>
      <x:c r="I25" s="232"/>
      <x:c r="J25" s="232"/>
    </x:row>
    <x:row r="26" ht="33" customHeight="1">
      <x:c r="A26" s="214" t="str">
        <x:v>Connectivity</x:v>
      </x:c>
      <x:c r="B26" s="216" t="str">
        <x:v>0 of 16 n=1000 graph instances were disconnected. Classical metric dimension normally assumes connected graphs.</x:v>
      </x:c>
      <x:c r="C26" s="232"/>
      <x:c r="D26" s="232"/>
      <x:c r="E26" s="232"/>
      <x:c r="F26" s="232"/>
      <x:c r="G26" s="232"/>
      <x:c r="H26" s="232"/>
      <x:c r="I26" s="232"/>
      <x:c r="J26" s="232"/>
    </x:row>
    <x:row r="27" ht="33" customHeight="1">
      <x:c r="A27" s="214" t="str">
        <x:v>Generality</x:v>
      </x:c>
      <x:c r="B27" s="216" t="str">
        <x:v>Only uniform-square random geometric graphs and k=5 were tested.</x:v>
      </x:c>
      <x:c r="C27" s="232"/>
      <x:c r="D27" s="232"/>
      <x:c r="E27" s="232"/>
      <x:c r="F27" s="232"/>
      <x:c r="G27" s="232"/>
      <x:c r="H27" s="232"/>
      <x:c r="I27" s="232"/>
      <x:c r="J27" s="232"/>
    </x:row>
    <x:row r="28" ht="33" customHeight="1">
      <x:c r="A28" s="214" t="str">
        <x:v>Optimality</x:v>
      </x:c>
      <x:c r="B28" s="216" t="str">
        <x:v>The outputs are redundancy-pruned heuristic resolving sets, not proven minimum metric dimensions.</x:v>
      </x:c>
      <x:c r="C28" s="232"/>
      <x:c r="D28" s="232"/>
      <x:c r="E28" s="232"/>
      <x:c r="F28" s="232"/>
      <x:c r="G28" s="232"/>
      <x:c r="H28" s="232"/>
      <x:c r="I28" s="232"/>
      <x:c r="J28" s="232"/>
    </x:row>
    <x:row r="29" ht="33" customHeight="1">
      <x:c r="A29" s="214" t="str">
        <x:v>Timing</x:v>
      </x:c>
      <x:c r="B29" s="216" t="str">
        <x:v>Single executions were used. Execution order was exactly balanced, but future work should use repeated timing or isolated core measurements.</x:v>
      </x:c>
      <x:c r="C29" s="232"/>
      <x:c r="D29" s="232"/>
      <x:c r="E29" s="232"/>
      <x:c r="F29" s="232"/>
      <x:c r="G29" s="232"/>
      <x:c r="H29" s="232"/>
      <x:c r="I29" s="232"/>
      <x:c r="J29" s="232"/>
    </x:row>
    <x:row r="30" ht="33" customHeight="1">
      <x:c r="A30" s="232"/>
      <x:c r="B30" s="234"/>
      <x:c r="C30" s="232"/>
      <x:c r="D30" s="232"/>
      <x:c r="E30" s="232"/>
      <x:c r="F30" s="232"/>
      <x:c r="G30" s="232"/>
      <x:c r="H30" s="232"/>
      <x:c r="I30" s="232"/>
      <x:c r="J30" s="232"/>
    </x:row>
    <x:row r="31" ht="33" customHeight="1">
      <x:c r="A31" s="126" t="str">
        <x:v>Recommended next experiment — NOT RUN</x:v>
      </x:c>
      <x:c r="B31" s="220" t="str">
        <x:v>Recommended next experiment — NOT RUN</x:v>
      </x:c>
      <x:c r="C31" s="126" t="str">
        <x:v>Recommended next experiment — NOT RUN</x:v>
      </x:c>
      <x:c r="D31" s="126" t="str">
        <x:v>Recommended next experiment — NOT RUN</x:v>
      </x:c>
      <x:c r="E31" s="126" t="str">
        <x:v>Recommended next experiment — NOT RUN</x:v>
      </x:c>
      <x:c r="F31" s="126" t="str">
        <x:v>Recommended next experiment — NOT RUN</x:v>
      </x:c>
      <x:c r="G31" s="126" t="str">
        <x:v>Recommended next experiment — NOT RUN</x:v>
      </x:c>
      <x:c r="H31" s="126" t="str">
        <x:v>Recommended next experiment — NOT RUN</x:v>
      </x:c>
      <x:c r="I31" s="126" t="str">
        <x:v>Recommended next experiment — NOT RUN</x:v>
      </x:c>
      <x:c r="J31" s="126" t="str">
        <x:v>Recommended next experiment — NOT RUN</x:v>
      </x:c>
    </x:row>
    <x:row r="32" ht="33" customHeight="1">
      <x:c r="A32" s="214" t="str">
        <x:v>Methods</x:v>
      </x:c>
      <x:c r="B32" s="216" t="str">
        <x:v>Compare Circle Collision, Zoomed Collision, and Grid Collision. If limited to two, use Circle and Grid as the speed and quality endpoints.</x:v>
      </x:c>
      <x:c r="C32" s="232"/>
      <x:c r="D32" s="232"/>
      <x:c r="E32" s="232"/>
      <x:c r="F32" s="232"/>
      <x:c r="G32" s="232"/>
      <x:c r="H32" s="232"/>
      <x:c r="I32" s="232"/>
      <x:c r="J32" s="232"/>
    </x:row>
    <x:row r="33" ht="33" customHeight="1">
      <x:c r="A33" s="214" t="str">
        <x:v>Graph families</x:v>
      </x:c>
      <x:c r="B33" s="216" t="str">
        <x:v>Uniform square RGG, toroidal RGG, Gaussian-mixture clusters, and jittered-grid or Poisson-disk regular point patterns; optionally corridors/holes.</x:v>
      </x:c>
      <x:c r="C33" s="232"/>
      <x:c r="D33" s="232"/>
      <x:c r="E33" s="232"/>
      <x:c r="F33" s="232"/>
      <x:c r="G33" s="232"/>
      <x:c r="H33" s="232"/>
      <x:c r="I33" s="232"/>
      <x:c r="J33" s="232"/>
    </x:row>
    <x:row r="34" ht="33" customHeight="1">
      <x:c r="A34" s="214" t="str">
        <x:v>Critical control</x:v>
      </x:c>
      <x:c r="B34" s="216" t="str">
        <x:v>Calibrate radius separately so graph families are matched by realized average degree or connectivity—not by identical radius.</x:v>
      </x:c>
      <x:c r="C34" s="232"/>
      <x:c r="D34" s="232"/>
      <x:c r="E34" s="232"/>
      <x:c r="F34" s="232"/>
      <x:c r="G34" s="232"/>
      <x:c r="H34" s="232"/>
      <x:c r="I34" s="232"/>
      <x:c r="J34" s="232"/>
    </x:row>
    <x:row r="35" ht="33" customHeight="1">
      <x:c r="A35" s="214" t="str">
        <x:v>Suggested design</x:v>
      </x:c>
      <x:c r="B35" s="216" t="str">
        <x:v>3–4 n levels × 3 target degree levels × 20–30 paired graph seeds per cell; same k, repair, common prune, timing protocol, and balanced order.</x:v>
      </x:c>
      <x:c r="C35" s="232"/>
      <x:c r="D35" s="232"/>
      <x:c r="E35" s="232"/>
      <x:c r="F35" s="232"/>
      <x:c r="G35" s="232"/>
      <x:c r="H35" s="232"/>
      <x:c r="I35" s="232"/>
      <x:c r="J35" s="232"/>
    </x:row>
    <x:row r="36" ht="33" customHeight="1">
      <x:c r="A36" s="214" t="str">
        <x:v>Analysis</x:v>
      </x:c>
      <x:c r="B36" s="216" t="str">
        <x:v>Test method × graph-family interaction using degree variation, clustering, boundary fraction, diameter, and component count as graph descriptors.</x:v>
      </x:c>
      <x:c r="C36" s="232"/>
      <x:c r="D36" s="232"/>
      <x:c r="E36" s="232"/>
      <x:c r="F36" s="232"/>
      <x:c r="G36" s="232"/>
      <x:c r="H36" s="232"/>
      <x:c r="I36" s="232"/>
      <x:c r="J36" s="232"/>
    </x:row>
    <x:row r="37" ht="33" customHeight="1">
      <x:c r="A37" s="214" t="str">
        <x:v>Validation</x:v>
      </x:c>
      <x:c r="B37" s="216" t="str">
        <x:v>On small graphs, compare heuristic sizes with an exact metric-dimension solver to measure optimality gap.</x:v>
      </x:c>
      <x:c r="C37" s="232"/>
      <x:c r="D37" s="232"/>
      <x:c r="E37" s="232"/>
      <x:c r="F37" s="232"/>
      <x:c r="G37" s="232"/>
      <x:c r="H37" s="232"/>
      <x:c r="I37" s="232"/>
      <x:c r="J37" s="232"/>
    </x:row>
    <x:row r="38" ht="33" customHeight="1">
      <x:c r="A38" s="214" t="str">
        <x:v>Immediate checks</x:v>
      </x:c>
      <x:c r="B38" s="216" t="str">
        <x:v>Add more dense seeds, vary k_nearest, and inspect repair-heavy Grid/Zoomed graph structures.</x:v>
      </x:c>
      <x:c r="C38" s="232"/>
      <x:c r="D38" s="232"/>
      <x:c r="E38" s="232"/>
      <x:c r="F38" s="232"/>
      <x:c r="G38" s="232"/>
      <x:c r="H38" s="232"/>
      <x:c r="I38" s="232"/>
      <x:c r="J38" s="232"/>
    </x:row>
    <x:row r="39" ht="33" customHeight="1">
      <x:c r="A39" s="232"/>
      <x:c r="B39" s="234"/>
      <x:c r="C39" s="232"/>
      <x:c r="D39" s="232"/>
      <x:c r="E39" s="232"/>
      <x:c r="F39" s="232"/>
      <x:c r="G39" s="232"/>
      <x:c r="H39" s="232"/>
      <x:c r="I39" s="232"/>
      <x:c r="J39" s="232"/>
    </x:row>
    <x:row r="40" ht="33" customHeight="1">
      <x:c r="A40" s="204" t="str">
        <x:v>Reproducibility</x:v>
      </x:c>
      <x:c r="B40" s="221" t="str">
        <x:v>Reproducibility</x:v>
      </x:c>
      <x:c r="C40" s="204" t="str">
        <x:v>Reproducibility</x:v>
      </x:c>
      <x:c r="D40" s="204" t="str">
        <x:v>Reproducibility</x:v>
      </x:c>
      <x:c r="E40" s="204" t="str">
        <x:v>Reproducibility</x:v>
      </x:c>
      <x:c r="F40" s="204" t="str">
        <x:v>Reproducibility</x:v>
      </x:c>
      <x:c r="G40" s="204" t="str">
        <x:v>Reproducibility</x:v>
      </x:c>
      <x:c r="H40" s="204" t="str">
        <x:v>Reproducibility</x:v>
      </x:c>
      <x:c r="I40" s="204" t="str">
        <x:v>Reproducibility</x:v>
      </x:c>
      <x:c r="J40" s="204" t="str">
        <x:v>Reproducibility</x:v>
      </x:c>
    </x:row>
    <x:row r="41" ht="33" customHeight="1">
      <x:c r="A41" s="214" t="str">
        <x:v>Benchmark script</x:v>
      </x:c>
      <x:c r="B41" s="216" t="str">
        <x:v>local RGG/experiments_final_entropy_collision.py</x:v>
      </x:c>
      <x:c r="C41" s="232"/>
      <x:c r="D41" s="232"/>
      <x:c r="E41" s="232"/>
      <x:c r="F41" s="232"/>
      <x:c r="G41" s="232"/>
      <x:c r="H41" s="232"/>
      <x:c r="I41" s="232"/>
      <x:c r="J41" s="232"/>
    </x:row>
    <x:row r="42" ht="33" customHeight="1">
      <x:c r="A42" s="214" t="str">
        <x:v>Raw source</x:v>
      </x:c>
      <x:c r="B42" s="216" t="str">
        <x:v>C:\Users\adity\.codex\visualizations\2026\07\20\019f7f77-c4ca-7a02-9417-cb288c0e156d\n1000_entropy_collision_build\n1000_entropy_collision_raw.csv</x:v>
      </x:c>
      <x:c r="C42" s="232"/>
      <x:c r="D42" s="232"/>
      <x:c r="E42" s="232"/>
      <x:c r="F42" s="232"/>
      <x:c r="G42" s="232"/>
      <x:c r="H42" s="232"/>
      <x:c r="I42" s="232"/>
      <x:c r="J42" s="232"/>
    </x:row>
    <x:row r="43" ht="33" customHeight="1">
      <x:c r="A43" s="214" t="str">
        <x:v>Experiment version</x:v>
      </x:c>
      <x:c r="B43" s="216" t="str">
        <x:v>final-paired-v2; n=1000 extension; benchmark seed 20260819; k=5</x:v>
      </x:c>
      <x:c r="C43" s="232"/>
      <x:c r="D43" s="232"/>
      <x:c r="E43" s="232"/>
      <x:c r="F43" s="232"/>
      <x:c r="G43" s="232"/>
      <x:c r="H43" s="232"/>
      <x:c r="I43" s="232"/>
      <x:c r="J43" s="232"/>
    </x:row>
    <x:row r="44" ht="33" customHeight="1">
      <x:c r="A44" s="214" t="str">
        <x:v>Full method rerun check</x:v>
      </x:c>
      <x:c r="B44" s="216" t="str">
        <x:v>Not performed in the timed run; deterministic seeding, graph fingerprints, and pipeline invariants were checked.</x:v>
      </x:c>
      <x:c r="C44" s="232"/>
      <x:c r="D44" s="232"/>
      <x:c r="E44" s="232"/>
      <x:c r="F44" s="232"/>
      <x:c r="G44" s="232"/>
      <x:c r="H44" s="232"/>
      <x:c r="I44" s="232"/>
      <x:c r="J44" s="232"/>
    </x:row>
  </x:sheetData>
  <x:mergeCells>
    <x:mergeCell ref="A1:J2"/>
    <x:mergeCell ref="A3:J3"/>
    <x:mergeCell ref="A5:J5"/>
    <x:mergeCell ref="A13:J13"/>
    <x:mergeCell ref="A23:J23"/>
    <x:mergeCell ref="A31:J31"/>
    <x:mergeCell ref="A40:J40"/>
  </x:mergeCells>
  <x:pageMargins left="0.7" right="0.7" top="0.75" bottom="0.75" header="0.3" footer="0.3"/>
</x:worksheet>
</file>