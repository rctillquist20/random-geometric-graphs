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382d53bf114f95" /></Relationships>
</file>

<file path=xl/workbook.xml><?xml version="1.0" encoding="utf-8"?>
<x:workbook xmlns:x="http://schemas.openxmlformats.org/spreadsheetml/2006/main">
  <x:sheets>
    <x:sheet xmlns:r="http://schemas.openxmlformats.org/officeDocument/2006/relationships" name="Raw Results" sheetId="1" r:id="Rb0a246e7412447b0"/>
    <x:sheet xmlns:r="http://schemas.openxmlformats.org/officeDocument/2006/relationships" name="Dashboard" sheetId="2" r:id="R33352c4518784ddb"/>
    <x:sheet xmlns:r="http://schemas.openxmlformats.org/officeDocument/2006/relationships" name="By Configuration" sheetId="3" r:id="Rb34ff0304b2b4e19"/>
    <x:sheet xmlns:r="http://schemas.openxmlformats.org/officeDocument/2006/relationships" name="Repairs" sheetId="4" r:id="R1e0dc674a82140cf"/>
    <x:sheet xmlns:r="http://schemas.openxmlformats.org/officeDocument/2006/relationships" name="Pair Results" sheetId="5" r:id="R1ecbe1bc31f84cfd"/>
    <x:sheet xmlns:r="http://schemas.openxmlformats.org/officeDocument/2006/relationships" name="Methodology" sheetId="6" r:id="R381ec61635fe422b"/>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0"/>
    <x:numFmt numFmtId="202" formatCode="0.0000"/>
    <x:numFmt numFmtId="203" formatCode="0.0%"/>
    <x:numFmt numFmtId="204" formatCode="+0;-0;0"/>
    <x:numFmt numFmtId="205" formatCode="0.00"/>
  </x:numFmts>
  <x:fonts count="10">
    <x:font>
      <x:sz val="11"/>
      <x:name val="Carlito"/>
    </x:font>
    <x:font>
      <x:b/>
      <x:sz val="9"/>
      <x:color rgb="FFFFFFFF"/>
      <x:name val="Aptos"/>
    </x:font>
    <x:font>
      <x:sz val="8"/>
      <x:color rgb="FF263746"/>
      <x:name val="Aptos"/>
    </x:font>
    <x:font>
      <x:b/>
      <x:sz val="18"/>
      <x:color rgb="FFFFFFFF"/>
      <x:name val="Aptos Display"/>
    </x:font>
    <x:font>
      <x:i/>
      <x:sz val="9"/>
      <x:color rgb="FF496276"/>
      <x:name val="Aptos"/>
    </x:font>
    <x:font>
      <x:b/>
      <x:sz val="18"/>
      <x:color rgb="FF17324D"/>
      <x:name val="Aptos Display"/>
    </x:font>
    <x:font>
      <x:sz val="9"/>
      <x:color rgb="FF263746"/>
      <x:name val="Aptos"/>
    </x:font>
    <x:font>
      <x:i/>
      <x:sz val="10"/>
      <x:color rgb="FF6A5621"/>
      <x:name val="Aptos"/>
    </x:font>
    <x:font>
      <x:b/>
      <x:sz val="10"/>
      <x:color rgb="FFFFFFFF"/>
      <x:name val="Aptos"/>
    </x:font>
    <x:font>
      <x:sz val="10"/>
      <x:color rgb="FF263746"/>
      <x:name val="Aptos"/>
    </x:font>
  </x:fonts>
  <x:fills count="7">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177D7A"/>
      </x:patternFill>
    </x:fill>
    <x:fill>
      <x:patternFill patternType="solid">
        <x:fgColor rgb="FFE8F5F3"/>
      </x:patternFill>
    </x:fill>
    <x:fill>
      <x:patternFill patternType="solid">
        <x:fgColor rgb="FFFFF5D6"/>
      </x:patternFill>
    </x:fill>
  </x:fills>
  <x:borders count="17">
    <x:border/>
    <x:border/>
    <x:border>
      <x:right style="thin">
        <x:color rgb="FFD9E3EA"/>
      </x:right>
    </x:border>
    <x:border>
      <x:left style="thin">
        <x:color rgb="FFD9E3EA"/>
      </x:left>
      <x:right style="thin">
        <x:color rgb="FFD9E3EA"/>
      </x:right>
    </x:border>
    <x:border>
      <x:left style="thin">
        <x:color rgb="FFD9E3EA"/>
      </x:left>
    </x:border>
    <x:border>
      <x:right style="thin">
        <x:color rgb="FFD9E3EA"/>
      </x:right>
    </x:border>
    <x:border>
      <x:left style="thin">
        <x:color rgb="FFD9E3EA"/>
      </x:left>
      <x:right style="thin">
        <x:color rgb="FFD9E3EA"/>
      </x:right>
    </x:border>
    <x:border>
      <x:left style="thin">
        <x:color rgb="FFD9E3EA"/>
      </x:left>
    </x:border>
    <x:border>
      <x:bottom style="thin">
        <x:color rgb="FFCDD8E2"/>
      </x:bottom>
    </x:border>
    <x:border>
      <x:top style="thin">
        <x:color rgb="FFCDD8E2"/>
      </x:top>
      <x:bottom style="thin">
        <x:color rgb="FFCDD8E2"/>
      </x:bottom>
    </x:border>
    <x:border>
      <x:top style="thin">
        <x:color rgb="FFCDD8E2"/>
      </x:top>
    </x:border>
    <x:border>
      <x:bottom style="thin">
        <x:color rgb="FFCDD8E2"/>
      </x:bottom>
    </x:border>
    <x:border>
      <x:top style="thin">
        <x:color rgb="FFCDD8E2"/>
      </x:top>
      <x:bottom style="thin">
        <x:color rgb="FFCDD8E2"/>
      </x:bottom>
    </x:border>
    <x:border>
      <x:top style="thin">
        <x:color rgb="FFCDD8E2"/>
      </x:top>
    </x:border>
    <x:border>
      <x:bottom style="thin">
        <x:color rgb="FFE6EBF0"/>
      </x:bottom>
    </x:border>
    <x:border>
      <x:top style="thin">
        <x:color rgb="FFE6EBF0"/>
      </x:top>
      <x:bottom style="thin">
        <x:color rgb="FFE6EBF0"/>
      </x:bottom>
    </x:border>
    <x:border>
      <x:top style="thin">
        <x:color rgb="FFE6EBF0"/>
      </x:top>
    </x:border>
  </x:borders>
  <x:cellStyleXfs count="1">
    <x:xf numFmtId="0" fontId="0" fillId="0" borderId="0"/>
  </x:cellStyleXfs>
  <x:cellXfs count="119">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0" borderId="0" xfId="0" applyNumberFormat="1" applyFont="1" applyFill="1" applyBorder="1"/>
    <x:xf numFmtId="0" fontId="2" fillId="0" borderId="1" xfId="0" applyNumberFormat="1" applyFont="1" applyFill="1" applyBorder="1"/>
    <x:xf numFmtId="200" fontId="2" fillId="0" borderId="0" xfId="0" applyNumberFormat="1" applyFont="1" applyFill="1" applyBorder="1"/>
    <x:xf numFmtId="200" fontId="2" fillId="0" borderId="1" xfId="0" applyNumberFormat="1" applyFont="1" applyFill="1" applyBorder="1"/>
    <x:xf numFmtId="201" fontId="2" fillId="0" borderId="0" xfId="0" applyNumberFormat="1" applyFont="1" applyFill="1" applyBorder="1"/>
    <x:xf numFmtId="201" fontId="2" fillId="0" borderId="1" xfId="0" applyNumberFormat="1" applyFont="1" applyFill="1" applyBorder="1"/>
    <x:xf numFmtId="202" fontId="2" fillId="0" borderId="0" xfId="0" applyNumberFormat="1" applyFont="1" applyFill="1" applyBorder="1"/>
    <x:xf numFmtId="202" fontId="2" fillId="0" borderId="1" xfId="0" applyNumberFormat="1" applyFont="1" applyFill="1" applyBorder="1"/>
    <x:xf numFmtId="203" fontId="2" fillId="0" borderId="0" xfId="0" applyNumberFormat="1" applyFont="1" applyFill="1" applyBorder="1"/>
    <x:xf numFmtId="203" fontId="2" fillId="0" borderId="1" xfId="0" applyNumberFormat="1" applyFont="1" applyFill="1" applyBorder="1"/>
    <x:xf numFmtId="204" fontId="2" fillId="0" borderId="0" xfId="0" applyNumberFormat="1" applyFont="1" applyFill="1" applyBorder="1"/>
    <x:xf numFmtId="204" fontId="2" fillId="0"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0" xfId="0" applyNumberFormat="1" applyFont="1" applyFill="1" applyBorder="1" applyAlignment="1">
      <x:alignment vertical="center"/>
    </x:xf>
    <x:xf numFmtId="0" fontId="4" fillId="3" borderId="1" xfId="0" applyNumberFormat="1" applyFont="1" applyFill="1" applyBorder="1" applyAlignment="1">
      <x:alignment vertical="center"/>
    </x:xf>
    <x:xf numFmtId="0" fontId="0" fillId="4" borderId="0" xfId="0" applyNumberFormat="1" applyFont="1" applyFill="1" applyBorder="1"/>
    <x:xf numFmtId="0" fontId="0" fillId="4" borderId="1"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0" xfId="0" applyNumberFormat="1" applyFont="1" applyFill="1" applyBorder="1" applyAlignment="1">
      <x:alignment horizontal="center"/>
    </x:xf>
    <x:xf numFmtId="0" fontId="1" fillId="4" borderId="1"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1" fillId="4" borderId="1" xfId="0" applyNumberFormat="1" applyFont="1" applyFill="1" applyBorder="1" applyAlignment="1">
      <x:alignment horizontal="center" vertical="center"/>
    </x:xf>
    <x:xf numFmtId="0" fontId="0" fillId="5" borderId="0" xfId="0" applyNumberFormat="1" applyFont="1" applyFill="1" applyBorder="1"/>
    <x:xf numFmtId="0" fontId="0" fillId="5"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0" xfId="0" applyNumberFormat="1" applyFont="1" applyFill="1" applyBorder="1" applyAlignment="1">
      <x:alignment horizontal="center"/>
    </x:xf>
    <x:xf numFmtId="0" fontId="5" fillId="5" borderId="1"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5" fillId="5" borderId="1" xfId="0" applyNumberFormat="1" applyFont="1" applyFill="1" applyBorder="1" applyAlignment="1">
      <x:alignment horizontal="center" vertical="center"/>
    </x:xf>
    <x:xf numFmtId="0" fontId="6" fillId="0" borderId="0" xfId="0" applyNumberFormat="1" applyFont="1" applyFill="1" applyBorder="1"/>
    <x:xf numFmtId="0" fontId="6" fillId="0" borderId="1" xfId="0" applyNumberFormat="1" applyFont="1" applyFill="1" applyBorder="1"/>
    <x:xf numFmtId="0" fontId="6" fillId="0" borderId="0" xfId="0" applyNumberFormat="1" applyFont="1" applyFill="1" applyBorder="1" applyAlignment="1">
      <x:alignment vertical="center"/>
    </x:xf>
    <x:xf numFmtId="0" fontId="6" fillId="0" borderId="1" xfId="0" applyNumberFormat="1" applyFont="1" applyFill="1" applyBorder="1" applyAlignment="1">
      <x:alignment vertical="center"/>
    </x:xf>
    <x:xf numFmtId="205" fontId="6" fillId="0" borderId="0" xfId="0" applyNumberFormat="1" applyFont="1" applyFill="1" applyBorder="1" applyAlignment="1">
      <x:alignment vertical="center"/>
    </x:xf>
    <x:xf numFmtId="205" fontId="6" fillId="0" borderId="1" xfId="0" applyNumberFormat="1" applyFont="1" applyFill="1" applyBorder="1" applyAlignment="1">
      <x:alignment vertical="center"/>
    </x:xf>
    <x:xf numFmtId="0" fontId="0" fillId="6" borderId="0" xfId="0" applyNumberFormat="1" applyFont="1" applyFill="1" applyBorder="1"/>
    <x:xf numFmtId="0" fontId="0" fillId="6" borderId="1" xfId="0" applyNumberFormat="1" applyFont="1" applyFill="1" applyBorder="1"/>
    <x:xf numFmtId="0" fontId="7" fillId="6" borderId="0" xfId="0" applyNumberFormat="1" applyFont="1" applyFill="1" applyBorder="1"/>
    <x:xf numFmtId="0" fontId="7" fillId="6" borderId="1" xfId="0" applyNumberFormat="1" applyFont="1" applyFill="1" applyBorder="1"/>
    <x:xf numFmtId="0" fontId="7" fillId="6" borderId="0" xfId="0" applyNumberFormat="1" applyFont="1" applyFill="1" applyBorder="1" applyAlignment="1">
      <x:alignment wrapText="1"/>
    </x:xf>
    <x:xf numFmtId="0" fontId="7" fillId="6" borderId="1" xfId="0" applyNumberFormat="1" applyFont="1" applyFill="1" applyBorder="1" applyAlignment="1">
      <x:alignment wrapText="1"/>
    </x:xf>
    <x:xf numFmtId="0" fontId="7" fillId="6" borderId="0" xfId="0" applyNumberFormat="1" applyFont="1" applyFill="1" applyBorder="1" applyAlignment="1">
      <x:alignment vertical="center" wrapText="1"/>
    </x:xf>
    <x:xf numFmtId="0" fontId="7" fillId="6" borderId="1" xfId="0" applyNumberFormat="1" applyFont="1" applyFill="1" applyBorder="1" applyAlignment="1">
      <x:alignment vertical="center" wrapText="1"/>
    </x:xf>
    <x:xf numFmtId="200" fontId="6" fillId="0" borderId="0" xfId="0" applyNumberFormat="1" applyFont="1" applyFill="1" applyBorder="1"/>
    <x:xf numFmtId="200" fontId="6" fillId="0" borderId="1" xfId="0" applyNumberFormat="1" applyFont="1" applyFill="1" applyBorder="1"/>
    <x:xf numFmtId="201" fontId="6" fillId="0" borderId="0" xfId="0" applyNumberFormat="1" applyFont="1" applyFill="1" applyBorder="1"/>
    <x:xf numFmtId="201" fontId="6" fillId="0" borderId="1" xfId="0" applyNumberFormat="1" applyFont="1" applyFill="1" applyBorder="1"/>
    <x:xf numFmtId="204" fontId="6" fillId="0" borderId="0" xfId="0" applyNumberFormat="1" applyFont="1" applyFill="1" applyBorder="1"/>
    <x:xf numFmtId="204" fontId="6" fillId="0" borderId="1" xfId="0" applyNumberFormat="1" applyFont="1" applyFill="1" applyBorder="1"/>
    <x:xf numFmtId="205" fontId="6" fillId="0" borderId="0" xfId="0" applyNumberFormat="1" applyFont="1" applyFill="1" applyBorder="1"/>
    <x:xf numFmtId="205" fontId="6" fillId="0" borderId="1" xfId="0" applyNumberFormat="1" applyFont="1" applyFill="1" applyBorder="1"/>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1" fillId="2" borderId="4" xfId="0" applyNumberFormat="1" applyFont="1" applyFill="1" applyBorder="1" applyAlignment="1">
      <x:alignment vertical="center" wrapText="1"/>
    </x:xf>
    <x:xf numFmtId="0" fontId="6" fillId="0" borderId="2" xfId="0" applyNumberFormat="1" applyFont="1" applyFill="1" applyBorder="1"/>
    <x:xf numFmtId="200" fontId="6" fillId="0" borderId="3" xfId="0" applyNumberFormat="1" applyFont="1" applyFill="1" applyBorder="1"/>
    <x:xf numFmtId="201" fontId="6" fillId="0" borderId="3" xfId="0" applyNumberFormat="1" applyFont="1" applyFill="1" applyBorder="1"/>
    <x:xf numFmtId="204" fontId="6" fillId="0" borderId="3" xfId="0" applyNumberFormat="1" applyFont="1" applyFill="1" applyBorder="1"/>
    <x:xf numFmtId="205" fontId="6" fillId="0" borderId="3" xfId="0" applyNumberFormat="1" applyFont="1" applyFill="1" applyBorder="1"/>
    <x:xf numFmtId="0" fontId="6" fillId="0" borderId="3" xfId="0" applyNumberFormat="1" applyFont="1" applyFill="1" applyBorder="1"/>
    <x:xf numFmtId="0" fontId="6" fillId="0" borderId="4" xfId="0" applyNumberFormat="1" applyFont="1" applyFill="1" applyBorder="1"/>
    <x:xf numFmtId="0" fontId="1" fillId="2" borderId="5" xfId="0" applyNumberFormat="1" applyFont="1" applyFill="1" applyBorder="1" applyAlignment="1">
      <x:alignment vertical="center" wrapText="1"/>
    </x:xf>
    <x:xf numFmtId="0" fontId="1" fillId="2" borderId="6" xfId="0" applyNumberFormat="1" applyFont="1" applyFill="1" applyBorder="1" applyAlignment="1">
      <x:alignment vertical="center" wrapText="1"/>
    </x:xf>
    <x:xf numFmtId="0" fontId="1" fillId="2" borderId="7" xfId="0" applyNumberFormat="1" applyFont="1" applyFill="1" applyBorder="1" applyAlignment="1">
      <x:alignment vertical="center" wrapText="1"/>
    </x:xf>
    <x:xf numFmtId="0" fontId="6" fillId="0" borderId="5" xfId="0" applyNumberFormat="1" applyFont="1" applyFill="1" applyBorder="1"/>
    <x:xf numFmtId="200" fontId="6" fillId="0" borderId="6" xfId="0" applyNumberFormat="1" applyFont="1" applyFill="1" applyBorder="1"/>
    <x:xf numFmtId="201" fontId="6" fillId="0" borderId="6" xfId="0" applyNumberFormat="1" applyFont="1" applyFill="1" applyBorder="1"/>
    <x:xf numFmtId="204" fontId="6" fillId="0" borderId="6" xfId="0" applyNumberFormat="1" applyFont="1" applyFill="1" applyBorder="1"/>
    <x:xf numFmtId="205" fontId="6" fillId="0" borderId="6" xfId="0" applyNumberFormat="1" applyFont="1" applyFill="1" applyBorder="1"/>
    <x:xf numFmtId="0" fontId="6" fillId="0" borderId="6" xfId="0" applyNumberFormat="1" applyFont="1" applyFill="1" applyBorder="1"/>
    <x:xf numFmtId="0" fontId="6" fillId="0" borderId="7" xfId="0" applyNumberFormat="1" applyFont="1" applyFill="1" applyBorder="1"/>
    <x:xf numFmtId="205" fontId="2" fillId="0" borderId="0" xfId="0" applyNumberFormat="1" applyFont="1" applyFill="1" applyBorder="1"/>
    <x:xf numFmtId="205" fontId="2" fillId="0" borderId="1" xfId="0" applyNumberFormat="1" applyFont="1" applyFill="1" applyBorder="1"/>
    <x:xf numFmtId="0" fontId="8" fillId="4" borderId="0" xfId="0" applyNumberFormat="1" applyFont="1" applyFill="1" applyBorder="1"/>
    <x:xf numFmtId="0" fontId="8" fillId="4" borderId="1" xfId="0" applyNumberFormat="1" applyFont="1" applyFill="1" applyBorder="1"/>
    <x:xf numFmtId="0" fontId="8" fillId="4" borderId="0" xfId="0" applyNumberFormat="1" applyFont="1" applyFill="1" applyBorder="1" applyAlignment="1">
      <x:alignment vertical="center"/>
    </x:xf>
    <x:xf numFmtId="0" fontId="8" fillId="4" borderId="1" xfId="0" applyNumberFormat="1" applyFont="1" applyFill="1" applyBorder="1" applyAlignment="1">
      <x:alignment vertical="center"/>
    </x:xf>
    <x:xf numFmtId="0" fontId="9" fillId="3" borderId="0" xfId="0" applyNumberFormat="1" applyFont="1" applyFill="1" applyBorder="1"/>
    <x:xf numFmtId="0" fontId="9" fillId="3" borderId="1" xfId="0" applyNumberFormat="1" applyFont="1" applyFill="1" applyBorder="1"/>
    <x:xf numFmtId="0" fontId="9" fillId="3" borderId="0" xfId="0" applyNumberFormat="1" applyFont="1" applyFill="1" applyBorder="1" applyAlignment="1">
      <x:alignment wrapText="1"/>
    </x:xf>
    <x:xf numFmtId="0" fontId="9" fillId="3" borderId="1" xfId="0" applyNumberFormat="1" applyFont="1" applyFill="1" applyBorder="1" applyAlignment="1">
      <x:alignment wrapText="1"/>
    </x:xf>
    <x:xf numFmtId="0" fontId="9" fillId="3" borderId="0" xfId="0" applyNumberFormat="1" applyFont="1" applyFill="1" applyBorder="1" applyAlignment="1">
      <x:alignment vertical="center" wrapText="1"/>
    </x:xf>
    <x:xf numFmtId="0" fontId="9" fillId="3" borderId="1" xfId="0" applyNumberFormat="1" applyFont="1" applyFill="1" applyBorder="1" applyAlignment="1">
      <x:alignment vertical="center" wrapText="1"/>
    </x:xf>
    <x:xf numFmtId="0" fontId="8" fillId="4" borderId="8" xfId="0" applyNumberFormat="1" applyFont="1" applyFill="1" applyBorder="1" applyAlignment="1">
      <x:alignment vertical="center"/>
    </x:xf>
    <x:xf numFmtId="0" fontId="9" fillId="3" borderId="8" xfId="0" applyNumberFormat="1" applyFont="1" applyFill="1" applyBorder="1" applyAlignment="1">
      <x:alignment vertical="center" wrapText="1"/>
    </x:xf>
    <x:xf numFmtId="0" fontId="8" fillId="4" borderId="9" xfId="0" applyNumberFormat="1" applyFont="1" applyFill="1" applyBorder="1" applyAlignment="1">
      <x:alignment vertical="center"/>
    </x:xf>
    <x:xf numFmtId="0" fontId="9" fillId="3" borderId="9" xfId="0" applyNumberFormat="1" applyFont="1" applyFill="1" applyBorder="1" applyAlignment="1">
      <x:alignment vertical="center" wrapText="1"/>
    </x:xf>
    <x:xf numFmtId="0" fontId="8" fillId="4" borderId="10" xfId="0" applyNumberFormat="1" applyFont="1" applyFill="1" applyBorder="1" applyAlignment="1">
      <x:alignment vertical="center"/>
    </x:xf>
    <x:xf numFmtId="0" fontId="9" fillId="3" borderId="10" xfId="0" applyNumberFormat="1" applyFont="1" applyFill="1" applyBorder="1" applyAlignment="1">
      <x:alignment vertical="center" wrapText="1"/>
    </x:xf>
    <x:xf numFmtId="0" fontId="8" fillId="4" borderId="11" xfId="0" applyNumberFormat="1" applyFont="1" applyFill="1" applyBorder="1" applyAlignment="1">
      <x:alignment vertical="center"/>
    </x:xf>
    <x:xf numFmtId="0" fontId="9" fillId="3" borderId="11" xfId="0" applyNumberFormat="1" applyFont="1" applyFill="1" applyBorder="1" applyAlignment="1">
      <x:alignment vertical="center" wrapText="1"/>
    </x:xf>
    <x:xf numFmtId="0" fontId="8" fillId="4" borderId="12" xfId="0" applyNumberFormat="1" applyFont="1" applyFill="1" applyBorder="1" applyAlignment="1">
      <x:alignment vertical="center"/>
    </x:xf>
    <x:xf numFmtId="0" fontId="9" fillId="3" borderId="12" xfId="0" applyNumberFormat="1" applyFont="1" applyFill="1" applyBorder="1" applyAlignment="1">
      <x:alignment vertical="center" wrapText="1"/>
    </x:xf>
    <x:xf numFmtId="0" fontId="8" fillId="4" borderId="13" xfId="0" applyNumberFormat="1" applyFont="1" applyFill="1" applyBorder="1" applyAlignment="1">
      <x:alignment vertical="center"/>
    </x:xf>
    <x:xf numFmtId="0" fontId="9" fillId="3" borderId="13" xfId="0" applyNumberFormat="1" applyFont="1" applyFill="1" applyBorder="1" applyAlignment="1">
      <x:alignment vertical="center" wrapText="1"/>
    </x:xf>
    <x:xf numFmtId="0" fontId="2" fillId="2" borderId="0" xfId="0" applyNumberFormat="1" applyFont="1" applyFill="1" applyBorder="1"/>
    <x:xf numFmtId="0" fontId="2" fillId="2" borderId="1" xfId="0" applyNumberFormat="1" applyFont="1" applyFill="1" applyBorder="1"/>
    <x:xf numFmtId="0" fontId="2" fillId="0" borderId="14" xfId="0" applyNumberFormat="1" applyFont="1" applyFill="1" applyBorder="1"/>
    <x:xf numFmtId="0" fontId="2" fillId="0" borderId="15" xfId="0" applyNumberFormat="1" applyFont="1" applyFill="1" applyBorder="1"/>
    <x:xf numFmtId="0" fontId="2" fillId="0" borderId="16" xfId="0" applyNumberFormat="1" applyFont="1" applyFill="1" applyBorder="1"/>
  </x:cellXfs>
  <x:cellStyles count="1">
    <x:cellStyle name="Normal" xfId="0"/>
  </x:cellStyles>
  <x:dxfs count="8">
    <x:dxf>
      <x:font>
        <x:color rgb="FF1F6B3A"/>
      </x:font>
      <x:fill>
        <x:patternFill patternType="solid">
          <x:bgColor rgb="FFDDF3E4"/>
        </x:patternFill>
      </x:fill>
    </x:dxf>
    <x:dxf>
      <x:font>
        <x:color rgb="FFA63A3A"/>
      </x:font>
      <x:fill>
        <x:patternFill patternType="solid">
          <x:bgColor rgb="FFFBE3E3"/>
        </x:patternFill>
      </x:fill>
    </x:dxf>
    <x:dxf>
      <x:font>
        <x:color rgb="FF1F6B3A"/>
      </x:font>
      <x:fill>
        <x:patternFill patternType="solid">
          <x:bgColor rgb="FFDDF3E4"/>
        </x:patternFill>
      </x:fill>
    </x:dxf>
    <x:dxf>
      <x:font>
        <x:color rgb="FFA63A3A"/>
      </x:font>
      <x:fill>
        <x:patternFill patternType="solid">
          <x:bgColor rgb="FFFBE3E3"/>
        </x:patternFill>
      </x:fill>
    </x:dxf>
    <x:dxf>
      <x:font>
        <x:color rgb="FF1F6B3A"/>
      </x:font>
      <x:fill>
        <x:patternFill patternType="solid">
          <x:bgColor rgb="FFDDF3E4"/>
        </x:patternFill>
      </x:fill>
    </x:dxf>
    <x:dxf>
      <x:font>
        <x:color rgb="FFA63A3A"/>
      </x:font>
      <x:fill>
        <x:patternFill patternType="solid">
          <x:bgColor rgb="FFFBE3E3"/>
        </x:patternFill>
      </x:fill>
    </x:dxf>
    <x:dxf>
      <x:font>
        <x:color rgb="FF1F6B3A"/>
      </x:font>
      <x:fill>
        <x:patternFill patternType="solid">
          <x:bgColor rgb="FFDDF3E4"/>
        </x:patternFill>
      </x:fill>
    </x:dxf>
    <x:dxf>
      <x:font>
        <x:color rgb="FFA63A3A"/>
      </x:font>
      <x:fill>
        <x:patternFill patternType="solid">
          <x:bgColor rgb="FFFBE3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8ae659bc0f14e41" /><Relationship Type="http://schemas.openxmlformats.org/officeDocument/2006/relationships/theme" Target="/xl/theme/theme1.xml" Id="R60cf66c0d64c4c0b" /><Relationship Type="http://schemas.openxmlformats.org/officeDocument/2006/relationships/sharedStrings" Target="/xl/sharedStrings.xml" Id="Rd29467ea990f4355" /><Relationship Type="http://schemas.openxmlformats.org/officeDocument/2006/relationships/worksheet" Target="/xl/worksheets/sheet1.xml" Id="Rb0a246e7412447b0" /><Relationship Type="http://schemas.openxmlformats.org/officeDocument/2006/relationships/worksheet" Target="/xl/worksheets/sheet2.xml" Id="R33352c4518784ddb" /><Relationship Type="http://schemas.openxmlformats.org/officeDocument/2006/relationships/worksheet" Target="/xl/worksheets/sheet3.xml" Id="Rb34ff0304b2b4e19" /><Relationship Type="http://schemas.openxmlformats.org/officeDocument/2006/relationships/worksheet" Target="/xl/worksheets/sheet4.xml" Id="R1e0dc674a82140cf" /><Relationship Type="http://schemas.openxmlformats.org/officeDocument/2006/relationships/worksheet" Target="/xl/worksheets/sheet5.xml" Id="R1ecbe1bc31f84cfd" /><Relationship Type="http://schemas.openxmlformats.org/officeDocument/2006/relationships/worksheet" Target="/xl/worksheets/sheet6.xml" Id="R381ec61635fe422b" /></Relationships>
</file>

<file path=xl/tables/table1.xml><?xml version="1.0" encoding="utf-8"?>
<x:table xmlns:x="http://schemas.openxmlformats.org/spreadsheetml/2006/main" id="4" name="GlobalRepairRawTable" displayName="GlobalRepairRawTable" ref="A1:CV49" headerRowCount="1" totalsRowCount="0" totalsRowShown="0">
  <x:tableColumns count="100">
    <x:tableColumn id="1" name="n"/>
    <x:tableColumn id="2" name="radius"/>
    <x:tableColumn id="3" name="repeat"/>
    <x:tableColumn id="4" name="graph_seed"/>
    <x:tableColumn id="5" name="edges"/>
    <x:tableColumn id="6" name="components"/>
    <x:tableColumn id="7" name="largest_component_size"/>
    <x:tableColumn id="8" name="average_degree"/>
    <x:tableColumn id="9" name="edge_density"/>
    <x:tableColumn id="10" name="k_nearest"/>
    <x:tableColumn id="11" name="family_execution_order"/>
    <x:tableColumn id="12" name="baseline_entropy_timing_note"/>
    <x:tableColumn id="13" name="grid_entropy_size"/>
    <x:tableColumn id="14" name="grid_entropy_time_seconds"/>
    <x:tableColumn id="15" name="grid_entropy_valid"/>
    <x:tableColumn id="16" name="grid_baseline_collision_size"/>
    <x:tableColumn id="17" name="grid_baseline_collision_valid"/>
    <x:tableColumn id="18" name="grid_original_collision_pre_prune_size"/>
    <x:tableColumn id="19" name="grid_original_collision_size"/>
    <x:tableColumn id="20" name="grid_original_collision_time_seconds"/>
    <x:tableColumn id="21" name="grid_original_collision_valid"/>
    <x:tableColumn id="22" name="grid_reproduced_size_matches_baseline"/>
    <x:tableColumn id="23" name="grid_reproduced_valid_matches_baseline"/>
    <x:tableColumn id="24" name="grid_collisions_before_repair"/>
    <x:tableColumn id="25" name="grid_repair_probe_count"/>
    <x:tableColumn id="26" name="grid_repair_probe_list"/>
    <x:tableColumn id="27" name="grid_repair_only_time_seconds"/>
    <x:tableColumn id="28" name="grid_repaired_pre_prune_size"/>
    <x:tableColumn id="29" name="grid_repaired_size"/>
    <x:tableColumn id="30" name="grid_repaired_postprocessing_wrapper_total_time_seconds"/>
    <x:tableColumn id="31" name="grid_repaired_valid"/>
    <x:tableColumn id="32" name="grid_collision_pairs_after_repair"/>
    <x:tableColumn id="33" name="grid_pruned_after_repair"/>
    <x:tableColumn id="34" name="grid_final_size_change"/>
    <x:tableColumn id="35" name="circle_entropy_size"/>
    <x:tableColumn id="36" name="circle_entropy_time_seconds"/>
    <x:tableColumn id="37" name="circle_entropy_valid"/>
    <x:tableColumn id="38" name="circle_baseline_collision_size"/>
    <x:tableColumn id="39" name="circle_baseline_collision_valid"/>
    <x:tableColumn id="40" name="circle_original_collision_pre_prune_size"/>
    <x:tableColumn id="41" name="circle_original_collision_size"/>
    <x:tableColumn id="42" name="circle_original_collision_time_seconds"/>
    <x:tableColumn id="43" name="circle_original_collision_valid"/>
    <x:tableColumn id="44" name="circle_reproduced_size_matches_baseline"/>
    <x:tableColumn id="45" name="circle_reproduced_valid_matches_baseline"/>
    <x:tableColumn id="46" name="circle_collisions_before_repair"/>
    <x:tableColumn id="47" name="circle_repair_probe_count"/>
    <x:tableColumn id="48" name="circle_repair_probe_list"/>
    <x:tableColumn id="49" name="circle_repair_only_time_seconds"/>
    <x:tableColumn id="50" name="circle_repaired_pre_prune_size"/>
    <x:tableColumn id="51" name="circle_repaired_size"/>
    <x:tableColumn id="52" name="circle_repaired_postprocessing_wrapper_total_time_seconds"/>
    <x:tableColumn id="53" name="circle_repaired_valid"/>
    <x:tableColumn id="54" name="circle_collision_pairs_after_repair"/>
    <x:tableColumn id="55" name="circle_pruned_after_repair"/>
    <x:tableColumn id="56" name="circle_final_size_change"/>
    <x:tableColumn id="57" name="zoomed_entropy_size"/>
    <x:tableColumn id="58" name="zoomed_entropy_time_seconds"/>
    <x:tableColumn id="59" name="zoomed_entropy_valid"/>
    <x:tableColumn id="60" name="zoomed_baseline_collision_size"/>
    <x:tableColumn id="61" name="zoomed_baseline_collision_valid"/>
    <x:tableColumn id="62" name="zoomed_original_collision_pre_prune_size"/>
    <x:tableColumn id="63" name="zoomed_original_collision_size"/>
    <x:tableColumn id="64" name="zoomed_original_collision_time_seconds"/>
    <x:tableColumn id="65" name="zoomed_original_collision_valid"/>
    <x:tableColumn id="66" name="zoomed_reproduced_size_matches_baseline"/>
    <x:tableColumn id="67" name="zoomed_reproduced_valid_matches_baseline"/>
    <x:tableColumn id="68" name="zoomed_collisions_before_repair"/>
    <x:tableColumn id="69" name="zoomed_repair_probe_count"/>
    <x:tableColumn id="70" name="zoomed_repair_probe_list"/>
    <x:tableColumn id="71" name="zoomed_repair_only_time_seconds"/>
    <x:tableColumn id="72" name="zoomed_repaired_pre_prune_size"/>
    <x:tableColumn id="73" name="zoomed_repaired_size"/>
    <x:tableColumn id="74" name="zoomed_repaired_postprocessing_wrapper_total_time_seconds"/>
    <x:tableColumn id="75" name="zoomed_repaired_valid"/>
    <x:tableColumn id="76" name="zoomed_collision_pairs_after_repair"/>
    <x:tableColumn id="77" name="zoomed_pruned_after_repair"/>
    <x:tableColumn id="78" name="zoomed_final_size_change"/>
    <x:tableColumn id="79" name="ich_entropy_size"/>
    <x:tableColumn id="80" name="ich_entropy_time_seconds"/>
    <x:tableColumn id="81" name="ich_entropy_valid"/>
    <x:tableColumn id="82" name="ich_baseline_collision_size"/>
    <x:tableColumn id="83" name="ich_baseline_collision_valid"/>
    <x:tableColumn id="84" name="ich_original_collision_pre_prune_size"/>
    <x:tableColumn id="85" name="ich_original_collision_size"/>
    <x:tableColumn id="86" name="ich_original_collision_time_seconds"/>
    <x:tableColumn id="87" name="ich_original_collision_valid"/>
    <x:tableColumn id="88" name="ich_reproduced_size_matches_baseline"/>
    <x:tableColumn id="89" name="ich_reproduced_valid_matches_baseline"/>
    <x:tableColumn id="90" name="ich_collisions_before_repair"/>
    <x:tableColumn id="91" name="ich_repair_probe_count"/>
    <x:tableColumn id="92" name="ich_repair_probe_list"/>
    <x:tableColumn id="93" name="ich_repair_only_time_seconds"/>
    <x:tableColumn id="94" name="ich_repaired_pre_prune_size"/>
    <x:tableColumn id="95" name="ich_repaired_size"/>
    <x:tableColumn id="96" name="ich_repaired_postprocessing_wrapper_total_time_seconds"/>
    <x:tableColumn id="97" name="ich_repaired_valid"/>
    <x:tableColumn id="98" name="ich_collision_pairs_after_repair"/>
    <x:tableColumn id="99" name="ich_pruned_after_repair"/>
    <x:tableColumn id="100" name="ich_final_size_change"/>
  </x:tableColumns>
  <x:tableStyleInfo name="TableStyleMedium2" showFirstColumn="0" showLastColumn="0" showRowStripes="1" showColumnStripes="0"/>
</x:table>
</file>

<file path=xl/tables/table2.xml><?xml version="1.0" encoding="utf-8"?>
<x:table xmlns:x="http://schemas.openxmlformats.org/spreadsheetml/2006/main" id="3" name="GlobalRepairConfigurationTable" displayName="GlobalRepairConfigurationTable" ref="A5:Q69" headerRowCount="1" totalsRowCount="0" totalsRowShown="0">
  <x:tableColumns count="17">
    <x:tableColumn id="1" name="Family"/>
    <x:tableColumn id="2" name="n"/>
    <x:tableColumn id="3" name="radius"/>
    <x:tableColumn id="4" name="runs"/>
    <x:tableColumn id="5" name="Entropy valid"/>
    <x:tableColumn id="6" name="Original C valid"/>
    <x:tableColumn id="7" name="Repaired C valid"/>
    <x:tableColumn id="8" name="Repair rows"/>
    <x:tableColumn id="9" name="Repair probes"/>
    <x:tableColumn id="10" name="Avg repair (ms)"/>
    <x:tableColumn id="11" name="Entropy avg size"/>
    <x:tableColumn id="12" name="Repaired avg size"/>
    <x:tableColumn id="13" name="Repaired - Entropy"/>
    <x:tableColumn id="14" name="Repaired wins"/>
    <x:tableColumn id="15" name="Entropy wins"/>
    <x:tableColumn id="16" name="ties"/>
    <x:tableColumn id="17" name="Max probes"/>
  </x:tableColumns>
  <x:tableStyleInfo name="TableStyleMedium2" showFirstColumn="0" showLastColumn="0" showRowStripes="1" showColumnStripes="0"/>
</x:table>
</file>

<file path=xl/tables/table3.xml><?xml version="1.0" encoding="utf-8"?>
<x:table xmlns:x="http://schemas.openxmlformats.org/spreadsheetml/2006/main" id="2" name="GlobalRepairRowsTable" displayName="GlobalRepairRowsTable" ref="A7:S20" headerRowCount="1" totalsRowCount="0" totalsRowShown="0">
  <x:tableColumns count="19">
    <x:tableColumn id="1" name="Family"/>
    <x:tableColumn id="2" name="n"/>
    <x:tableColumn id="3" name="radius"/>
    <x:tableColumn id="4" name="repeat"/>
    <x:tableColumn id="5" name="graph_seed"/>
    <x:tableColumn id="6" name="Components"/>
    <x:tableColumn id="7" name="Original valid"/>
    <x:tableColumn id="8" name="Pairs before"/>
    <x:tableColumn id="9" name="Repair probes"/>
    <x:tableColumn id="10" name="Original reported"/>
    <x:tableColumn id="11" name="Repaired pre-prune"/>
    <x:tableColumn id="12" name="Pruned after"/>
    <x:tableColumn id="13" name="Repaired final"/>
    <x:tableColumn id="14" name="Entropy valid"/>
    <x:tableColumn id="15" name="Entropy size"/>
    <x:tableColumn id="16" name="Repaired - Entropy"/>
    <x:tableColumn id="17" name="Repair time (ms)"/>
    <x:tableColumn id="18" name="Probe IDs"/>
    <x:tableColumn id="19" name="Outcome"/>
  </x:tableColumns>
  <x:tableStyleInfo name="TableStyleMedium2" showFirstColumn="0" showLastColumn="0" showRowStripes="1" showColumnStripes="0"/>
</x:table>
</file>

<file path=xl/tables/table4.xml><?xml version="1.0" encoding="utf-8"?>
<x:table xmlns:x="http://schemas.openxmlformats.org/spreadsheetml/2006/main" id="1" name="GlobalRepairPairTable" displayName="GlobalRepairPairTable" ref="A1:AE193" headerRowCount="1" totalsRowCount="0" totalsRowShown="0">
  <x:tableColumns count="31">
    <x:tableColumn id="1" name="Family"/>
    <x:tableColumn id="2" name="n"/>
    <x:tableColumn id="3" name="radius"/>
    <x:tableColumn id="4" name="repeat"/>
    <x:tableColumn id="5" name="graph_seed"/>
    <x:tableColumn id="6" name="Entropy size"/>
    <x:tableColumn id="7" name="Entropy valid"/>
    <x:tableColumn id="8" name="Original pre-prune"/>
    <x:tableColumn id="9" name="Original final"/>
    <x:tableColumn id="10" name="Original valid"/>
    <x:tableColumn id="11" name="Global pairs before"/>
    <x:tableColumn id="12" name="Repair probes"/>
    <x:tableColumn id="13" name="Repair probe IDs"/>
    <x:tableColumn id="14" name="Repair time (s)"/>
    <x:tableColumn id="15" name="Repaired pre-prune"/>
    <x:tableColumn id="16" name="Repaired final"/>
    <x:tableColumn id="17" name="Repaired valid"/>
    <x:tableColumn id="18" name="Pruned after repair"/>
    <x:tableColumn id="19" name="Final change vs original"/>
    <x:tableColumn id="20" name="Original time (s)"/>
    <x:tableColumn id="21" name="Wrapper total time (s)"/>
    <x:tableColumn id="22" name="Repair/original time"/>
    <x:tableColumn id="23" name="Entropy + repaired valid"/>
    <x:tableColumn id="24" name="Repaired - Entropy"/>
    <x:tableColumn id="25" name="Size winner"/>
    <x:tableColumn id="26" name="Repair needed"/>
    <x:tableColumn id="27" name="Baseline reproduced"/>
    <x:tableColumn id="28" name="Validity restored"/>
    <x:tableColumn id="29" name="Repaired - original"/>
    <x:tableColumn id="30" name="Entropy valid / original invalid"/>
    <x:tableColumn id="31" name="Repaired only val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48d48d04f44401d" /></Relationships>
</file>

<file path=xl/worksheets/_rels/sheet3.xml.rels>&#65279;<?xml version="1.0" encoding="utf-8"?><Relationships xmlns="http://schemas.openxmlformats.org/package/2006/relationships"><Relationship Type="http://schemas.openxmlformats.org/officeDocument/2006/relationships/table" Target="/xl/tables/table2.xml" Id="Rbdee43686e784451" /></Relationships>
</file>

<file path=xl/worksheets/_rels/sheet4.xml.rels>&#65279;<?xml version="1.0" encoding="utf-8"?><Relationships xmlns="http://schemas.openxmlformats.org/package/2006/relationships"><Relationship Type="http://schemas.openxmlformats.org/officeDocument/2006/relationships/table" Target="/xl/tables/table3.xml" Id="R52e34a239a954976" /></Relationships>
</file>

<file path=xl/worksheets/_rels/sheet5.xml.rels>&#65279;<?xml version="1.0" encoding="utf-8"?><Relationships xmlns="http://schemas.openxmlformats.org/package/2006/relationships"><Relationship Type="http://schemas.openxmlformats.org/officeDocument/2006/relationships/table" Target="/xl/tables/table4.xml" Id="Rf5cd776385504aeb"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10" hidden="0" customWidth="1"/>
    <x:col min="3" max="3" width="9"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42" hidden="0" customWidth="1"/>
    <x:col min="12" max="12" width="42"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18" hidden="0" customWidth="1"/>
    <x:col min="73" max="73" width="18" hidden="0" customWidth="1"/>
    <x:col min="74" max="74" width="18" hidden="0" customWidth="1"/>
    <x:col min="75" max="75" width="18" hidden="0" customWidth="1"/>
    <x:col min="76" max="76" width="18" hidden="0" customWidth="1"/>
    <x:col min="77" max="77" width="18" hidden="0" customWidth="1"/>
    <x:col min="78" max="78" width="18" hidden="0" customWidth="1"/>
    <x:col min="79" max="79" width="18" hidden="0" customWidth="1"/>
    <x:col min="80" max="80" width="18" hidden="0" customWidth="1"/>
    <x:col min="81" max="81" width="18" hidden="0" customWidth="1"/>
    <x:col min="82" max="82" width="18" hidden="0" customWidth="1"/>
    <x:col min="83" max="83" width="18" hidden="0" customWidth="1"/>
    <x:col min="84" max="84" width="18" hidden="0" customWidth="1"/>
    <x:col min="85" max="85" width="18" hidden="0" customWidth="1"/>
    <x:col min="86" max="86" width="18" hidden="0" customWidth="1"/>
    <x:col min="87" max="87" width="18" hidden="0" customWidth="1"/>
    <x:col min="88" max="88" width="18" hidden="0" customWidth="1"/>
    <x:col min="89" max="89" width="18" hidden="0" customWidth="1"/>
    <x:col min="90" max="90" width="18" hidden="0" customWidth="1"/>
    <x:col min="91" max="91" width="18" hidden="0" customWidth="1"/>
    <x:col min="92" max="92" width="18" hidden="0" customWidth="1"/>
    <x:col min="93" max="93" width="18" hidden="0" customWidth="1"/>
    <x:col min="94" max="94" width="18" hidden="0" customWidth="1"/>
    <x:col min="95" max="95" width="18" hidden="0" customWidth="1"/>
    <x:col min="96" max="96" width="18" hidden="0" customWidth="1"/>
    <x:col min="97" max="97" width="18" hidden="0" customWidth="1"/>
    <x:col min="98" max="98" width="18" hidden="0" customWidth="1"/>
    <x:col min="99" max="99" width="18" hidden="0" customWidth="1"/>
    <x:col min="100" max="100" width="18" hidden="0" customWidth="1"/>
  </x:cols>
  <x:sheetData>
    <x:row r="1" ht="34" customHeight="1">
      <x:c r="A1" s="8" t="str">
        <x:v>n</x:v>
      </x:c>
      <x:c r="B1" s="8" t="str">
        <x:v>radius</x:v>
      </x:c>
      <x:c r="C1" s="8" t="str">
        <x:v>repeat</x:v>
      </x:c>
      <x:c r="D1" s="8" t="str">
        <x:v>graph_seed</x:v>
      </x:c>
      <x:c r="E1" s="8" t="str">
        <x:v>edges</x:v>
      </x:c>
      <x:c r="F1" s="8" t="str">
        <x:v>components</x:v>
      </x:c>
      <x:c r="G1" s="8" t="str">
        <x:v>largest_component_size</x:v>
      </x:c>
      <x:c r="H1" s="8" t="str">
        <x:v>average_degree</x:v>
      </x:c>
      <x:c r="I1" s="8" t="str">
        <x:v>edge_density</x:v>
      </x:c>
      <x:c r="J1" s="8" t="str">
        <x:v>k_nearest</x:v>
      </x:c>
      <x:c r="K1" s="8" t="str">
        <x:v>family_execution_order</x:v>
      </x:c>
      <x:c r="L1" s="8" t="str">
        <x:v>baseline_entropy_timing_note</x:v>
      </x:c>
      <x:c r="M1" s="8" t="str">
        <x:v>grid_entropy_size</x:v>
      </x:c>
      <x:c r="N1" s="8" t="str">
        <x:v>grid_entropy_time_seconds</x:v>
      </x:c>
      <x:c r="O1" s="8" t="str">
        <x:v>grid_entropy_valid</x:v>
      </x:c>
      <x:c r="P1" s="8" t="str">
        <x:v>grid_baseline_collision_size</x:v>
      </x:c>
      <x:c r="Q1" s="8" t="str">
        <x:v>grid_baseline_collision_valid</x:v>
      </x:c>
      <x:c r="R1" s="8" t="str">
        <x:v>grid_original_collision_pre_prune_size</x:v>
      </x:c>
      <x:c r="S1" s="8" t="str">
        <x:v>grid_original_collision_size</x:v>
      </x:c>
      <x:c r="T1" s="8" t="str">
        <x:v>grid_original_collision_time_seconds</x:v>
      </x:c>
      <x:c r="U1" s="8" t="str">
        <x:v>grid_original_collision_valid</x:v>
      </x:c>
      <x:c r="V1" s="8" t="str">
        <x:v>grid_reproduced_size_matches_baseline</x:v>
      </x:c>
      <x:c r="W1" s="8" t="str">
        <x:v>grid_reproduced_valid_matches_baseline</x:v>
      </x:c>
      <x:c r="X1" s="8" t="str">
        <x:v>grid_collisions_before_repair</x:v>
      </x:c>
      <x:c r="Y1" s="8" t="str">
        <x:v>grid_repair_probe_count</x:v>
      </x:c>
      <x:c r="Z1" s="8" t="str">
        <x:v>grid_repair_probe_list</x:v>
      </x:c>
      <x:c r="AA1" s="8" t="str">
        <x:v>grid_repair_only_time_seconds</x:v>
      </x:c>
      <x:c r="AB1" s="8" t="str">
        <x:v>grid_repaired_pre_prune_size</x:v>
      </x:c>
      <x:c r="AC1" s="8" t="str">
        <x:v>grid_repaired_size</x:v>
      </x:c>
      <x:c r="AD1" s="8" t="str">
        <x:v>grid_repaired_postprocessing_wrapper_total_time_seconds</x:v>
      </x:c>
      <x:c r="AE1" s="8" t="str">
        <x:v>grid_repaired_valid</x:v>
      </x:c>
      <x:c r="AF1" s="8" t="str">
        <x:v>grid_collision_pairs_after_repair</x:v>
      </x:c>
      <x:c r="AG1" s="8" t="str">
        <x:v>grid_pruned_after_repair</x:v>
      </x:c>
      <x:c r="AH1" s="8" t="str">
        <x:v>grid_final_size_change</x:v>
      </x:c>
      <x:c r="AI1" s="8" t="str">
        <x:v>circle_entropy_size</x:v>
      </x:c>
      <x:c r="AJ1" s="8" t="str">
        <x:v>circle_entropy_time_seconds</x:v>
      </x:c>
      <x:c r="AK1" s="8" t="str">
        <x:v>circle_entropy_valid</x:v>
      </x:c>
      <x:c r="AL1" s="8" t="str">
        <x:v>circle_baseline_collision_size</x:v>
      </x:c>
      <x:c r="AM1" s="8" t="str">
        <x:v>circle_baseline_collision_valid</x:v>
      </x:c>
      <x:c r="AN1" s="8" t="str">
        <x:v>circle_original_collision_pre_prune_size</x:v>
      </x:c>
      <x:c r="AO1" s="8" t="str">
        <x:v>circle_original_collision_size</x:v>
      </x:c>
      <x:c r="AP1" s="8" t="str">
        <x:v>circle_original_collision_time_seconds</x:v>
      </x:c>
      <x:c r="AQ1" s="8" t="str">
        <x:v>circle_original_collision_valid</x:v>
      </x:c>
      <x:c r="AR1" s="8" t="str">
        <x:v>circle_reproduced_size_matches_baseline</x:v>
      </x:c>
      <x:c r="AS1" s="8" t="str">
        <x:v>circle_reproduced_valid_matches_baseline</x:v>
      </x:c>
      <x:c r="AT1" s="8" t="str">
        <x:v>circle_collisions_before_repair</x:v>
      </x:c>
      <x:c r="AU1" s="8" t="str">
        <x:v>circle_repair_probe_count</x:v>
      </x:c>
      <x:c r="AV1" s="8" t="str">
        <x:v>circle_repair_probe_list</x:v>
      </x:c>
      <x:c r="AW1" s="8" t="str">
        <x:v>circle_repair_only_time_seconds</x:v>
      </x:c>
      <x:c r="AX1" s="8" t="str">
        <x:v>circle_repaired_pre_prune_size</x:v>
      </x:c>
      <x:c r="AY1" s="8" t="str">
        <x:v>circle_repaired_size</x:v>
      </x:c>
      <x:c r="AZ1" s="8" t="str">
        <x:v>circle_repaired_postprocessing_wrapper_total_time_seconds</x:v>
      </x:c>
      <x:c r="BA1" s="8" t="str">
        <x:v>circle_repaired_valid</x:v>
      </x:c>
      <x:c r="BB1" s="8" t="str">
        <x:v>circle_collision_pairs_after_repair</x:v>
      </x:c>
      <x:c r="BC1" s="8" t="str">
        <x:v>circle_pruned_after_repair</x:v>
      </x:c>
      <x:c r="BD1" s="8" t="str">
        <x:v>circle_final_size_change</x:v>
      </x:c>
      <x:c r="BE1" s="8" t="str">
        <x:v>zoomed_entropy_size</x:v>
      </x:c>
      <x:c r="BF1" s="8" t="str">
        <x:v>zoomed_entropy_time_seconds</x:v>
      </x:c>
      <x:c r="BG1" s="8" t="str">
        <x:v>zoomed_entropy_valid</x:v>
      </x:c>
      <x:c r="BH1" s="8" t="str">
        <x:v>zoomed_baseline_collision_size</x:v>
      </x:c>
      <x:c r="BI1" s="8" t="str">
        <x:v>zoomed_baseline_collision_valid</x:v>
      </x:c>
      <x:c r="BJ1" s="8" t="str">
        <x:v>zoomed_original_collision_pre_prune_size</x:v>
      </x:c>
      <x:c r="BK1" s="8" t="str">
        <x:v>zoomed_original_collision_size</x:v>
      </x:c>
      <x:c r="BL1" s="8" t="str">
        <x:v>zoomed_original_collision_time_seconds</x:v>
      </x:c>
      <x:c r="BM1" s="8" t="str">
        <x:v>zoomed_original_collision_valid</x:v>
      </x:c>
      <x:c r="BN1" s="8" t="str">
        <x:v>zoomed_reproduced_size_matches_baseline</x:v>
      </x:c>
      <x:c r="BO1" s="8" t="str">
        <x:v>zoomed_reproduced_valid_matches_baseline</x:v>
      </x:c>
      <x:c r="BP1" s="8" t="str">
        <x:v>zoomed_collisions_before_repair</x:v>
      </x:c>
      <x:c r="BQ1" s="8" t="str">
        <x:v>zoomed_repair_probe_count</x:v>
      </x:c>
      <x:c r="BR1" s="8" t="str">
        <x:v>zoomed_repair_probe_list</x:v>
      </x:c>
      <x:c r="BS1" s="8" t="str">
        <x:v>zoomed_repair_only_time_seconds</x:v>
      </x:c>
      <x:c r="BT1" s="8" t="str">
        <x:v>zoomed_repaired_pre_prune_size</x:v>
      </x:c>
      <x:c r="BU1" s="8" t="str">
        <x:v>zoomed_repaired_size</x:v>
      </x:c>
      <x:c r="BV1" s="8" t="str">
        <x:v>zoomed_repaired_postprocessing_wrapper_total_time_seconds</x:v>
      </x:c>
      <x:c r="BW1" s="8" t="str">
        <x:v>zoomed_repaired_valid</x:v>
      </x:c>
      <x:c r="BX1" s="8" t="str">
        <x:v>zoomed_collision_pairs_after_repair</x:v>
      </x:c>
      <x:c r="BY1" s="8" t="str">
        <x:v>zoomed_pruned_after_repair</x:v>
      </x:c>
      <x:c r="BZ1" s="8" t="str">
        <x:v>zoomed_final_size_change</x:v>
      </x:c>
      <x:c r="CA1" s="8" t="str">
        <x:v>ich_entropy_size</x:v>
      </x:c>
      <x:c r="CB1" s="8" t="str">
        <x:v>ich_entropy_time_seconds</x:v>
      </x:c>
      <x:c r="CC1" s="8" t="str">
        <x:v>ich_entropy_valid</x:v>
      </x:c>
      <x:c r="CD1" s="8" t="str">
        <x:v>ich_baseline_collision_size</x:v>
      </x:c>
      <x:c r="CE1" s="8" t="str">
        <x:v>ich_baseline_collision_valid</x:v>
      </x:c>
      <x:c r="CF1" s="8" t="str">
        <x:v>ich_original_collision_pre_prune_size</x:v>
      </x:c>
      <x:c r="CG1" s="8" t="str">
        <x:v>ich_original_collision_size</x:v>
      </x:c>
      <x:c r="CH1" s="8" t="str">
        <x:v>ich_original_collision_time_seconds</x:v>
      </x:c>
      <x:c r="CI1" s="8" t="str">
        <x:v>ich_original_collision_valid</x:v>
      </x:c>
      <x:c r="CJ1" s="8" t="str">
        <x:v>ich_reproduced_size_matches_baseline</x:v>
      </x:c>
      <x:c r="CK1" s="8" t="str">
        <x:v>ich_reproduced_valid_matches_baseline</x:v>
      </x:c>
      <x:c r="CL1" s="8" t="str">
        <x:v>ich_collisions_before_repair</x:v>
      </x:c>
      <x:c r="CM1" s="8" t="str">
        <x:v>ich_repair_probe_count</x:v>
      </x:c>
      <x:c r="CN1" s="8" t="str">
        <x:v>ich_repair_probe_list</x:v>
      </x:c>
      <x:c r="CO1" s="8" t="str">
        <x:v>ich_repair_only_time_seconds</x:v>
      </x:c>
      <x:c r="CP1" s="8" t="str">
        <x:v>ich_repaired_pre_prune_size</x:v>
      </x:c>
      <x:c r="CQ1" s="8" t="str">
        <x:v>ich_repaired_size</x:v>
      </x:c>
      <x:c r="CR1" s="8" t="str">
        <x:v>ich_repaired_postprocessing_wrapper_total_time_seconds</x:v>
      </x:c>
      <x:c r="CS1" s="8" t="str">
        <x:v>ich_repaired_valid</x:v>
      </x:c>
      <x:c r="CT1" s="8" t="str">
        <x:v>ich_collision_pairs_after_repair</x:v>
      </x:c>
      <x:c r="CU1" s="8" t="str">
        <x:v>ich_pruned_after_repair</x:v>
      </x:c>
      <x:c r="CV1" s="8" t="str">
        <x:v>ich_final_size_change</x:v>
      </x:c>
    </x:row>
    <x:row r="2">
      <x:c r="A2" s="116" t="str">
        <x:v>50</x:v>
      </x:c>
      <x:c r="B2" s="116" t="str">
        <x:v>0.1</x:v>
      </x:c>
      <x:c r="C2" s="116" t="str">
        <x:v>1</x:v>
      </x:c>
      <x:c r="D2" s="116" t="str">
        <x:v>209009057</x:v>
      </x:c>
      <x:c r="E2" s="116" t="str">
        <x:v>34</x:v>
      </x:c>
      <x:c r="F2" s="116" t="str">
        <x:v>24</x:v>
      </x:c>
      <x:c r="G2" s="116" t="str">
        <x:v>12</x:v>
      </x:c>
      <x:c r="H2" s="116" t="str">
        <x:v>1.36</x:v>
      </x:c>
      <x:c r="I2" s="116" t="str">
        <x:v>0.027755102040816326</x:v>
      </x:c>
      <x:c r="J2" s="116" t="str">
        <x:v>5</x:v>
      </x:c>
      <x:c r="K2" s="116" t="str">
        <x:v>grid,circle,zoomed,ich</x:v>
      </x:c>
      <x:c r="L2" s="116" t="str">
        <x:v>historical baseline; not timed in this repair session</x:v>
      </x:c>
      <x:c r="M2" s="116" t="str">
        <x:v>28</x:v>
      </x:c>
      <x:c r="N2" s="116" t="str">
        <x:v>0.0030211000703275204</x:v>
      </x:c>
      <x:c r="O2" s="116" t="str">
        <x:v>False</x:v>
      </x:c>
      <x:c r="P2" s="116" t="str">
        <x:v>27</x:v>
      </x:c>
      <x:c r="Q2" s="116" t="str">
        <x:v>False</x:v>
      </x:c>
      <x:c r="R2" s="116" t="str">
        <x:v>27</x:v>
      </x:c>
      <x:c r="S2" s="116" t="str">
        <x:v>27</x:v>
      </x:c>
      <x:c r="T2" s="116" t="str">
        <x:v>0.0018949999939650297</x:v>
      </x:c>
      <x:c r="U2" s="116" t="str">
        <x:v>False</x:v>
      </x:c>
      <x:c r="V2" s="116" t="str">
        <x:v>True</x:v>
      </x:c>
      <x:c r="W2" s="116" t="str">
        <x:v>True</x:v>
      </x:c>
      <x:c r="X2" s="116" t="str">
        <x:v>18</x:v>
      </x:c>
      <x:c r="Y2" s="116" t="str">
        <x:v>6</x:v>
      </x:c>
      <x:c r="Z2" s="116" t="str">
        <x:v>6,12,30,36,35,41</x:v>
      </x:c>
      <x:c r="AA2" s="116" t="str">
        <x:v>0.0050388999516144395</x:v>
      </x:c>
      <x:c r="AB2" s="116" t="str">
        <x:v>33</x:v>
      </x:c>
      <x:c r="AC2" s="116" t="str">
        <x:v>28</x:v>
      </x:c>
      <x:c r="AD2" s="116" t="str">
        <x:v>0.006933899945579469</x:v>
      </x:c>
      <x:c r="AE2" s="116" t="str">
        <x:v>True</x:v>
      </x:c>
      <x:c r="AF2" s="116" t="str">
        <x:v>0</x:v>
      </x:c>
      <x:c r="AG2" s="116" t="str">
        <x:v>5</x:v>
      </x:c>
      <x:c r="AH2" s="116" t="str">
        <x:v>1</x:v>
      </x:c>
      <x:c r="AI2" s="116" t="str">
        <x:v>28</x:v>
      </x:c>
      <x:c r="AJ2" s="116" t="str">
        <x:v>0.0028360000578686595</x:v>
      </x:c>
      <x:c r="AK2" s="116" t="str">
        <x:v>True</x:v>
      </x:c>
      <x:c r="AL2" s="116" t="str">
        <x:v>28</x:v>
      </x:c>
      <x:c r="AM2" s="116" t="str">
        <x:v>True</x:v>
      </x:c>
      <x:c r="AN2" s="116" t="str">
        <x:v>33</x:v>
      </x:c>
      <x:c r="AO2" s="116" t="str">
        <x:v>28</x:v>
      </x:c>
      <x:c r="AP2" s="116" t="str">
        <x:v>0.0030867999885231256</x:v>
      </x:c>
      <x:c r="AQ2" s="116" t="str">
        <x:v>True</x:v>
      </x:c>
      <x:c r="AR2" s="116" t="str">
        <x:v>True</x:v>
      </x:c>
      <x:c r="AS2" s="116" t="str">
        <x:v>True</x:v>
      </x:c>
      <x:c r="AT2" s="116" t="str">
        <x:v>0</x:v>
      </x:c>
      <x:c r="AU2" s="116" t="str">
        <x:v>0</x:v>
      </x:c>
      <x:c r="AV2" s="116" t="str"/>
      <x:c r="AW2" s="116" t="str">
        <x:v>0.0006278000073507428</x:v>
      </x:c>
      <x:c r="AX2" s="116" t="str">
        <x:v>28</x:v>
      </x:c>
      <x:c r="AY2" s="116" t="str">
        <x:v>28</x:v>
      </x:c>
      <x:c r="AZ2" s="116" t="str">
        <x:v>0.0037145999958738685</x:v>
      </x:c>
      <x:c r="BA2" s="116" t="str">
        <x:v>True</x:v>
      </x:c>
      <x:c r="BB2" s="116" t="str">
        <x:v>0</x:v>
      </x:c>
      <x:c r="BC2" s="116" t="str">
        <x:v>0</x:v>
      </x:c>
      <x:c r="BD2" s="116" t="str">
        <x:v>0</x:v>
      </x:c>
      <x:c r="BE2" s="116" t="str">
        <x:v>28</x:v>
      </x:c>
      <x:c r="BF2" s="116" t="str">
        <x:v>0.00331579998601228</x:v>
      </x:c>
      <x:c r="BG2" s="116" t="str">
        <x:v>True</x:v>
      </x:c>
      <x:c r="BH2" s="116" t="str">
        <x:v>28</x:v>
      </x:c>
      <x:c r="BI2" s="116" t="str">
        <x:v>True</x:v>
      </x:c>
      <x:c r="BJ2" s="116" t="str">
        <x:v>35</x:v>
      </x:c>
      <x:c r="BK2" s="116" t="str">
        <x:v>28</x:v>
      </x:c>
      <x:c r="BL2" s="116" t="str">
        <x:v>0.0036413000198081136</x:v>
      </x:c>
      <x:c r="BM2" s="116" t="str">
        <x:v>True</x:v>
      </x:c>
      <x:c r="BN2" s="116" t="str">
        <x:v>True</x:v>
      </x:c>
      <x:c r="BO2" s="116" t="str">
        <x:v>True</x:v>
      </x:c>
      <x:c r="BP2" s="116" t="str">
        <x:v>0</x:v>
      </x:c>
      <x:c r="BQ2" s="116" t="str">
        <x:v>0</x:v>
      </x:c>
      <x:c r="BR2" s="116" t="str"/>
      <x:c r="BS2" s="116" t="str">
        <x:v>0.0006723999977111816</x:v>
      </x:c>
      <x:c r="BT2" s="116" t="str">
        <x:v>28</x:v>
      </x:c>
      <x:c r="BU2" s="116" t="str">
        <x:v>28</x:v>
      </x:c>
      <x:c r="BV2" s="116" t="str">
        <x:v>0.004313700017519295</x:v>
      </x:c>
      <x:c r="BW2" s="116" t="str">
        <x:v>True</x:v>
      </x:c>
      <x:c r="BX2" s="116" t="str">
        <x:v>0</x:v>
      </x:c>
      <x:c r="BY2" s="116" t="str">
        <x:v>0</x:v>
      </x:c>
      <x:c r="BZ2" s="116" t="str">
        <x:v>0</x:v>
      </x:c>
      <x:c r="CA2" s="116" t="str">
        <x:v>28</x:v>
      </x:c>
      <x:c r="CB2" s="116" t="str">
        <x:v>0.035803799983114004</x:v>
      </x:c>
      <x:c r="CC2" s="116" t="str">
        <x:v>True</x:v>
      </x:c>
      <x:c r="CD2" s="116" t="str">
        <x:v>28</x:v>
      </x:c>
      <x:c r="CE2" s="116" t="str">
        <x:v>True</x:v>
      </x:c>
      <x:c r="CF2" s="116" t="str">
        <x:v>28</x:v>
      </x:c>
      <x:c r="CG2" s="116" t="str">
        <x:v>28</x:v>
      </x:c>
      <x:c r="CH2" s="116" t="str">
        <x:v>0.03645919996779412</x:v>
      </x:c>
      <x:c r="CI2" s="116" t="str">
        <x:v>True</x:v>
      </x:c>
      <x:c r="CJ2" s="116" t="str">
        <x:v>True</x:v>
      </x:c>
      <x:c r="CK2" s="116" t="str">
        <x:v>True</x:v>
      </x:c>
      <x:c r="CL2" s="116" t="str">
        <x:v>0</x:v>
      </x:c>
      <x:c r="CM2" s="116" t="str">
        <x:v>0</x:v>
      </x:c>
      <x:c r="CN2" s="116" t="str"/>
      <x:c r="CO2" s="116" t="str">
        <x:v>0.000672199996188283</x:v>
      </x:c>
      <x:c r="CP2" s="116" t="str">
        <x:v>28</x:v>
      </x:c>
      <x:c r="CQ2" s="116" t="str">
        <x:v>28</x:v>
      </x:c>
      <x:c r="CR2" s="116" t="str">
        <x:v>0.0371313999639824</x:v>
      </x:c>
      <x:c r="CS2" s="116" t="str">
        <x:v>True</x:v>
      </x:c>
      <x:c r="CT2" s="116" t="str">
        <x:v>0</x:v>
      </x:c>
      <x:c r="CU2" s="116" t="str">
        <x:v>0</x:v>
      </x:c>
      <x:c r="CV2" s="116" t="str">
        <x:v>0</x:v>
      </x:c>
    </x:row>
    <x:row r="3">
      <x:c r="A3" s="117" t="str">
        <x:v>50</x:v>
      </x:c>
      <x:c r="B3" s="117" t="str">
        <x:v>0.1</x:v>
      </x:c>
      <x:c r="C3" s="117" t="str">
        <x:v>2</x:v>
      </x:c>
      <x:c r="D3" s="117" t="str">
        <x:v>19468622</x:v>
      </x:c>
      <x:c r="E3" s="117" t="str">
        <x:v>37</x:v>
      </x:c>
      <x:c r="F3" s="117" t="str">
        <x:v>23</x:v>
      </x:c>
      <x:c r="G3" s="117" t="str">
        <x:v>10</x:v>
      </x:c>
      <x:c r="H3" s="117" t="str">
        <x:v>1.48</x:v>
      </x:c>
      <x:c r="I3" s="117" t="str">
        <x:v>0.030204081632653063</x:v>
      </x:c>
      <x:c r="J3" s="117" t="str">
        <x:v>5</x:v>
      </x:c>
      <x:c r="K3" s="117" t="str">
        <x:v>circle,zoomed,ich,grid</x:v>
      </x:c>
      <x:c r="L3" s="117" t="str">
        <x:v>historical baseline; not timed in this repair session</x:v>
      </x:c>
      <x:c r="M3" s="117" t="str">
        <x:v>32</x:v>
      </x:c>
      <x:c r="N3" s="117" t="str">
        <x:v>0.001999200088903308</x:v>
      </x:c>
      <x:c r="O3" s="117" t="str">
        <x:v>False</x:v>
      </x:c>
      <x:c r="P3" s="117" t="str">
        <x:v>29</x:v>
      </x:c>
      <x:c r="Q3" s="117" t="str">
        <x:v>False</x:v>
      </x:c>
      <x:c r="R3" s="117" t="str">
        <x:v>29</x:v>
      </x:c>
      <x:c r="S3" s="117" t="str">
        <x:v>29</x:v>
      </x:c>
      <x:c r="T3" s="117" t="str">
        <x:v>0.0018478999845683575</x:v>
      </x:c>
      <x:c r="U3" s="117" t="str">
        <x:v>False</x:v>
      </x:c>
      <x:c r="V3" s="117" t="str">
        <x:v>True</x:v>
      </x:c>
      <x:c r="W3" s="117" t="str">
        <x:v>True</x:v>
      </x:c>
      <x:c r="X3" s="117" t="str">
        <x:v>6</x:v>
      </x:c>
      <x:c r="Y3" s="117" t="str">
        <x:v>2</x:v>
      </x:c>
      <x:c r="Z3" s="117" t="str">
        <x:v>43,21</x:v>
      </x:c>
      <x:c r="AA3" s="117" t="str">
        <x:v>0.002634100033901632</x:v>
      </x:c>
      <x:c r="AB3" s="117" t="str">
        <x:v>31</x:v>
      </x:c>
      <x:c r="AC3" s="117" t="str">
        <x:v>27</x:v>
      </x:c>
      <x:c r="AD3" s="117" t="str">
        <x:v>0.004482000018469989</x:v>
      </x:c>
      <x:c r="AE3" s="117" t="str">
        <x:v>True</x:v>
      </x:c>
      <x:c r="AF3" s="117" t="str">
        <x:v>0</x:v>
      </x:c>
      <x:c r="AG3" s="117" t="str">
        <x:v>4</x:v>
      </x:c>
      <x:c r="AH3" s="117" t="str">
        <x:v>-2</x:v>
      </x:c>
      <x:c r="AI3" s="117" t="str">
        <x:v>27</x:v>
      </x:c>
      <x:c r="AJ3" s="117" t="str">
        <x:v>0.00282260007224977</x:v>
      </x:c>
      <x:c r="AK3" s="117" t="str">
        <x:v>True</x:v>
      </x:c>
      <x:c r="AL3" s="117" t="str">
        <x:v>27</x:v>
      </x:c>
      <x:c r="AM3" s="117" t="str">
        <x:v>True</x:v>
      </x:c>
      <x:c r="AN3" s="117" t="str">
        <x:v>32</x:v>
      </x:c>
      <x:c r="AO3" s="117" t="str">
        <x:v>27</x:v>
      </x:c>
      <x:c r="AP3" s="117" t="str">
        <x:v>0.0034742000279948115</x:v>
      </x:c>
      <x:c r="AQ3" s="117" t="str">
        <x:v>True</x:v>
      </x:c>
      <x:c r="AR3" s="117" t="str">
        <x:v>True</x:v>
      </x:c>
      <x:c r="AS3" s="117" t="str">
        <x:v>True</x:v>
      </x:c>
      <x:c r="AT3" s="117" t="str">
        <x:v>0</x:v>
      </x:c>
      <x:c r="AU3" s="117" t="str">
        <x:v>0</x:v>
      </x:c>
      <x:c r="AV3" s="117" t="str"/>
      <x:c r="AW3" s="117" t="str">
        <x:v>0.0006435000104829669</x:v>
      </x:c>
      <x:c r="AX3" s="117" t="str">
        <x:v>27</x:v>
      </x:c>
      <x:c r="AY3" s="117" t="str">
        <x:v>27</x:v>
      </x:c>
      <x:c r="AZ3" s="117" t="str">
        <x:v>0.0041177000384777784</x:v>
      </x:c>
      <x:c r="BA3" s="117" t="str">
        <x:v>True</x:v>
      </x:c>
      <x:c r="BB3" s="117" t="str">
        <x:v>0</x:v>
      </x:c>
      <x:c r="BC3" s="117" t="str">
        <x:v>0</x:v>
      </x:c>
      <x:c r="BD3" s="117" t="str">
        <x:v>0</x:v>
      </x:c>
      <x:c r="BE3" s="117" t="str">
        <x:v>27</x:v>
      </x:c>
      <x:c r="BF3" s="117" t="str">
        <x:v>0.002898000064305961</x:v>
      </x:c>
      <x:c r="BG3" s="117" t="str">
        <x:v>True</x:v>
      </x:c>
      <x:c r="BH3" s="117" t="str">
        <x:v>27</x:v>
      </x:c>
      <x:c r="BI3" s="117" t="str">
        <x:v>True</x:v>
      </x:c>
      <x:c r="BJ3" s="117" t="str">
        <x:v>35</x:v>
      </x:c>
      <x:c r="BK3" s="117" t="str">
        <x:v>27</x:v>
      </x:c>
      <x:c r="BL3" s="117" t="str">
        <x:v>0.0034084999933838844</x:v>
      </x:c>
      <x:c r="BM3" s="117" t="str">
        <x:v>True</x:v>
      </x:c>
      <x:c r="BN3" s="117" t="str">
        <x:v>True</x:v>
      </x:c>
      <x:c r="BO3" s="117" t="str">
        <x:v>True</x:v>
      </x:c>
      <x:c r="BP3" s="117" t="str">
        <x:v>0</x:v>
      </x:c>
      <x:c r="BQ3" s="117" t="str">
        <x:v>0</x:v>
      </x:c>
      <x:c r="BR3" s="117" t="str"/>
      <x:c r="BS3" s="117" t="str">
        <x:v>0.0006354000652208924</x:v>
      </x:c>
      <x:c r="BT3" s="117" t="str">
        <x:v>27</x:v>
      </x:c>
      <x:c r="BU3" s="117" t="str">
        <x:v>27</x:v>
      </x:c>
      <x:c r="BV3" s="117" t="str">
        <x:v>0.004043900058604777</x:v>
      </x:c>
      <x:c r="BW3" s="117" t="str">
        <x:v>True</x:v>
      </x:c>
      <x:c r="BX3" s="117" t="str">
        <x:v>0</x:v>
      </x:c>
      <x:c r="BY3" s="117" t="str">
        <x:v>0</x:v>
      </x:c>
      <x:c r="BZ3" s="117" t="str">
        <x:v>0</x:v>
      </x:c>
      <x:c r="CA3" s="117" t="str">
        <x:v>27</x:v>
      </x:c>
      <x:c r="CB3" s="117" t="str">
        <x:v>0.034058399964123964</x:v>
      </x:c>
      <x:c r="CC3" s="117" t="str">
        <x:v>True</x:v>
      </x:c>
      <x:c r="CD3" s="117" t="str">
        <x:v>27</x:v>
      </x:c>
      <x:c r="CE3" s="117" t="str">
        <x:v>True</x:v>
      </x:c>
      <x:c r="CF3" s="117" t="str">
        <x:v>27</x:v>
      </x:c>
      <x:c r="CG3" s="117" t="str">
        <x:v>27</x:v>
      </x:c>
      <x:c r="CH3" s="117" t="str">
        <x:v>0.0333909000037238</x:v>
      </x:c>
      <x:c r="CI3" s="117" t="str">
        <x:v>True</x:v>
      </x:c>
      <x:c r="CJ3" s="117" t="str">
        <x:v>True</x:v>
      </x:c>
      <x:c r="CK3" s="117" t="str">
        <x:v>True</x:v>
      </x:c>
      <x:c r="CL3" s="117" t="str">
        <x:v>0</x:v>
      </x:c>
      <x:c r="CM3" s="117" t="str">
        <x:v>0</x:v>
      </x:c>
      <x:c r="CN3" s="117" t="str"/>
      <x:c r="CO3" s="117" t="str">
        <x:v>0.0005741999484598637</x:v>
      </x:c>
      <x:c r="CP3" s="117" t="str">
        <x:v>27</x:v>
      </x:c>
      <x:c r="CQ3" s="117" t="str">
        <x:v>27</x:v>
      </x:c>
      <x:c r="CR3" s="117" t="str">
        <x:v>0.033965099952183664</x:v>
      </x:c>
      <x:c r="CS3" s="117" t="str">
        <x:v>True</x:v>
      </x:c>
      <x:c r="CT3" s="117" t="str">
        <x:v>0</x:v>
      </x:c>
      <x:c r="CU3" s="117" t="str">
        <x:v>0</x:v>
      </x:c>
      <x:c r="CV3" s="117" t="str">
        <x:v>0</x:v>
      </x:c>
    </x:row>
    <x:row r="4">
      <x:c r="A4" s="117" t="str">
        <x:v>50</x:v>
      </x:c>
      <x:c r="B4" s="117" t="str">
        <x:v>0.1</x:v>
      </x:c>
      <x:c r="C4" s="117" t="str">
        <x:v>3</x:v>
      </x:c>
      <x:c r="D4" s="117" t="str">
        <x:v>2553414308</x:v>
      </x:c>
      <x:c r="E4" s="117" t="str">
        <x:v>29</x:v>
      </x:c>
      <x:c r="F4" s="117" t="str">
        <x:v>27</x:v>
      </x:c>
      <x:c r="G4" s="117" t="str">
        <x:v>6</x:v>
      </x:c>
      <x:c r="H4" s="117" t="str">
        <x:v>1.16</x:v>
      </x:c>
      <x:c r="I4" s="117" t="str">
        <x:v>0.0236734693877551</x:v>
      </x:c>
      <x:c r="J4" s="117" t="str">
        <x:v>5</x:v>
      </x:c>
      <x:c r="K4" s="117" t="str">
        <x:v>zoomed,ich,grid,circle</x:v>
      </x:c>
      <x:c r="L4" s="117" t="str">
        <x:v>historical baseline; not timed in this repair session</x:v>
      </x:c>
      <x:c r="M4" s="117" t="str">
        <x:v>28</x:v>
      </x:c>
      <x:c r="N4" s="117" t="str">
        <x:v>0.0019138000207021832</x:v>
      </x:c>
      <x:c r="O4" s="117" t="str">
        <x:v>False</x:v>
      </x:c>
      <x:c r="P4" s="117" t="str">
        <x:v>28</x:v>
      </x:c>
      <x:c r="Q4" s="117" t="str">
        <x:v>False</x:v>
      </x:c>
      <x:c r="R4" s="117" t="str">
        <x:v>28</x:v>
      </x:c>
      <x:c r="S4" s="117" t="str">
        <x:v>28</x:v>
      </x:c>
      <x:c r="T4" s="117" t="str">
        <x:v>0.0019035000586882234</x:v>
      </x:c>
      <x:c r="U4" s="117" t="str">
        <x:v>False</x:v>
      </x:c>
      <x:c r="V4" s="117" t="str">
        <x:v>True</x:v>
      </x:c>
      <x:c r="W4" s="117" t="str">
        <x:v>True</x:v>
      </x:c>
      <x:c r="X4" s="117" t="str">
        <x:v>21</x:v>
      </x:c>
      <x:c r="Y4" s="117" t="str">
        <x:v>6</x:v>
      </x:c>
      <x:c r="Z4" s="117" t="str">
        <x:v>7,16,32,36,37,39</x:v>
      </x:c>
      <x:c r="AA4" s="117" t="str">
        <x:v>0.00494699995033443</x:v>
      </x:c>
      <x:c r="AB4" s="117" t="str">
        <x:v>34</x:v>
      </x:c>
      <x:c r="AC4" s="117" t="str">
        <x:v>30</x:v>
      </x:c>
      <x:c r="AD4" s="117" t="str">
        <x:v>0.006850500009022653</x:v>
      </x:c>
      <x:c r="AE4" s="117" t="str">
        <x:v>True</x:v>
      </x:c>
      <x:c r="AF4" s="117" t="str">
        <x:v>0</x:v>
      </x:c>
      <x:c r="AG4" s="117" t="str">
        <x:v>4</x:v>
      </x:c>
      <x:c r="AH4" s="117" t="str">
        <x:v>2</x:v>
      </x:c>
      <x:c r="AI4" s="117" t="str">
        <x:v>30</x:v>
      </x:c>
      <x:c r="AJ4" s="117" t="str">
        <x:v>0.003739599953405559</x:v>
      </x:c>
      <x:c r="AK4" s="117" t="str">
        <x:v>True</x:v>
      </x:c>
      <x:c r="AL4" s="117" t="str">
        <x:v>30</x:v>
      </x:c>
      <x:c r="AM4" s="117" t="str">
        <x:v>True</x:v>
      </x:c>
      <x:c r="AN4" s="117" t="str">
        <x:v>35</x:v>
      </x:c>
      <x:c r="AO4" s="117" t="str">
        <x:v>30</x:v>
      </x:c>
      <x:c r="AP4" s="117" t="str">
        <x:v>0.0031996999168768525</x:v>
      </x:c>
      <x:c r="AQ4" s="117" t="str">
        <x:v>True</x:v>
      </x:c>
      <x:c r="AR4" s="117" t="str">
        <x:v>True</x:v>
      </x:c>
      <x:c r="AS4" s="117" t="str">
        <x:v>True</x:v>
      </x:c>
      <x:c r="AT4" s="117" t="str">
        <x:v>0</x:v>
      </x:c>
      <x:c r="AU4" s="117" t="str">
        <x:v>0</x:v>
      </x:c>
      <x:c r="AV4" s="117" t="str"/>
      <x:c r="AW4" s="117" t="str">
        <x:v>0.0006303000263869762</x:v>
      </x:c>
      <x:c r="AX4" s="117" t="str">
        <x:v>30</x:v>
      </x:c>
      <x:c r="AY4" s="117" t="str">
        <x:v>30</x:v>
      </x:c>
      <x:c r="AZ4" s="117" t="str">
        <x:v>0.0038299999432638288</x:v>
      </x:c>
      <x:c r="BA4" s="117" t="str">
        <x:v>True</x:v>
      </x:c>
      <x:c r="BB4" s="117" t="str">
        <x:v>0</x:v>
      </x:c>
      <x:c r="BC4" s="117" t="str">
        <x:v>0</x:v>
      </x:c>
      <x:c r="BD4" s="117" t="str">
        <x:v>0</x:v>
      </x:c>
      <x:c r="BE4" s="117" t="str">
        <x:v>30</x:v>
      </x:c>
      <x:c r="BF4" s="117" t="str">
        <x:v>0.003042900003492832</x:v>
      </x:c>
      <x:c r="BG4" s="117" t="str">
        <x:v>True</x:v>
      </x:c>
      <x:c r="BH4" s="117" t="str">
        <x:v>30</x:v>
      </x:c>
      <x:c r="BI4" s="117" t="str">
        <x:v>True</x:v>
      </x:c>
      <x:c r="BJ4" s="117" t="str">
        <x:v>34</x:v>
      </x:c>
      <x:c r="BK4" s="117" t="str">
        <x:v>30</x:v>
      </x:c>
      <x:c r="BL4" s="117" t="str">
        <x:v>0.002772600040771067</x:v>
      </x:c>
      <x:c r="BM4" s="117" t="str">
        <x:v>True</x:v>
      </x:c>
      <x:c r="BN4" s="117" t="str">
        <x:v>True</x:v>
      </x:c>
      <x:c r="BO4" s="117" t="str">
        <x:v>True</x:v>
      </x:c>
      <x:c r="BP4" s="117" t="str">
        <x:v>0</x:v>
      </x:c>
      <x:c r="BQ4" s="117" t="str">
        <x:v>0</x:v>
      </x:c>
      <x:c r="BR4" s="117" t="str"/>
      <x:c r="BS4" s="117" t="str">
        <x:v>0.0005591000663116574</x:v>
      </x:c>
      <x:c r="BT4" s="117" t="str">
        <x:v>30</x:v>
      </x:c>
      <x:c r="BU4" s="117" t="str">
        <x:v>30</x:v>
      </x:c>
      <x:c r="BV4" s="117" t="str">
        <x:v>0.0033317001070827246</x:v>
      </x:c>
      <x:c r="BW4" s="117" t="str">
        <x:v>True</x:v>
      </x:c>
      <x:c r="BX4" s="117" t="str">
        <x:v>0</x:v>
      </x:c>
      <x:c r="BY4" s="117" t="str">
        <x:v>0</x:v>
      </x:c>
      <x:c r="BZ4" s="117" t="str">
        <x:v>0</x:v>
      </x:c>
      <x:c r="CA4" s="117" t="str">
        <x:v>30</x:v>
      </x:c>
      <x:c r="CB4" s="117" t="str">
        <x:v>0.03721380000934005</x:v>
      </x:c>
      <x:c r="CC4" s="117" t="str">
        <x:v>True</x:v>
      </x:c>
      <x:c r="CD4" s="117" t="str">
        <x:v>30</x:v>
      </x:c>
      <x:c r="CE4" s="117" t="str">
        <x:v>True</x:v>
      </x:c>
      <x:c r="CF4" s="117" t="str">
        <x:v>30</x:v>
      </x:c>
      <x:c r="CG4" s="117" t="str">
        <x:v>30</x:v>
      </x:c>
      <x:c r="CH4" s="117" t="str">
        <x:v>0.03391549992375076</x:v>
      </x:c>
      <x:c r="CI4" s="117" t="str">
        <x:v>True</x:v>
      </x:c>
      <x:c r="CJ4" s="117" t="str">
        <x:v>True</x:v>
      </x:c>
      <x:c r="CK4" s="117" t="str">
        <x:v>True</x:v>
      </x:c>
      <x:c r="CL4" s="117" t="str">
        <x:v>0</x:v>
      </x:c>
      <x:c r="CM4" s="117" t="str">
        <x:v>0</x:v>
      </x:c>
      <x:c r="CN4" s="117" t="str"/>
      <x:c r="CO4" s="117" t="str">
        <x:v>0.0006834000814706087</x:v>
      </x:c>
      <x:c r="CP4" s="117" t="str">
        <x:v>30</x:v>
      </x:c>
      <x:c r="CQ4" s="117" t="str">
        <x:v>30</x:v>
      </x:c>
      <x:c r="CR4" s="117" t="str">
        <x:v>0.03459890000522137</x:v>
      </x:c>
      <x:c r="CS4" s="117" t="str">
        <x:v>True</x:v>
      </x:c>
      <x:c r="CT4" s="117" t="str">
        <x:v>0</x:v>
      </x:c>
      <x:c r="CU4" s="117" t="str">
        <x:v>0</x:v>
      </x:c>
      <x:c r="CV4" s="117" t="str">
        <x:v>0</x:v>
      </x:c>
    </x:row>
    <x:row r="5">
      <x:c r="A5" s="117" t="str">
        <x:v>50</x:v>
      </x:c>
      <x:c r="B5" s="117" t="str">
        <x:v>0.3</x:v>
      </x:c>
      <x:c r="C5" s="117" t="str">
        <x:v>1</x:v>
      </x:c>
      <x:c r="D5" s="117" t="str">
        <x:v>4165256226</x:v>
      </x:c>
      <x:c r="E5" s="117" t="str">
        <x:v>272</x:v>
      </x:c>
      <x:c r="F5" s="117" t="str">
        <x:v>1</x:v>
      </x:c>
      <x:c r="G5" s="117" t="str">
        <x:v>50</x:v>
      </x:c>
      <x:c r="H5" s="117" t="str">
        <x:v>10.88</x:v>
      </x:c>
      <x:c r="I5" s="117" t="str">
        <x:v>0.2220408163265306</x:v>
      </x:c>
      <x:c r="J5" s="117" t="str">
        <x:v>5</x:v>
      </x:c>
      <x:c r="K5" s="117" t="str">
        <x:v>grid,circle,zoomed,ich</x:v>
      </x:c>
      <x:c r="L5" s="117" t="str">
        <x:v>historical baseline; not timed in this repair session</x:v>
      </x:c>
      <x:c r="M5" s="117" t="str">
        <x:v>12</x:v>
      </x:c>
      <x:c r="N5" s="117" t="str">
        <x:v>0.005136599997058511</x:v>
      </x:c>
      <x:c r="O5" s="117" t="str">
        <x:v>True</x:v>
      </x:c>
      <x:c r="P5" s="117" t="str">
        <x:v>12</x:v>
      </x:c>
      <x:c r="Q5" s="117" t="str">
        <x:v>True</x:v>
      </x:c>
      <x:c r="R5" s="117" t="str">
        <x:v>24</x:v>
      </x:c>
      <x:c r="S5" s="117" t="str">
        <x:v>12</x:v>
      </x:c>
      <x:c r="T5" s="117" t="str">
        <x:v>0.004463599994778633</x:v>
      </x:c>
      <x:c r="U5" s="117" t="str">
        <x:v>True</x:v>
      </x:c>
      <x:c r="V5" s="117" t="str">
        <x:v>True</x:v>
      </x:c>
      <x:c r="W5" s="117" t="str">
        <x:v>True</x:v>
      </x:c>
      <x:c r="X5" s="117" t="str">
        <x:v>0</x:v>
      </x:c>
      <x:c r="Y5" s="117" t="str">
        <x:v>0</x:v>
      </x:c>
      <x:c r="Z5" s="117" t="str"/>
      <x:c r="AA5" s="117" t="str">
        <x:v>0.00035500002559274435</x:v>
      </x:c>
      <x:c r="AB5" s="117" t="str">
        <x:v>12</x:v>
      </x:c>
      <x:c r="AC5" s="117" t="str">
        <x:v>12</x:v>
      </x:c>
      <x:c r="AD5" s="117" t="str">
        <x:v>0.0048186000203713775</x:v>
      </x:c>
      <x:c r="AE5" s="117" t="str">
        <x:v>True</x:v>
      </x:c>
      <x:c r="AF5" s="117" t="str">
        <x:v>0</x:v>
      </x:c>
      <x:c r="AG5" s="117" t="str">
        <x:v>0</x:v>
      </x:c>
      <x:c r="AH5" s="117" t="str">
        <x:v>0</x:v>
      </x:c>
      <x:c r="AI5" s="117" t="str">
        <x:v>12</x:v>
      </x:c>
      <x:c r="AJ5" s="117" t="str">
        <x:v>0.004573900019749999</x:v>
      </x:c>
      <x:c r="AK5" s="117" t="str">
        <x:v>True</x:v>
      </x:c>
      <x:c r="AL5" s="117" t="str">
        <x:v>13</x:v>
      </x:c>
      <x:c r="AM5" s="117" t="str">
        <x:v>True</x:v>
      </x:c>
      <x:c r="AN5" s="117" t="str">
        <x:v>27</x:v>
      </x:c>
      <x:c r="AO5" s="117" t="str">
        <x:v>13</x:v>
      </x:c>
      <x:c r="AP5" s="117" t="str">
        <x:v>0.004028999945148826</x:v>
      </x:c>
      <x:c r="AQ5" s="117" t="str">
        <x:v>True</x:v>
      </x:c>
      <x:c r="AR5" s="117" t="str">
        <x:v>True</x:v>
      </x:c>
      <x:c r="AS5" s="117" t="str">
        <x:v>True</x:v>
      </x:c>
      <x:c r="AT5" s="117" t="str">
        <x:v>0</x:v>
      </x:c>
      <x:c r="AU5" s="117" t="str">
        <x:v>0</x:v>
      </x:c>
      <x:c r="AV5" s="117" t="str"/>
      <x:c r="AW5" s="117" t="str">
        <x:v>0.0003418000414967537</x:v>
      </x:c>
      <x:c r="AX5" s="117" t="str">
        <x:v>13</x:v>
      </x:c>
      <x:c r="AY5" s="117" t="str">
        <x:v>13</x:v>
      </x:c>
      <x:c r="AZ5" s="117" t="str">
        <x:v>0.004370799986645579</x:v>
      </x:c>
      <x:c r="BA5" s="117" t="str">
        <x:v>True</x:v>
      </x:c>
      <x:c r="BB5" s="117" t="str">
        <x:v>0</x:v>
      </x:c>
      <x:c r="BC5" s="117" t="str">
        <x:v>0</x:v>
      </x:c>
      <x:c r="BD5" s="117" t="str">
        <x:v>0</x:v>
      </x:c>
      <x:c r="BE5" s="117" t="str">
        <x:v>13</x:v>
      </x:c>
      <x:c r="BF5" s="117" t="str">
        <x:v>0.0042421999387443066</x:v>
      </x:c>
      <x:c r="BG5" s="117" t="str">
        <x:v>True</x:v>
      </x:c>
      <x:c r="BH5" s="117" t="str">
        <x:v>13</x:v>
      </x:c>
      <x:c r="BI5" s="117" t="str">
        <x:v>True</x:v>
      </x:c>
      <x:c r="BJ5" s="117" t="str">
        <x:v>30</x:v>
      </x:c>
      <x:c r="BK5" s="117" t="str">
        <x:v>13</x:v>
      </x:c>
      <x:c r="BL5" s="117" t="str">
        <x:v>0.004088900052011013</x:v>
      </x:c>
      <x:c r="BM5" s="117" t="str">
        <x:v>True</x:v>
      </x:c>
      <x:c r="BN5" s="117" t="str">
        <x:v>True</x:v>
      </x:c>
      <x:c r="BO5" s="117" t="str">
        <x:v>True</x:v>
      </x:c>
      <x:c r="BP5" s="117" t="str">
        <x:v>0</x:v>
      </x:c>
      <x:c r="BQ5" s="117" t="str">
        <x:v>0</x:v>
      </x:c>
      <x:c r="BR5" s="117" t="str"/>
      <x:c r="BS5" s="117" t="str">
        <x:v>0.00034140003845095634</x:v>
      </x:c>
      <x:c r="BT5" s="117" t="str">
        <x:v>13</x:v>
      </x:c>
      <x:c r="BU5" s="117" t="str">
        <x:v>13</x:v>
      </x:c>
      <x:c r="BV5" s="117" t="str">
        <x:v>0.004430300090461969</x:v>
      </x:c>
      <x:c r="BW5" s="117" t="str">
        <x:v>True</x:v>
      </x:c>
      <x:c r="BX5" s="117" t="str">
        <x:v>0</x:v>
      </x:c>
      <x:c r="BY5" s="117" t="str">
        <x:v>0</x:v>
      </x:c>
      <x:c r="BZ5" s="117" t="str">
        <x:v>0</x:v>
      </x:c>
      <x:c r="CA5" s="117" t="str">
        <x:v>13</x:v>
      </x:c>
      <x:c r="CB5" s="117" t="str">
        <x:v>0.026735799969173968</x:v>
      </x:c>
      <x:c r="CC5" s="117" t="str">
        <x:v>True</x:v>
      </x:c>
      <x:c r="CD5" s="117" t="str">
        <x:v>12</x:v>
      </x:c>
      <x:c r="CE5" s="117" t="str">
        <x:v>True</x:v>
      </x:c>
      <x:c r="CF5" s="117" t="str">
        <x:v>12</x:v>
      </x:c>
      <x:c r="CG5" s="117" t="str">
        <x:v>12</x:v>
      </x:c>
      <x:c r="CH5" s="117" t="str">
        <x:v>0.022475400008261204</x:v>
      </x:c>
      <x:c r="CI5" s="117" t="str">
        <x:v>True</x:v>
      </x:c>
      <x:c r="CJ5" s="117" t="str">
        <x:v>True</x:v>
      </x:c>
      <x:c r="CK5" s="117" t="str">
        <x:v>True</x:v>
      </x:c>
      <x:c r="CL5" s="117" t="str">
        <x:v>0</x:v>
      </x:c>
      <x:c r="CM5" s="117" t="str">
        <x:v>0</x:v>
      </x:c>
      <x:c r="CN5" s="117" t="str"/>
      <x:c r="CO5" s="117" t="str">
        <x:v>0.00031430006492882967</x:v>
      </x:c>
      <x:c r="CP5" s="117" t="str">
        <x:v>12</x:v>
      </x:c>
      <x:c r="CQ5" s="117" t="str">
        <x:v>12</x:v>
      </x:c>
      <x:c r="CR5" s="117" t="str">
        <x:v>0.022789700073190033</x:v>
      </x:c>
      <x:c r="CS5" s="117" t="str">
        <x:v>True</x:v>
      </x:c>
      <x:c r="CT5" s="117" t="str">
        <x:v>0</x:v>
      </x:c>
      <x:c r="CU5" s="117" t="str">
        <x:v>0</x:v>
      </x:c>
      <x:c r="CV5" s="117" t="str">
        <x:v>0</x:v>
      </x:c>
    </x:row>
    <x:row r="6">
      <x:c r="A6" s="117" t="str">
        <x:v>50</x:v>
      </x:c>
      <x:c r="B6" s="117" t="str">
        <x:v>0.3</x:v>
      </x:c>
      <x:c r="C6" s="117" t="str">
        <x:v>2</x:v>
      </x:c>
      <x:c r="D6" s="117" t="str">
        <x:v>3034549</x:v>
      </x:c>
      <x:c r="E6" s="117" t="str">
        <x:v>243</x:v>
      </x:c>
      <x:c r="F6" s="117" t="str">
        <x:v>1</x:v>
      </x:c>
      <x:c r="G6" s="117" t="str">
        <x:v>50</x:v>
      </x:c>
      <x:c r="H6" s="117" t="str">
        <x:v>9.72</x:v>
      </x:c>
      <x:c r="I6" s="117" t="str">
        <x:v>0.1983673469387755</x:v>
      </x:c>
      <x:c r="J6" s="117" t="str">
        <x:v>5</x:v>
      </x:c>
      <x:c r="K6" s="117" t="str">
        <x:v>circle,zoomed,ich,grid</x:v>
      </x:c>
      <x:c r="L6" s="117" t="str">
        <x:v>historical baseline; not timed in this repair session</x:v>
      </x:c>
      <x:c r="M6" s="117" t="str">
        <x:v>12</x:v>
      </x:c>
      <x:c r="N6" s="117" t="str">
        <x:v>0.003982699941843748</x:v>
      </x:c>
      <x:c r="O6" s="117" t="str">
        <x:v>True</x:v>
      </x:c>
      <x:c r="P6" s="117" t="str">
        <x:v>22</x:v>
      </x:c>
      <x:c r="Q6" s="117" t="str">
        <x:v>False</x:v>
      </x:c>
      <x:c r="R6" s="117" t="str">
        <x:v>22</x:v>
      </x:c>
      <x:c r="S6" s="117" t="str">
        <x:v>22</x:v>
      </x:c>
      <x:c r="T6" s="117" t="str">
        <x:v>0.0031117999460548162</x:v>
      </x:c>
      <x:c r="U6" s="117" t="str">
        <x:v>False</x:v>
      </x:c>
      <x:c r="V6" s="117" t="str">
        <x:v>True</x:v>
      </x:c>
      <x:c r="W6" s="117" t="str">
        <x:v>True</x:v>
      </x:c>
      <x:c r="X6" s="117" t="str">
        <x:v>1</x:v>
      </x:c>
      <x:c r="Y6" s="117" t="str">
        <x:v>1</x:v>
      </x:c>
      <x:c r="Z6" s="117" t="str">
        <x:v>18</x:v>
      </x:c>
      <x:c r="AA6" s="117" t="str">
        <x:v>0.0031105000525712967</x:v>
      </x:c>
      <x:c r="AB6" s="117" t="str">
        <x:v>23</x:v>
      </x:c>
      <x:c r="AC6" s="117" t="str">
        <x:v>13</x:v>
      </x:c>
      <x:c r="AD6" s="117" t="str">
        <x:v>0.006222299998626113</x:v>
      </x:c>
      <x:c r="AE6" s="117" t="str">
        <x:v>True</x:v>
      </x:c>
      <x:c r="AF6" s="117" t="str">
        <x:v>0</x:v>
      </x:c>
      <x:c r="AG6" s="117" t="str">
        <x:v>10</x:v>
      </x:c>
      <x:c r="AH6" s="117" t="str">
        <x:v>-9</x:v>
      </x:c>
      <x:c r="AI6" s="117" t="str">
        <x:v>11</x:v>
      </x:c>
      <x:c r="AJ6" s="117" t="str">
        <x:v>0.004142799996770918</x:v>
      </x:c>
      <x:c r="AK6" s="117" t="str">
        <x:v>True</x:v>
      </x:c>
      <x:c r="AL6" s="117" t="str">
        <x:v>11</x:v>
      </x:c>
      <x:c r="AM6" s="117" t="str">
        <x:v>True</x:v>
      </x:c>
      <x:c r="AN6" s="117" t="str">
        <x:v>30</x:v>
      </x:c>
      <x:c r="AO6" s="117" t="str">
        <x:v>11</x:v>
      </x:c>
      <x:c r="AP6" s="117" t="str">
        <x:v>0.0039028999162837863</x:v>
      </x:c>
      <x:c r="AQ6" s="117" t="str">
        <x:v>True</x:v>
      </x:c>
      <x:c r="AR6" s="117" t="str">
        <x:v>True</x:v>
      </x:c>
      <x:c r="AS6" s="117" t="str">
        <x:v>True</x:v>
      </x:c>
      <x:c r="AT6" s="117" t="str">
        <x:v>0</x:v>
      </x:c>
      <x:c r="AU6" s="117" t="str">
        <x:v>0</x:v>
      </x:c>
      <x:c r="AV6" s="117" t="str"/>
      <x:c r="AW6" s="117" t="str">
        <x:v>0.00033089995849877596</x:v>
      </x:c>
      <x:c r="AX6" s="117" t="str">
        <x:v>11</x:v>
      </x:c>
      <x:c r="AY6" s="117" t="str">
        <x:v>11</x:v>
      </x:c>
      <x:c r="AZ6" s="117" t="str">
        <x:v>0.004233799874782562</x:v>
      </x:c>
      <x:c r="BA6" s="117" t="str">
        <x:v>True</x:v>
      </x:c>
      <x:c r="BB6" s="117" t="str">
        <x:v>0</x:v>
      </x:c>
      <x:c r="BC6" s="117" t="str">
        <x:v>0</x:v>
      </x:c>
      <x:c r="BD6" s="117" t="str">
        <x:v>0</x:v>
      </x:c>
      <x:c r="BE6" s="117" t="str">
        <x:v>11</x:v>
      </x:c>
      <x:c r="BF6" s="117" t="str">
        <x:v>0.0036935999523848295</x:v>
      </x:c>
      <x:c r="BG6" s="117" t="str">
        <x:v>True</x:v>
      </x:c>
      <x:c r="BH6" s="117" t="str">
        <x:v>11</x:v>
      </x:c>
      <x:c r="BI6" s="117" t="str">
        <x:v>True</x:v>
      </x:c>
      <x:c r="BJ6" s="117" t="str">
        <x:v>24</x:v>
      </x:c>
      <x:c r="BK6" s="117" t="str">
        <x:v>11</x:v>
      </x:c>
      <x:c r="BL6" s="117" t="str">
        <x:v>0.0033221000339835882</x:v>
      </x:c>
      <x:c r="BM6" s="117" t="str">
        <x:v>True</x:v>
      </x:c>
      <x:c r="BN6" s="117" t="str">
        <x:v>True</x:v>
      </x:c>
      <x:c r="BO6" s="117" t="str">
        <x:v>True</x:v>
      </x:c>
      <x:c r="BP6" s="117" t="str">
        <x:v>0</x:v>
      </x:c>
      <x:c r="BQ6" s="117" t="str">
        <x:v>0</x:v>
      </x:c>
      <x:c r="BR6" s="117" t="str"/>
      <x:c r="BS6" s="117" t="str">
        <x:v>0.00027790002059191465</x:v>
      </x:c>
      <x:c r="BT6" s="117" t="str">
        <x:v>11</x:v>
      </x:c>
      <x:c r="BU6" s="117" t="str">
        <x:v>11</x:v>
      </x:c>
      <x:c r="BV6" s="117" t="str">
        <x:v>0.003600000054575503</x:v>
      </x:c>
      <x:c r="BW6" s="117" t="str">
        <x:v>True</x:v>
      </x:c>
      <x:c r="BX6" s="117" t="str">
        <x:v>0</x:v>
      </x:c>
      <x:c r="BY6" s="117" t="str">
        <x:v>0</x:v>
      </x:c>
      <x:c r="BZ6" s="117" t="str">
        <x:v>0</x:v>
      </x:c>
      <x:c r="CA6" s="117" t="str">
        <x:v>13</x:v>
      </x:c>
      <x:c r="CB6" s="117" t="str">
        <x:v>0.02866299997549504</x:v>
      </x:c>
      <x:c r="CC6" s="117" t="str">
        <x:v>True</x:v>
      </x:c>
      <x:c r="CD6" s="117" t="str">
        <x:v>13</x:v>
      </x:c>
      <x:c r="CE6" s="117" t="str">
        <x:v>True</x:v>
      </x:c>
      <x:c r="CF6" s="117" t="str">
        <x:v>13</x:v>
      </x:c>
      <x:c r="CG6" s="117" t="str">
        <x:v>13</x:v>
      </x:c>
      <x:c r="CH6" s="117" t="str">
        <x:v>0.024005600018426776</x:v>
      </x:c>
      <x:c r="CI6" s="117" t="str">
        <x:v>True</x:v>
      </x:c>
      <x:c r="CJ6" s="117" t="str">
        <x:v>True</x:v>
      </x:c>
      <x:c r="CK6" s="117" t="str">
        <x:v>True</x:v>
      </x:c>
      <x:c r="CL6" s="117" t="str">
        <x:v>0</x:v>
      </x:c>
      <x:c r="CM6" s="117" t="str">
        <x:v>0</x:v>
      </x:c>
      <x:c r="CN6" s="117" t="str"/>
      <x:c r="CO6" s="117" t="str">
        <x:v>0.0003630999708548188</x:v>
      </x:c>
      <x:c r="CP6" s="117" t="str">
        <x:v>13</x:v>
      </x:c>
      <x:c r="CQ6" s="117" t="str">
        <x:v>13</x:v>
      </x:c>
      <x:c r="CR6" s="117" t="str">
        <x:v>0.024368699989281595</x:v>
      </x:c>
      <x:c r="CS6" s="117" t="str">
        <x:v>True</x:v>
      </x:c>
      <x:c r="CT6" s="117" t="str">
        <x:v>0</x:v>
      </x:c>
      <x:c r="CU6" s="117" t="str">
        <x:v>0</x:v>
      </x:c>
      <x:c r="CV6" s="117" t="str">
        <x:v>0</x:v>
      </x:c>
    </x:row>
    <x:row r="7">
      <x:c r="A7" s="117" t="str">
        <x:v>50</x:v>
      </x:c>
      <x:c r="B7" s="117" t="str">
        <x:v>0.3</x:v>
      </x:c>
      <x:c r="C7" s="117" t="str">
        <x:v>3</x:v>
      </x:c>
      <x:c r="D7" s="117" t="str">
        <x:v>469876426</x:v>
      </x:c>
      <x:c r="E7" s="117" t="str">
        <x:v>259</x:v>
      </x:c>
      <x:c r="F7" s="117" t="str">
        <x:v>1</x:v>
      </x:c>
      <x:c r="G7" s="117" t="str">
        <x:v>50</x:v>
      </x:c>
      <x:c r="H7" s="117" t="str">
        <x:v>10.36</x:v>
      </x:c>
      <x:c r="I7" s="117" t="str">
        <x:v>0.21142857142857144</x:v>
      </x:c>
      <x:c r="J7" s="117" t="str">
        <x:v>5</x:v>
      </x:c>
      <x:c r="K7" s="117" t="str">
        <x:v>zoomed,ich,grid,circle</x:v>
      </x:c>
      <x:c r="L7" s="117" t="str">
        <x:v>historical baseline; not timed in this repair session</x:v>
      </x:c>
      <x:c r="M7" s="117" t="str">
        <x:v>10</x:v>
      </x:c>
      <x:c r="N7" s="117" t="str">
        <x:v>0.004351300070993602</x:v>
      </x:c>
      <x:c r="O7" s="117" t="str">
        <x:v>True</x:v>
      </x:c>
      <x:c r="P7" s="117" t="str">
        <x:v>11</x:v>
      </x:c>
      <x:c r="Q7" s="117" t="str">
        <x:v>True</x:v>
      </x:c>
      <x:c r="R7" s="117" t="str">
        <x:v>23</x:v>
      </x:c>
      <x:c r="S7" s="117" t="str">
        <x:v>11</x:v>
      </x:c>
      <x:c r="T7" s="117" t="str">
        <x:v>0.0038708000211045146</x:v>
      </x:c>
      <x:c r="U7" s="117" t="str">
        <x:v>True</x:v>
      </x:c>
      <x:c r="V7" s="117" t="str">
        <x:v>True</x:v>
      </x:c>
      <x:c r="W7" s="117" t="str">
        <x:v>True</x:v>
      </x:c>
      <x:c r="X7" s="117" t="str">
        <x:v>0</x:v>
      </x:c>
      <x:c r="Y7" s="117" t="str">
        <x:v>0</x:v>
      </x:c>
      <x:c r="Z7" s="117" t="str"/>
      <x:c r="AA7" s="117" t="str">
        <x:v>0.0003203999949619174</x:v>
      </x:c>
      <x:c r="AB7" s="117" t="str">
        <x:v>11</x:v>
      </x:c>
      <x:c r="AC7" s="117" t="str">
        <x:v>11</x:v>
      </x:c>
      <x:c r="AD7" s="117" t="str">
        <x:v>0.004191200016066432</x:v>
      </x:c>
      <x:c r="AE7" s="117" t="str">
        <x:v>True</x:v>
      </x:c>
      <x:c r="AF7" s="117" t="str">
        <x:v>0</x:v>
      </x:c>
      <x:c r="AG7" s="117" t="str">
        <x:v>0</x:v>
      </x:c>
      <x:c r="AH7" s="117" t="str">
        <x:v>0</x:v>
      </x:c>
      <x:c r="AI7" s="117" t="str">
        <x:v>7</x:v>
      </x:c>
      <x:c r="AJ7" s="117" t="str">
        <x:v>0.004796899971552193</x:v>
      </x:c>
      <x:c r="AK7" s="117" t="str">
        <x:v>True</x:v>
      </x:c>
      <x:c r="AL7" s="117" t="str">
        <x:v>7</x:v>
      </x:c>
      <x:c r="AM7" s="117" t="str">
        <x:v>True</x:v>
      </x:c>
      <x:c r="AN7" s="117" t="str">
        <x:v>29</x:v>
      </x:c>
      <x:c r="AO7" s="117" t="str">
        <x:v>7</x:v>
      </x:c>
      <x:c r="AP7" s="117" t="str">
        <x:v>0.004099300014786422</x:v>
      </x:c>
      <x:c r="AQ7" s="117" t="str">
        <x:v>True</x:v>
      </x:c>
      <x:c r="AR7" s="117" t="str">
        <x:v>True</x:v>
      </x:c>
      <x:c r="AS7" s="117" t="str">
        <x:v>True</x:v>
      </x:c>
      <x:c r="AT7" s="117" t="str">
        <x:v>0</x:v>
      </x:c>
      <x:c r="AU7" s="117" t="str">
        <x:v>0</x:v>
      </x:c>
      <x:c r="AV7" s="117" t="str"/>
      <x:c r="AW7" s="117" t="str">
        <x:v>0.0002701000776141882</x:v>
      </x:c>
      <x:c r="AX7" s="117" t="str">
        <x:v>7</x:v>
      </x:c>
      <x:c r="AY7" s="117" t="str">
        <x:v>7</x:v>
      </x:c>
      <x:c r="AZ7" s="117" t="str">
        <x:v>0.0043694000924006104</x:v>
      </x:c>
      <x:c r="BA7" s="117" t="str">
        <x:v>True</x:v>
      </x:c>
      <x:c r="BB7" s="117" t="str">
        <x:v>0</x:v>
      </x:c>
      <x:c r="BC7" s="117" t="str">
        <x:v>0</x:v>
      </x:c>
      <x:c r="BD7" s="117" t="str">
        <x:v>0</x:v>
      </x:c>
      <x:c r="BE7" s="117" t="str">
        <x:v>10</x:v>
      </x:c>
      <x:c r="BF7" s="117" t="str">
        <x:v>0.0032191999489441514</x:v>
      </x:c>
      <x:c r="BG7" s="117" t="str">
        <x:v>True</x:v>
      </x:c>
      <x:c r="BH7" s="117" t="str">
        <x:v>11</x:v>
      </x:c>
      <x:c r="BI7" s="117" t="str">
        <x:v>True</x:v>
      </x:c>
      <x:c r="BJ7" s="117" t="str">
        <x:v>24</x:v>
      </x:c>
      <x:c r="BK7" s="117" t="str">
        <x:v>11</x:v>
      </x:c>
      <x:c r="BL7" s="117" t="str">
        <x:v>0.0034948999527841806</x:v>
      </x:c>
      <x:c r="BM7" s="117" t="str">
        <x:v>True</x:v>
      </x:c>
      <x:c r="BN7" s="117" t="str">
        <x:v>True</x:v>
      </x:c>
      <x:c r="BO7" s="117" t="str">
        <x:v>True</x:v>
      </x:c>
      <x:c r="BP7" s="117" t="str">
        <x:v>0</x:v>
      </x:c>
      <x:c r="BQ7" s="117" t="str">
        <x:v>0</x:v>
      </x:c>
      <x:c r="BR7" s="117" t="str"/>
      <x:c r="BS7" s="117" t="str">
        <x:v>0.00032140000257641077</x:v>
      </x:c>
      <x:c r="BT7" s="117" t="str">
        <x:v>11</x:v>
      </x:c>
      <x:c r="BU7" s="117" t="str">
        <x:v>11</x:v>
      </x:c>
      <x:c r="BV7" s="117" t="str">
        <x:v>0.0038162999553605914</x:v>
      </x:c>
      <x:c r="BW7" s="117" t="str">
        <x:v>True</x:v>
      </x:c>
      <x:c r="BX7" s="117" t="str">
        <x:v>0</x:v>
      </x:c>
      <x:c r="BY7" s="117" t="str">
        <x:v>0</x:v>
      </x:c>
      <x:c r="BZ7" s="117" t="str">
        <x:v>0</x:v>
      </x:c>
      <x:c r="CA7" s="117" t="str">
        <x:v>7</x:v>
      </x:c>
      <x:c r="CB7" s="117" t="str">
        <x:v>0.019005200010724366</x:v>
      </x:c>
      <x:c r="CC7" s="117" t="str">
        <x:v>True</x:v>
      </x:c>
      <x:c r="CD7" s="117" t="str">
        <x:v>8</x:v>
      </x:c>
      <x:c r="CE7" s="117" t="str">
        <x:v>True</x:v>
      </x:c>
      <x:c r="CF7" s="117" t="str">
        <x:v>8</x:v>
      </x:c>
      <x:c r="CG7" s="117" t="str">
        <x:v>8</x:v>
      </x:c>
      <x:c r="CH7" s="117" t="str">
        <x:v>0.020230700029060245</x:v>
      </x:c>
      <x:c r="CI7" s="117" t="str">
        <x:v>True</x:v>
      </x:c>
      <x:c r="CJ7" s="117" t="str">
        <x:v>True</x:v>
      </x:c>
      <x:c r="CK7" s="117" t="str">
        <x:v>True</x:v>
      </x:c>
      <x:c r="CL7" s="117" t="str">
        <x:v>0</x:v>
      </x:c>
      <x:c r="CM7" s="117" t="str">
        <x:v>0</x:v>
      </x:c>
      <x:c r="CN7" s="117" t="str"/>
      <x:c r="CO7" s="117" t="str">
        <x:v>0.0002544000744819641</x:v>
      </x:c>
      <x:c r="CP7" s="117" t="str">
        <x:v>8</x:v>
      </x:c>
      <x:c r="CQ7" s="117" t="str">
        <x:v>8</x:v>
      </x:c>
      <x:c r="CR7" s="117" t="str">
        <x:v>0.02048510010354221</x:v>
      </x:c>
      <x:c r="CS7" s="117" t="str">
        <x:v>True</x:v>
      </x:c>
      <x:c r="CT7" s="117" t="str">
        <x:v>0</x:v>
      </x:c>
      <x:c r="CU7" s="117" t="str">
        <x:v>0</x:v>
      </x:c>
      <x:c r="CV7" s="117" t="str">
        <x:v>0</x:v>
      </x:c>
    </x:row>
    <x:row r="8">
      <x:c r="A8" s="117" t="str">
        <x:v>50</x:v>
      </x:c>
      <x:c r="B8" s="117" t="str">
        <x:v>0.5</x:v>
      </x:c>
      <x:c r="C8" s="117" t="str">
        <x:v>1</x:v>
      </x:c>
      <x:c r="D8" s="117" t="str">
        <x:v>3564035587</x:v>
      </x:c>
      <x:c r="E8" s="117" t="str">
        <x:v>576</x:v>
      </x:c>
      <x:c r="F8" s="117" t="str">
        <x:v>1</x:v>
      </x:c>
      <x:c r="G8" s="117" t="str">
        <x:v>50</x:v>
      </x:c>
      <x:c r="H8" s="117" t="str">
        <x:v>23.04</x:v>
      </x:c>
      <x:c r="I8" s="117" t="str">
        <x:v>0.47020408163265304</x:v>
      </x:c>
      <x:c r="J8" s="117" t="str">
        <x:v>5</x:v>
      </x:c>
      <x:c r="K8" s="117" t="str">
        <x:v>grid,circle,zoomed,ich</x:v>
      </x:c>
      <x:c r="L8" s="117" t="str">
        <x:v>historical baseline; not timed in this repair session</x:v>
      </x:c>
      <x:c r="M8" s="117" t="str">
        <x:v>15</x:v>
      </x:c>
      <x:c r="N8" s="117" t="str">
        <x:v>0.016175700002349913</x:v>
      </x:c>
      <x:c r="O8" s="117" t="str">
        <x:v>True</x:v>
      </x:c>
      <x:c r="P8" s="117" t="str">
        <x:v>15</x:v>
      </x:c>
      <x:c r="Q8" s="117" t="str">
        <x:v>True</x:v>
      </x:c>
      <x:c r="R8" s="117" t="str">
        <x:v>17</x:v>
      </x:c>
      <x:c r="S8" s="117" t="str">
        <x:v>15</x:v>
      </x:c>
      <x:c r="T8" s="117" t="str">
        <x:v>0.014536499977111816</x:v>
      </x:c>
      <x:c r="U8" s="117" t="str">
        <x:v>True</x:v>
      </x:c>
      <x:c r="V8" s="117" t="str">
        <x:v>True</x:v>
      </x:c>
      <x:c r="W8" s="117" t="str">
        <x:v>True</x:v>
      </x:c>
      <x:c r="X8" s="117" t="str">
        <x:v>0</x:v>
      </x:c>
      <x:c r="Y8" s="117" t="str">
        <x:v>0</x:v>
      </x:c>
      <x:c r="Z8" s="117" t="str"/>
      <x:c r="AA8" s="117" t="str">
        <x:v>0.0005960999988019466</x:v>
      </x:c>
      <x:c r="AB8" s="117" t="str">
        <x:v>15</x:v>
      </x:c>
      <x:c r="AC8" s="117" t="str">
        <x:v>15</x:v>
      </x:c>
      <x:c r="AD8" s="117" t="str">
        <x:v>0.015132599975913763</x:v>
      </x:c>
      <x:c r="AE8" s="117" t="str">
        <x:v>True</x:v>
      </x:c>
      <x:c r="AF8" s="117" t="str">
        <x:v>0</x:v>
      </x:c>
      <x:c r="AG8" s="117" t="str">
        <x:v>0</x:v>
      </x:c>
      <x:c r="AH8" s="117" t="str">
        <x:v>0</x:v>
      </x:c>
      <x:c r="AI8" s="117" t="str">
        <x:v>17</x:v>
      </x:c>
      <x:c r="AJ8" s="117" t="str">
        <x:v>0.00524189998395741</x:v>
      </x:c>
      <x:c r="AK8" s="117" t="str">
        <x:v>True</x:v>
      </x:c>
      <x:c r="AL8" s="117" t="str">
        <x:v>16</x:v>
      </x:c>
      <x:c r="AM8" s="117" t="str">
        <x:v>True</x:v>
      </x:c>
      <x:c r="AN8" s="117" t="str">
        <x:v>32</x:v>
      </x:c>
      <x:c r="AO8" s="117" t="str">
        <x:v>16</x:v>
      </x:c>
      <x:c r="AP8" s="117" t="str">
        <x:v>0.005158099927939475</x:v>
      </x:c>
      <x:c r="AQ8" s="117" t="str">
        <x:v>True</x:v>
      </x:c>
      <x:c r="AR8" s="117" t="str">
        <x:v>True</x:v>
      </x:c>
      <x:c r="AS8" s="117" t="str">
        <x:v>True</x:v>
      </x:c>
      <x:c r="AT8" s="117" t="str">
        <x:v>0</x:v>
      </x:c>
      <x:c r="AU8" s="117" t="str">
        <x:v>0</x:v>
      </x:c>
      <x:c r="AV8" s="117" t="str"/>
      <x:c r="AW8" s="117" t="str">
        <x:v>0.0003493999829515815</x:v>
      </x:c>
      <x:c r="AX8" s="117" t="str">
        <x:v>16</x:v>
      </x:c>
      <x:c r="AY8" s="117" t="str">
        <x:v>16</x:v>
      </x:c>
      <x:c r="AZ8" s="117" t="str">
        <x:v>0.005507499910891056</x:v>
      </x:c>
      <x:c r="BA8" s="117" t="str">
        <x:v>True</x:v>
      </x:c>
      <x:c r="BB8" s="117" t="str">
        <x:v>0</x:v>
      </x:c>
      <x:c r="BC8" s="117" t="str">
        <x:v>0</x:v>
      </x:c>
      <x:c r="BD8" s="117" t="str">
        <x:v>0</x:v>
      </x:c>
      <x:c r="BE8" s="117" t="str">
        <x:v>16</x:v>
      </x:c>
      <x:c r="BF8" s="117" t="str">
        <x:v>0.006327300099655986</x:v>
      </x:c>
      <x:c r="BG8" s="117" t="str">
        <x:v>True</x:v>
      </x:c>
      <x:c r="BH8" s="117" t="str">
        <x:v>15</x:v>
      </x:c>
      <x:c r="BI8" s="117" t="str">
        <x:v>True</x:v>
      </x:c>
      <x:c r="BJ8" s="117" t="str">
        <x:v>26</x:v>
      </x:c>
      <x:c r="BK8" s="117" t="str">
        <x:v>15</x:v>
      </x:c>
      <x:c r="BL8" s="117" t="str">
        <x:v>0.005765800015069544</x:v>
      </x:c>
      <x:c r="BM8" s="117" t="str">
        <x:v>True</x:v>
      </x:c>
      <x:c r="BN8" s="117" t="str">
        <x:v>True</x:v>
      </x:c>
      <x:c r="BO8" s="117" t="str">
        <x:v>True</x:v>
      </x:c>
      <x:c r="BP8" s="117" t="str">
        <x:v>0</x:v>
      </x:c>
      <x:c r="BQ8" s="117" t="str">
        <x:v>0</x:v>
      </x:c>
      <x:c r="BR8" s="117" t="str"/>
      <x:c r="BS8" s="117" t="str">
        <x:v>0.0003624999662861228</x:v>
      </x:c>
      <x:c r="BT8" s="117" t="str">
        <x:v>15</x:v>
      </x:c>
      <x:c r="BU8" s="117" t="str">
        <x:v>15</x:v>
      </x:c>
      <x:c r="BV8" s="117" t="str">
        <x:v>0.006128299981355667</x:v>
      </x:c>
      <x:c r="BW8" s="117" t="str">
        <x:v>True</x:v>
      </x:c>
      <x:c r="BX8" s="117" t="str">
        <x:v>0</x:v>
      </x:c>
      <x:c r="BY8" s="117" t="str">
        <x:v>0</x:v>
      </x:c>
      <x:c r="BZ8" s="117" t="str">
        <x:v>0</x:v>
      </x:c>
      <x:c r="CA8" s="117" t="str">
        <x:v>16</x:v>
      </x:c>
      <x:c r="CB8" s="117" t="str">
        <x:v>0.028796899947337806</x:v>
      </x:c>
      <x:c r="CC8" s="117" t="str">
        <x:v>True</x:v>
      </x:c>
      <x:c r="CD8" s="117" t="str">
        <x:v>16</x:v>
      </x:c>
      <x:c r="CE8" s="117" t="str">
        <x:v>True</x:v>
      </x:c>
      <x:c r="CF8" s="117" t="str">
        <x:v>16</x:v>
      </x:c>
      <x:c r="CG8" s="117" t="str">
        <x:v>16</x:v>
      </x:c>
      <x:c r="CH8" s="117" t="str">
        <x:v>0.025015900027938187</x:v>
      </x:c>
      <x:c r="CI8" s="117" t="str">
        <x:v>True</x:v>
      </x:c>
      <x:c r="CJ8" s="117" t="str">
        <x:v>True</x:v>
      </x:c>
      <x:c r="CK8" s="117" t="str">
        <x:v>True</x:v>
      </x:c>
      <x:c r="CL8" s="117" t="str">
        <x:v>0</x:v>
      </x:c>
      <x:c r="CM8" s="117" t="str">
        <x:v>0</x:v>
      </x:c>
      <x:c r="CN8" s="117" t="str"/>
      <x:c r="CO8" s="117" t="str">
        <x:v>0.0004249000921845436</x:v>
      </x:c>
      <x:c r="CP8" s="117" t="str">
        <x:v>16</x:v>
      </x:c>
      <x:c r="CQ8" s="117" t="str">
        <x:v>16</x:v>
      </x:c>
      <x:c r="CR8" s="117" t="str">
        <x:v>0.02544080012012273</x:v>
      </x:c>
      <x:c r="CS8" s="117" t="str">
        <x:v>True</x:v>
      </x:c>
      <x:c r="CT8" s="117" t="str">
        <x:v>0</x:v>
      </x:c>
      <x:c r="CU8" s="117" t="str">
        <x:v>0</x:v>
      </x:c>
      <x:c r="CV8" s="117" t="str">
        <x:v>0</x:v>
      </x:c>
    </x:row>
    <x:row r="9">
      <x:c r="A9" s="117" t="str">
        <x:v>50</x:v>
      </x:c>
      <x:c r="B9" s="117" t="str">
        <x:v>0.5</x:v>
      </x:c>
      <x:c r="C9" s="117" t="str">
        <x:v>2</x:v>
      </x:c>
      <x:c r="D9" s="117" t="str">
        <x:v>3396175580</x:v>
      </x:c>
      <x:c r="E9" s="117" t="str">
        <x:v>642</x:v>
      </x:c>
      <x:c r="F9" s="117" t="str">
        <x:v>1</x:v>
      </x:c>
      <x:c r="G9" s="117" t="str">
        <x:v>50</x:v>
      </x:c>
      <x:c r="H9" s="117" t="str">
        <x:v>25.68</x:v>
      </x:c>
      <x:c r="I9" s="117" t="str">
        <x:v>0.5240816326530612</x:v>
      </x:c>
      <x:c r="J9" s="117" t="str">
        <x:v>5</x:v>
      </x:c>
      <x:c r="K9" s="117" t="str">
        <x:v>circle,zoomed,ich,grid</x:v>
      </x:c>
      <x:c r="L9" s="117" t="str">
        <x:v>historical baseline; not timed in this repair session</x:v>
      </x:c>
      <x:c r="M9" s="117" t="str">
        <x:v>17</x:v>
      </x:c>
      <x:c r="N9" s="117" t="str">
        <x:v>0.01872769999317825</x:v>
      </x:c>
      <x:c r="O9" s="117" t="str">
        <x:v>True</x:v>
      </x:c>
      <x:c r="P9" s="117" t="str">
        <x:v>15</x:v>
      </x:c>
      <x:c r="Q9" s="117" t="str">
        <x:v>True</x:v>
      </x:c>
      <x:c r="R9" s="117" t="str">
        <x:v>15</x:v>
      </x:c>
      <x:c r="S9" s="117" t="str">
        <x:v>15</x:v>
      </x:c>
      <x:c r="T9" s="117" t="str">
        <x:v>0.012644200003705919</x:v>
      </x:c>
      <x:c r="U9" s="117" t="str">
        <x:v>True</x:v>
      </x:c>
      <x:c r="V9" s="117" t="str">
        <x:v>True</x:v>
      </x:c>
      <x:c r="W9" s="117" t="str">
        <x:v>True</x:v>
      </x:c>
      <x:c r="X9" s="117" t="str">
        <x:v>0</x:v>
      </x:c>
      <x:c r="Y9" s="117" t="str">
        <x:v>0</x:v>
      </x:c>
      <x:c r="Z9" s="117" t="str"/>
      <x:c r="AA9" s="117" t="str">
        <x:v>0.00036399997770786285</x:v>
      </x:c>
      <x:c r="AB9" s="117" t="str">
        <x:v>15</x:v>
      </x:c>
      <x:c r="AC9" s="117" t="str">
        <x:v>15</x:v>
      </x:c>
      <x:c r="AD9" s="117" t="str">
        <x:v>0.013008199981413782</x:v>
      </x:c>
      <x:c r="AE9" s="117" t="str">
        <x:v>True</x:v>
      </x:c>
      <x:c r="AF9" s="117" t="str">
        <x:v>0</x:v>
      </x:c>
      <x:c r="AG9" s="117" t="str">
        <x:v>0</x:v>
      </x:c>
      <x:c r="AH9" s="117" t="str">
        <x:v>0</x:v>
      </x:c>
      <x:c r="AI9" s="117" t="str">
        <x:v>17</x:v>
      </x:c>
      <x:c r="AJ9" s="117" t="str">
        <x:v>0.006065000081434846</x:v>
      </x:c>
      <x:c r="AK9" s="117" t="str">
        <x:v>True</x:v>
      </x:c>
      <x:c r="AL9" s="117" t="str">
        <x:v>20</x:v>
      </x:c>
      <x:c r="AM9" s="117" t="str">
        <x:v>True</x:v>
      </x:c>
      <x:c r="AN9" s="117" t="str">
        <x:v>31</x:v>
      </x:c>
      <x:c r="AO9" s="117" t="str">
        <x:v>20</x:v>
      </x:c>
      <x:c r="AP9" s="117" t="str">
        <x:v>0.005502299987711012</x:v>
      </x:c>
      <x:c r="AQ9" s="117" t="str">
        <x:v>True</x:v>
      </x:c>
      <x:c r="AR9" s="117" t="str">
        <x:v>True</x:v>
      </x:c>
      <x:c r="AS9" s="117" t="str">
        <x:v>True</x:v>
      </x:c>
      <x:c r="AT9" s="117" t="str">
        <x:v>0</x:v>
      </x:c>
      <x:c r="AU9" s="117" t="str">
        <x:v>0</x:v>
      </x:c>
      <x:c r="AV9" s="117" t="str"/>
      <x:c r="AW9" s="117" t="str">
        <x:v>0.0005285999504849315</x:v>
      </x:c>
      <x:c r="AX9" s="117" t="str">
        <x:v>20</x:v>
      </x:c>
      <x:c r="AY9" s="117" t="str">
        <x:v>20</x:v>
      </x:c>
      <x:c r="AZ9" s="117" t="str">
        <x:v>0.006030899938195944</x:v>
      </x:c>
      <x:c r="BA9" s="117" t="str">
        <x:v>True</x:v>
      </x:c>
      <x:c r="BB9" s="117" t="str">
        <x:v>0</x:v>
      </x:c>
      <x:c r="BC9" s="117" t="str">
        <x:v>0</x:v>
      </x:c>
      <x:c r="BD9" s="117" t="str">
        <x:v>0</x:v>
      </x:c>
      <x:c r="BE9" s="117" t="str">
        <x:v>19</x:v>
      </x:c>
      <x:c r="BF9" s="117" t="str">
        <x:v>0.0070047000190243125</x:v>
      </x:c>
      <x:c r="BG9" s="117" t="str">
        <x:v>True</x:v>
      </x:c>
      <x:c r="BH9" s="117" t="str">
        <x:v>17</x:v>
      </x:c>
      <x:c r="BI9" s="117" t="str">
        <x:v>True</x:v>
      </x:c>
      <x:c r="BJ9" s="117" t="str">
        <x:v>28</x:v>
      </x:c>
      <x:c r="BK9" s="117" t="str">
        <x:v>17</x:v>
      </x:c>
      <x:c r="BL9" s="117" t="str">
        <x:v>0.007347299950197339</x:v>
      </x:c>
      <x:c r="BM9" s="117" t="str">
        <x:v>True</x:v>
      </x:c>
      <x:c r="BN9" s="117" t="str">
        <x:v>True</x:v>
      </x:c>
      <x:c r="BO9" s="117" t="str">
        <x:v>True</x:v>
      </x:c>
      <x:c r="BP9" s="117" t="str">
        <x:v>0</x:v>
      </x:c>
      <x:c r="BQ9" s="117" t="str">
        <x:v>0</x:v>
      </x:c>
      <x:c r="BR9" s="117" t="str"/>
      <x:c r="BS9" s="117" t="str">
        <x:v>0.00045039993710815907</x:v>
      </x:c>
      <x:c r="BT9" s="117" t="str">
        <x:v>17</x:v>
      </x:c>
      <x:c r="BU9" s="117" t="str">
        <x:v>17</x:v>
      </x:c>
      <x:c r="BV9" s="117" t="str">
        <x:v>0.007797699887305498</x:v>
      </x:c>
      <x:c r="BW9" s="117" t="str">
        <x:v>True</x:v>
      </x:c>
      <x:c r="BX9" s="117" t="str">
        <x:v>0</x:v>
      </x:c>
      <x:c r="BY9" s="117" t="str">
        <x:v>0</x:v>
      </x:c>
      <x:c r="BZ9" s="117" t="str">
        <x:v>0</x:v>
      </x:c>
      <x:c r="CA9" s="117" t="str">
        <x:v>15</x:v>
      </x:c>
      <x:c r="CB9" s="117" t="str">
        <x:v>0.02756939991377294</x:v>
      </x:c>
      <x:c r="CC9" s="117" t="str">
        <x:v>True</x:v>
      </x:c>
      <x:c r="CD9" s="117" t="str">
        <x:v>14</x:v>
      </x:c>
      <x:c r="CE9" s="117" t="str">
        <x:v>True</x:v>
      </x:c>
      <x:c r="CF9" s="117" t="str">
        <x:v>14</x:v>
      </x:c>
      <x:c r="CG9" s="117" t="str">
        <x:v>14</x:v>
      </x:c>
      <x:c r="CH9" s="117" t="str">
        <x:v>0.024296600022353232</x:v>
      </x:c>
      <x:c r="CI9" s="117" t="str">
        <x:v>True</x:v>
      </x:c>
      <x:c r="CJ9" s="117" t="str">
        <x:v>True</x:v>
      </x:c>
      <x:c r="CK9" s="117" t="str">
        <x:v>True</x:v>
      </x:c>
      <x:c r="CL9" s="117" t="str">
        <x:v>0</x:v>
      </x:c>
      <x:c r="CM9" s="117" t="str">
        <x:v>0</x:v>
      </x:c>
      <x:c r="CN9" s="117" t="str"/>
      <x:c r="CO9" s="117" t="str">
        <x:v>0.0003380000125616789</x:v>
      </x:c>
      <x:c r="CP9" s="117" t="str">
        <x:v>14</x:v>
      </x:c>
      <x:c r="CQ9" s="117" t="str">
        <x:v>14</x:v>
      </x:c>
      <x:c r="CR9" s="117" t="str">
        <x:v>0.02463460003491491</x:v>
      </x:c>
      <x:c r="CS9" s="117" t="str">
        <x:v>True</x:v>
      </x:c>
      <x:c r="CT9" s="117" t="str">
        <x:v>0</x:v>
      </x:c>
      <x:c r="CU9" s="117" t="str">
        <x:v>0</x:v>
      </x:c>
      <x:c r="CV9" s="117" t="str">
        <x:v>0</x:v>
      </x:c>
    </x:row>
    <x:row r="10">
      <x:c r="A10" s="117" t="str">
        <x:v>50</x:v>
      </x:c>
      <x:c r="B10" s="117" t="str">
        <x:v>0.5</x:v>
      </x:c>
      <x:c r="C10" s="117" t="str">
        <x:v>3</x:v>
      </x:c>
      <x:c r="D10" s="117" t="str">
        <x:v>2120122110</x:v>
      </x:c>
      <x:c r="E10" s="117" t="str">
        <x:v>586</x:v>
      </x:c>
      <x:c r="F10" s="117" t="str">
        <x:v>1</x:v>
      </x:c>
      <x:c r="G10" s="117" t="str">
        <x:v>50</x:v>
      </x:c>
      <x:c r="H10" s="117" t="str">
        <x:v>23.44</x:v>
      </x:c>
      <x:c r="I10" s="117" t="str">
        <x:v>0.47836734693877553</x:v>
      </x:c>
      <x:c r="J10" s="117" t="str">
        <x:v>5</x:v>
      </x:c>
      <x:c r="K10" s="117" t="str">
        <x:v>zoomed,ich,grid,circle</x:v>
      </x:c>
      <x:c r="L10" s="117" t="str">
        <x:v>historical baseline; not timed in this repair session</x:v>
      </x:c>
      <x:c r="M10" s="117" t="str">
        <x:v>15</x:v>
      </x:c>
      <x:c r="N10" s="117" t="str">
        <x:v>0.015868299989961088</x:v>
      </x:c>
      <x:c r="O10" s="117" t="str">
        <x:v>True</x:v>
      </x:c>
      <x:c r="P10" s="117" t="str">
        <x:v>16</x:v>
      </x:c>
      <x:c r="Q10" s="117" t="str">
        <x:v>True</x:v>
      </x:c>
      <x:c r="R10" s="117" t="str">
        <x:v>16</x:v>
      </x:c>
      <x:c r="S10" s="117" t="str">
        <x:v>16</x:v>
      </x:c>
      <x:c r="T10" s="117" t="str">
        <x:v>0.01459100004285574</x:v>
      </x:c>
      <x:c r="U10" s="117" t="str">
        <x:v>True</x:v>
      </x:c>
      <x:c r="V10" s="117" t="str">
        <x:v>True</x:v>
      </x:c>
      <x:c r="W10" s="117" t="str">
        <x:v>True</x:v>
      </x:c>
      <x:c r="X10" s="117" t="str">
        <x:v>0</x:v>
      </x:c>
      <x:c r="Y10" s="117" t="str">
        <x:v>0</x:v>
      </x:c>
      <x:c r="Z10" s="117" t="str"/>
      <x:c r="AA10" s="117" t="str">
        <x:v>0.00040790007915347815</x:v>
      </x:c>
      <x:c r="AB10" s="117" t="str">
        <x:v>16</x:v>
      </x:c>
      <x:c r="AC10" s="117" t="str">
        <x:v>16</x:v>
      </x:c>
      <x:c r="AD10" s="117" t="str">
        <x:v>0.014998900122009218</x:v>
      </x:c>
      <x:c r="AE10" s="117" t="str">
        <x:v>True</x:v>
      </x:c>
      <x:c r="AF10" s="117" t="str">
        <x:v>0</x:v>
      </x:c>
      <x:c r="AG10" s="117" t="str">
        <x:v>0</x:v>
      </x:c>
      <x:c r="AH10" s="117" t="str">
        <x:v>0</x:v>
      </x:c>
      <x:c r="AI10" s="117" t="str">
        <x:v>17</x:v>
      </x:c>
      <x:c r="AJ10" s="117" t="str">
        <x:v>0.005161000066436827</x:v>
      </x:c>
      <x:c r="AK10" s="117" t="str">
        <x:v>True</x:v>
      </x:c>
      <x:c r="AL10" s="117" t="str">
        <x:v>17</x:v>
      </x:c>
      <x:c r="AM10" s="117" t="str">
        <x:v>True</x:v>
      </x:c>
      <x:c r="AN10" s="117" t="str">
        <x:v>37</x:v>
      </x:c>
      <x:c r="AO10" s="117" t="str">
        <x:v>17</x:v>
      </x:c>
      <x:c r="AP10" s="117" t="str">
        <x:v>0.005456899991258979</x:v>
      </x:c>
      <x:c r="AQ10" s="117" t="str">
        <x:v>True</x:v>
      </x:c>
      <x:c r="AR10" s="117" t="str">
        <x:v>True</x:v>
      </x:c>
      <x:c r="AS10" s="117" t="str">
        <x:v>True</x:v>
      </x:c>
      <x:c r="AT10" s="117" t="str">
        <x:v>0</x:v>
      </x:c>
      <x:c r="AU10" s="117" t="str">
        <x:v>0</x:v>
      </x:c>
      <x:c r="AV10" s="117" t="str"/>
      <x:c r="AW10" s="117" t="str">
        <x:v>0.00043080002069473267</x:v>
      </x:c>
      <x:c r="AX10" s="117" t="str">
        <x:v>17</x:v>
      </x:c>
      <x:c r="AY10" s="117" t="str">
        <x:v>17</x:v>
      </x:c>
      <x:c r="AZ10" s="117" t="str">
        <x:v>0.0058877000119537115</x:v>
      </x:c>
      <x:c r="BA10" s="117" t="str">
        <x:v>True</x:v>
      </x:c>
      <x:c r="BB10" s="117" t="str">
        <x:v>0</x:v>
      </x:c>
      <x:c r="BC10" s="117" t="str">
        <x:v>0</x:v>
      </x:c>
      <x:c r="BD10" s="117" t="str">
        <x:v>0</x:v>
      </x:c>
      <x:c r="BE10" s="117" t="str">
        <x:v>15</x:v>
      </x:c>
      <x:c r="BF10" s="117" t="str">
        <x:v>0.006254800013266504</x:v>
      </x:c>
      <x:c r="BG10" s="117" t="str">
        <x:v>True</x:v>
      </x:c>
      <x:c r="BH10" s="117" t="str">
        <x:v>15</x:v>
      </x:c>
      <x:c r="BI10" s="117" t="str">
        <x:v>True</x:v>
      </x:c>
      <x:c r="BJ10" s="117" t="str">
        <x:v>38</x:v>
      </x:c>
      <x:c r="BK10" s="117" t="str">
        <x:v>15</x:v>
      </x:c>
      <x:c r="BL10" s="117" t="str">
        <x:v>0.005990399979054928</x:v>
      </x:c>
      <x:c r="BM10" s="117" t="str">
        <x:v>True</x:v>
      </x:c>
      <x:c r="BN10" s="117" t="str">
        <x:v>True</x:v>
      </x:c>
      <x:c r="BO10" s="117" t="str">
        <x:v>True</x:v>
      </x:c>
      <x:c r="BP10" s="117" t="str">
        <x:v>0</x:v>
      </x:c>
      <x:c r="BQ10" s="117" t="str">
        <x:v>0</x:v>
      </x:c>
      <x:c r="BR10" s="117" t="str"/>
      <x:c r="BS10" s="117" t="str">
        <x:v>0.00036509998608380556</x:v>
      </x:c>
      <x:c r="BT10" s="117" t="str">
        <x:v>15</x:v>
      </x:c>
      <x:c r="BU10" s="117" t="str">
        <x:v>15</x:v>
      </x:c>
      <x:c r="BV10" s="117" t="str">
        <x:v>0.006355499965138733</x:v>
      </x:c>
      <x:c r="BW10" s="117" t="str">
        <x:v>True</x:v>
      </x:c>
      <x:c r="BX10" s="117" t="str">
        <x:v>0</x:v>
      </x:c>
      <x:c r="BY10" s="117" t="str">
        <x:v>0</x:v>
      </x:c>
      <x:c r="BZ10" s="117" t="str">
        <x:v>0</x:v>
      </x:c>
      <x:c r="CA10" s="117" t="str">
        <x:v>16</x:v>
      </x:c>
      <x:c r="CB10" s="117" t="str">
        <x:v>0.029446200001984835</x:v>
      </x:c>
      <x:c r="CC10" s="117" t="str">
        <x:v>True</x:v>
      </x:c>
      <x:c r="CD10" s="117" t="str">
        <x:v>16</x:v>
      </x:c>
      <x:c r="CE10" s="117" t="str">
        <x:v>True</x:v>
      </x:c>
      <x:c r="CF10" s="117" t="str">
        <x:v>16</x:v>
      </x:c>
      <x:c r="CG10" s="117" t="str">
        <x:v>16</x:v>
      </x:c>
      <x:c r="CH10" s="117" t="str">
        <x:v>0.025411700014956295</x:v>
      </x:c>
      <x:c r="CI10" s="117" t="str">
        <x:v>True</x:v>
      </x:c>
      <x:c r="CJ10" s="117" t="str">
        <x:v>True</x:v>
      </x:c>
      <x:c r="CK10" s="117" t="str">
        <x:v>True</x:v>
      </x:c>
      <x:c r="CL10" s="117" t="str">
        <x:v>0</x:v>
      </x:c>
      <x:c r="CM10" s="117" t="str">
        <x:v>0</x:v>
      </x:c>
      <x:c r="CN10" s="117" t="str"/>
      <x:c r="CO10" s="117" t="str">
        <x:v>0.00045599997974932194</x:v>
      </x:c>
      <x:c r="CP10" s="117" t="str">
        <x:v>16</x:v>
      </x:c>
      <x:c r="CQ10" s="117" t="str">
        <x:v>16</x:v>
      </x:c>
      <x:c r="CR10" s="117" t="str">
        <x:v>0.025867699994705617</x:v>
      </x:c>
      <x:c r="CS10" s="117" t="str">
        <x:v>True</x:v>
      </x:c>
      <x:c r="CT10" s="117" t="str">
        <x:v>0</x:v>
      </x:c>
      <x:c r="CU10" s="117" t="str">
        <x:v>0</x:v>
      </x:c>
      <x:c r="CV10" s="117" t="str">
        <x:v>0</x:v>
      </x:c>
    </x:row>
    <x:row r="11">
      <x:c r="A11" s="117" t="str">
        <x:v>50</x:v>
      </x:c>
      <x:c r="B11" s="117" t="str">
        <x:v>0.7</x:v>
      </x:c>
      <x:c r="C11" s="117" t="str">
        <x:v>1</x:v>
      </x:c>
      <x:c r="D11" s="117" t="str">
        <x:v>1240493215</x:v>
      </x:c>
      <x:c r="E11" s="117" t="str">
        <x:v>905</x:v>
      </x:c>
      <x:c r="F11" s="117" t="str">
        <x:v>1</x:v>
      </x:c>
      <x:c r="G11" s="117" t="str">
        <x:v>50</x:v>
      </x:c>
      <x:c r="H11" s="117" t="str">
        <x:v>36.2</x:v>
      </x:c>
      <x:c r="I11" s="117" t="str">
        <x:v>0.7387755102040816</x:v>
      </x:c>
      <x:c r="J11" s="117" t="str">
        <x:v>5</x:v>
      </x:c>
      <x:c r="K11" s="117" t="str">
        <x:v>grid,circle,zoomed,ich</x:v>
      </x:c>
      <x:c r="L11" s="117" t="str">
        <x:v>historical baseline; not timed in this repair session</x:v>
      </x:c>
      <x:c r="M11" s="117" t="str">
        <x:v>21</x:v>
      </x:c>
      <x:c r="N11" s="117" t="str">
        <x:v>0.01623229996766895</x:v>
      </x:c>
      <x:c r="O11" s="117" t="str">
        <x:v>True</x:v>
      </x:c>
      <x:c r="P11" s="117" t="str">
        <x:v>18</x:v>
      </x:c>
      <x:c r="Q11" s="117" t="str">
        <x:v>True</x:v>
      </x:c>
      <x:c r="R11" s="117" t="str">
        <x:v>19</x:v>
      </x:c>
      <x:c r="S11" s="117" t="str">
        <x:v>18</x:v>
      </x:c>
      <x:c r="T11" s="117" t="str">
        <x:v>0.015772399958223104</x:v>
      </x:c>
      <x:c r="U11" s="117" t="str">
        <x:v>True</x:v>
      </x:c>
      <x:c r="V11" s="117" t="str">
        <x:v>True</x:v>
      </x:c>
      <x:c r="W11" s="117" t="str">
        <x:v>True</x:v>
      </x:c>
      <x:c r="X11" s="117" t="str">
        <x:v>0</x:v>
      </x:c>
      <x:c r="Y11" s="117" t="str">
        <x:v>0</x:v>
      </x:c>
      <x:c r="Z11" s="117" t="str"/>
      <x:c r="AA11" s="117" t="str">
        <x:v>0.0004827000666409731</x:v>
      </x:c>
      <x:c r="AB11" s="117" t="str">
        <x:v>18</x:v>
      </x:c>
      <x:c r="AC11" s="117" t="str">
        <x:v>18</x:v>
      </x:c>
      <x:c r="AD11" s="117" t="str">
        <x:v>0.016255100024864078</x:v>
      </x:c>
      <x:c r="AE11" s="117" t="str">
        <x:v>True</x:v>
      </x:c>
      <x:c r="AF11" s="117" t="str">
        <x:v>0</x:v>
      </x:c>
      <x:c r="AG11" s="117" t="str">
        <x:v>0</x:v>
      </x:c>
      <x:c r="AH11" s="117" t="str">
        <x:v>0</x:v>
      </x:c>
      <x:c r="AI11" s="117" t="str">
        <x:v>22</x:v>
      </x:c>
      <x:c r="AJ11" s="117" t="str">
        <x:v>0.009461299981921911</x:v>
      </x:c>
      <x:c r="AK11" s="117" t="str">
        <x:v>True</x:v>
      </x:c>
      <x:c r="AL11" s="117" t="str">
        <x:v>21</x:v>
      </x:c>
      <x:c r="AM11" s="117" t="str">
        <x:v>True</x:v>
      </x:c>
      <x:c r="AN11" s="117" t="str">
        <x:v>38</x:v>
      </x:c>
      <x:c r="AO11" s="117" t="str">
        <x:v>21</x:v>
      </x:c>
      <x:c r="AP11" s="117" t="str">
        <x:v>0.012812800006940961</x:v>
      </x:c>
      <x:c r="AQ11" s="117" t="str">
        <x:v>True</x:v>
      </x:c>
      <x:c r="AR11" s="117" t="str">
        <x:v>True</x:v>
      </x:c>
      <x:c r="AS11" s="117" t="str">
        <x:v>True</x:v>
      </x:c>
      <x:c r="AT11" s="117" t="str">
        <x:v>0</x:v>
      </x:c>
      <x:c r="AU11" s="117" t="str">
        <x:v>0</x:v>
      </x:c>
      <x:c r="AV11" s="117" t="str"/>
      <x:c r="AW11" s="117" t="str">
        <x:v>0.0004564999835565686</x:v>
      </x:c>
      <x:c r="AX11" s="117" t="str">
        <x:v>21</x:v>
      </x:c>
      <x:c r="AY11" s="117" t="str">
        <x:v>21</x:v>
      </x:c>
      <x:c r="AZ11" s="117" t="str">
        <x:v>0.01326929999049753</x:v>
      </x:c>
      <x:c r="BA11" s="117" t="str">
        <x:v>True</x:v>
      </x:c>
      <x:c r="BB11" s="117" t="str">
        <x:v>0</x:v>
      </x:c>
      <x:c r="BC11" s="117" t="str">
        <x:v>0</x:v>
      </x:c>
      <x:c r="BD11" s="117" t="str">
        <x:v>0</x:v>
      </x:c>
      <x:c r="BE11" s="117" t="str">
        <x:v>22</x:v>
      </x:c>
      <x:c r="BF11" s="117" t="str">
        <x:v>0.008657500031404197</x:v>
      </x:c>
      <x:c r="BG11" s="117" t="str">
        <x:v>True</x:v>
      </x:c>
      <x:c r="BH11" s="117" t="str">
        <x:v>19</x:v>
      </x:c>
      <x:c r="BI11" s="117" t="str">
        <x:v>True</x:v>
      </x:c>
      <x:c r="BJ11" s="117" t="str">
        <x:v>32</x:v>
      </x:c>
      <x:c r="BK11" s="117" t="str">
        <x:v>19</x:v>
      </x:c>
      <x:c r="BL11" s="117" t="str">
        <x:v>0.009413400082848966</x:v>
      </x:c>
      <x:c r="BM11" s="117" t="str">
        <x:v>True</x:v>
      </x:c>
      <x:c r="BN11" s="117" t="str">
        <x:v>True</x:v>
      </x:c>
      <x:c r="BO11" s="117" t="str">
        <x:v>True</x:v>
      </x:c>
      <x:c r="BP11" s="117" t="str">
        <x:v>0</x:v>
      </x:c>
      <x:c r="BQ11" s="117" t="str">
        <x:v>0</x:v>
      </x:c>
      <x:c r="BR11" s="117" t="str"/>
      <x:c r="BS11" s="117" t="str">
        <x:v>0.00042940001003444195</x:v>
      </x:c>
      <x:c r="BT11" s="117" t="str">
        <x:v>19</x:v>
      </x:c>
      <x:c r="BU11" s="117" t="str">
        <x:v>19</x:v>
      </x:c>
      <x:c r="BV11" s="117" t="str">
        <x:v>0.009842800092883408</x:v>
      </x:c>
      <x:c r="BW11" s="117" t="str">
        <x:v>True</x:v>
      </x:c>
      <x:c r="BX11" s="117" t="str">
        <x:v>0</x:v>
      </x:c>
      <x:c r="BY11" s="117" t="str">
        <x:v>0</x:v>
      </x:c>
      <x:c r="BZ11" s="117" t="str">
        <x:v>0</x:v>
      </x:c>
      <x:c r="CA11" s="117" t="str">
        <x:v>19</x:v>
      </x:c>
      <x:c r="CB11" s="117" t="str">
        <x:v>0.029234000016003847</x:v>
      </x:c>
      <x:c r="CC11" s="117" t="str">
        <x:v>True</x:v>
      </x:c>
      <x:c r="CD11" s="117" t="str">
        <x:v>18</x:v>
      </x:c>
      <x:c r="CE11" s="117" t="str">
        <x:v>True</x:v>
      </x:c>
      <x:c r="CF11" s="117" t="str">
        <x:v>18</x:v>
      </x:c>
      <x:c r="CG11" s="117" t="str">
        <x:v>18</x:v>
      </x:c>
      <x:c r="CH11" s="117" t="str">
        <x:v>0.027106199995614588</x:v>
      </x:c>
      <x:c r="CI11" s="117" t="str">
        <x:v>True</x:v>
      </x:c>
      <x:c r="CJ11" s="117" t="str">
        <x:v>True</x:v>
      </x:c>
      <x:c r="CK11" s="117" t="str">
        <x:v>True</x:v>
      </x:c>
      <x:c r="CL11" s="117" t="str">
        <x:v>0</x:v>
      </x:c>
      <x:c r="CM11" s="117" t="str">
        <x:v>0</x:v>
      </x:c>
      <x:c r="CN11" s="117" t="str"/>
      <x:c r="CO11" s="117" t="str">
        <x:v>0.000507200020365417</x:v>
      </x:c>
      <x:c r="CP11" s="117" t="str">
        <x:v>18</x:v>
      </x:c>
      <x:c r="CQ11" s="117" t="str">
        <x:v>18</x:v>
      </x:c>
      <x:c r="CR11" s="117" t="str">
        <x:v>0.027613400015980005</x:v>
      </x:c>
      <x:c r="CS11" s="117" t="str">
        <x:v>True</x:v>
      </x:c>
      <x:c r="CT11" s="117" t="str">
        <x:v>0</x:v>
      </x:c>
      <x:c r="CU11" s="117" t="str">
        <x:v>0</x:v>
      </x:c>
      <x:c r="CV11" s="117" t="str">
        <x:v>0</x:v>
      </x:c>
    </x:row>
    <x:row r="12">
      <x:c r="A12" s="117" t="str">
        <x:v>50</x:v>
      </x:c>
      <x:c r="B12" s="117" t="str">
        <x:v>0.7</x:v>
      </x:c>
      <x:c r="C12" s="117" t="str">
        <x:v>2</x:v>
      </x:c>
      <x:c r="D12" s="117" t="str">
        <x:v>3987472412</x:v>
      </x:c>
      <x:c r="E12" s="117" t="str">
        <x:v>942</x:v>
      </x:c>
      <x:c r="F12" s="117" t="str">
        <x:v>1</x:v>
      </x:c>
      <x:c r="G12" s="117" t="str">
        <x:v>50</x:v>
      </x:c>
      <x:c r="H12" s="117" t="str">
        <x:v>37.68</x:v>
      </x:c>
      <x:c r="I12" s="117" t="str">
        <x:v>0.7689795918367347</x:v>
      </x:c>
      <x:c r="J12" s="117" t="str">
        <x:v>5</x:v>
      </x:c>
      <x:c r="K12" s="117" t="str">
        <x:v>circle,zoomed,ich,grid</x:v>
      </x:c>
      <x:c r="L12" s="117" t="str">
        <x:v>historical baseline; not timed in this repair session</x:v>
      </x:c>
      <x:c r="M12" s="117" t="str">
        <x:v>24</x:v>
      </x:c>
      <x:c r="N12" s="117" t="str">
        <x:v>0.016049399971961975</x:v>
      </x:c>
      <x:c r="O12" s="117" t="str">
        <x:v>True</x:v>
      </x:c>
      <x:c r="P12" s="117" t="str">
        <x:v>22</x:v>
      </x:c>
      <x:c r="Q12" s="117" t="str">
        <x:v>True</x:v>
      </x:c>
      <x:c r="R12" s="117" t="str">
        <x:v>22</x:v>
      </x:c>
      <x:c r="S12" s="117" t="str">
        <x:v>22</x:v>
      </x:c>
      <x:c r="T12" s="117" t="str">
        <x:v>0.01712129998486489</x:v>
      </x:c>
      <x:c r="U12" s="117" t="str">
        <x:v>True</x:v>
      </x:c>
      <x:c r="V12" s="117" t="str">
        <x:v>True</x:v>
      </x:c>
      <x:c r="W12" s="117" t="str">
        <x:v>True</x:v>
      </x:c>
      <x:c r="X12" s="117" t="str">
        <x:v>0</x:v>
      </x:c>
      <x:c r="Y12" s="117" t="str">
        <x:v>0</x:v>
      </x:c>
      <x:c r="Z12" s="117" t="str"/>
      <x:c r="AA12" s="117" t="str">
        <x:v>0.000534099992364645</x:v>
      </x:c>
      <x:c r="AB12" s="117" t="str">
        <x:v>22</x:v>
      </x:c>
      <x:c r="AC12" s="117" t="str">
        <x:v>22</x:v>
      </x:c>
      <x:c r="AD12" s="117" t="str">
        <x:v>0.017655399977229536</x:v>
      </x:c>
      <x:c r="AE12" s="117" t="str">
        <x:v>True</x:v>
      </x:c>
      <x:c r="AF12" s="117" t="str">
        <x:v>0</x:v>
      </x:c>
      <x:c r="AG12" s="117" t="str">
        <x:v>0</x:v>
      </x:c>
      <x:c r="AH12" s="117" t="str">
        <x:v>0</x:v>
      </x:c>
      <x:c r="AI12" s="117" t="str">
        <x:v>25</x:v>
      </x:c>
      <x:c r="AJ12" s="117" t="str">
        <x:v>0.0070189000107347965</x:v>
      </x:c>
      <x:c r="AK12" s="117" t="str">
        <x:v>True</x:v>
      </x:c>
      <x:c r="AL12" s="117" t="str">
        <x:v>23</x:v>
      </x:c>
      <x:c r="AM12" s="117" t="str">
        <x:v>True</x:v>
      </x:c>
      <x:c r="AN12" s="117" t="str">
        <x:v>39</x:v>
      </x:c>
      <x:c r="AO12" s="117" t="str">
        <x:v>23</x:v>
      </x:c>
      <x:c r="AP12" s="117" t="str">
        <x:v>0.007649500039406121</x:v>
      </x:c>
      <x:c r="AQ12" s="117" t="str">
        <x:v>True</x:v>
      </x:c>
      <x:c r="AR12" s="117" t="str">
        <x:v>True</x:v>
      </x:c>
      <x:c r="AS12" s="117" t="str">
        <x:v>True</x:v>
      </x:c>
      <x:c r="AT12" s="117" t="str">
        <x:v>0</x:v>
      </x:c>
      <x:c r="AU12" s="117" t="str">
        <x:v>0</x:v>
      </x:c>
      <x:c r="AV12" s="117" t="str"/>
      <x:c r="AW12" s="117" t="str">
        <x:v>0.0005586999468505383</x:v>
      </x:c>
      <x:c r="AX12" s="117" t="str">
        <x:v>23</x:v>
      </x:c>
      <x:c r="AY12" s="117" t="str">
        <x:v>23</x:v>
      </x:c>
      <x:c r="AZ12" s="117" t="str">
        <x:v>0.008208199986256659</x:v>
      </x:c>
      <x:c r="BA12" s="117" t="str">
        <x:v>True</x:v>
      </x:c>
      <x:c r="BB12" s="117" t="str">
        <x:v>0</x:v>
      </x:c>
      <x:c r="BC12" s="117" t="str">
        <x:v>0</x:v>
      </x:c>
      <x:c r="BD12" s="117" t="str">
        <x:v>0</x:v>
      </x:c>
      <x:c r="BE12" s="117" t="str">
        <x:v>25</x:v>
      </x:c>
      <x:c r="BF12" s="117" t="str">
        <x:v>0.009287200053222477</x:v>
      </x:c>
      <x:c r="BG12" s="117" t="str">
        <x:v>True</x:v>
      </x:c>
      <x:c r="BH12" s="117" t="str">
        <x:v>23</x:v>
      </x:c>
      <x:c r="BI12" s="117" t="str">
        <x:v>True</x:v>
      </x:c>
      <x:c r="BJ12" s="117" t="str">
        <x:v>41</x:v>
      </x:c>
      <x:c r="BK12" s="117" t="str">
        <x:v>23</x:v>
      </x:c>
      <x:c r="BL12" s="117" t="str">
        <x:v>0.010887799900956452</x:v>
      </x:c>
      <x:c r="BM12" s="117" t="str">
        <x:v>True</x:v>
      </x:c>
      <x:c r="BN12" s="117" t="str">
        <x:v>True</x:v>
      </x:c>
      <x:c r="BO12" s="117" t="str">
        <x:v>True</x:v>
      </x:c>
      <x:c r="BP12" s="117" t="str">
        <x:v>0</x:v>
      </x:c>
      <x:c r="BQ12" s="117" t="str">
        <x:v>0</x:v>
      </x:c>
      <x:c r="BR12" s="117" t="str"/>
      <x:c r="BS12" s="117" t="str">
        <x:v>0.0004981000674888492</x:v>
      </x:c>
      <x:c r="BT12" s="117" t="str">
        <x:v>23</x:v>
      </x:c>
      <x:c r="BU12" s="117" t="str">
        <x:v>23</x:v>
      </x:c>
      <x:c r="BV12" s="117" t="str">
        <x:v>0.011385899968445301</x:v>
      </x:c>
      <x:c r="BW12" s="117" t="str">
        <x:v>True</x:v>
      </x:c>
      <x:c r="BX12" s="117" t="str">
        <x:v>0</x:v>
      </x:c>
      <x:c r="BY12" s="117" t="str">
        <x:v>0</x:v>
      </x:c>
      <x:c r="BZ12" s="117" t="str">
        <x:v>0</x:v>
      </x:c>
      <x:c r="CA12" s="117" t="str">
        <x:v>23</x:v>
      </x:c>
      <x:c r="CB12" s="117" t="str">
        <x:v>0.031990300049073994</x:v>
      </x:c>
      <x:c r="CC12" s="117" t="str">
        <x:v>True</x:v>
      </x:c>
      <x:c r="CD12" s="117" t="str">
        <x:v>22</x:v>
      </x:c>
      <x:c r="CE12" s="117" t="str">
        <x:v>True</x:v>
      </x:c>
      <x:c r="CF12" s="117" t="str">
        <x:v>22</x:v>
      </x:c>
      <x:c r="CG12" s="117" t="str">
        <x:v>22</x:v>
      </x:c>
      <x:c r="CH12" s="117" t="str">
        <x:v>0.028277600067667663</x:v>
      </x:c>
      <x:c r="CI12" s="117" t="str">
        <x:v>True</x:v>
      </x:c>
      <x:c r="CJ12" s="117" t="str">
        <x:v>True</x:v>
      </x:c>
      <x:c r="CK12" s="117" t="str">
        <x:v>True</x:v>
      </x:c>
      <x:c r="CL12" s="117" t="str">
        <x:v>0</x:v>
      </x:c>
      <x:c r="CM12" s="117" t="str">
        <x:v>0</x:v>
      </x:c>
      <x:c r="CN12" s="117" t="str"/>
      <x:c r="CO12" s="117" t="str">
        <x:v>0.0005021999822929502</x:v>
      </x:c>
      <x:c r="CP12" s="117" t="str">
        <x:v>22</x:v>
      </x:c>
      <x:c r="CQ12" s="117" t="str">
        <x:v>22</x:v>
      </x:c>
      <x:c r="CR12" s="117" t="str">
        <x:v>0.028779800049960613</x:v>
      </x:c>
      <x:c r="CS12" s="117" t="str">
        <x:v>True</x:v>
      </x:c>
      <x:c r="CT12" s="117" t="str">
        <x:v>0</x:v>
      </x:c>
      <x:c r="CU12" s="117" t="str">
        <x:v>0</x:v>
      </x:c>
      <x:c r="CV12" s="117" t="str">
        <x:v>0</x:v>
      </x:c>
    </x:row>
    <x:row r="13">
      <x:c r="A13" s="117" t="str">
        <x:v>50</x:v>
      </x:c>
      <x:c r="B13" s="117" t="str">
        <x:v>0.7</x:v>
      </x:c>
      <x:c r="C13" s="117" t="str">
        <x:v>3</x:v>
      </x:c>
      <x:c r="D13" s="117" t="str">
        <x:v>1043458498</x:v>
      </x:c>
      <x:c r="E13" s="117" t="str">
        <x:v>877</x:v>
      </x:c>
      <x:c r="F13" s="117" t="str">
        <x:v>1</x:v>
      </x:c>
      <x:c r="G13" s="117" t="str">
        <x:v>50</x:v>
      </x:c>
      <x:c r="H13" s="117" t="str">
        <x:v>35.08</x:v>
      </x:c>
      <x:c r="I13" s="117" t="str">
        <x:v>0.7159183673469388</x:v>
      </x:c>
      <x:c r="J13" s="117" t="str">
        <x:v>5</x:v>
      </x:c>
      <x:c r="K13" s="117" t="str">
        <x:v>zoomed,ich,grid,circle</x:v>
      </x:c>
      <x:c r="L13" s="117" t="str">
        <x:v>historical baseline; not timed in this repair session</x:v>
      </x:c>
      <x:c r="M13" s="117" t="str">
        <x:v>21</x:v>
      </x:c>
      <x:c r="N13" s="117" t="str">
        <x:v>0.016057999921031296</x:v>
      </x:c>
      <x:c r="O13" s="117" t="str">
        <x:v>True</x:v>
      </x:c>
      <x:c r="P13" s="117" t="str">
        <x:v>20</x:v>
      </x:c>
      <x:c r="Q13" s="117" t="str">
        <x:v>True</x:v>
      </x:c>
      <x:c r="R13" s="117" t="str">
        <x:v>20</x:v>
      </x:c>
      <x:c r="S13" s="117" t="str">
        <x:v>20</x:v>
      </x:c>
      <x:c r="T13" s="117" t="str">
        <x:v>0.014526900020428002</x:v>
      </x:c>
      <x:c r="U13" s="117" t="str">
        <x:v>True</x:v>
      </x:c>
      <x:c r="V13" s="117" t="str">
        <x:v>True</x:v>
      </x:c>
      <x:c r="W13" s="117" t="str">
        <x:v>True</x:v>
      </x:c>
      <x:c r="X13" s="117" t="str">
        <x:v>0</x:v>
      </x:c>
      <x:c r="Y13" s="117" t="str">
        <x:v>0</x:v>
      </x:c>
      <x:c r="Z13" s="117" t="str"/>
      <x:c r="AA13" s="117" t="str">
        <x:v>0.0005152999656274915</x:v>
      </x:c>
      <x:c r="AB13" s="117" t="str">
        <x:v>20</x:v>
      </x:c>
      <x:c r="AC13" s="117" t="str">
        <x:v>20</x:v>
      </x:c>
      <x:c r="AD13" s="117" t="str">
        <x:v>0.015042199986055493</x:v>
      </x:c>
      <x:c r="AE13" s="117" t="str">
        <x:v>True</x:v>
      </x:c>
      <x:c r="AF13" s="117" t="str">
        <x:v>0</x:v>
      </x:c>
      <x:c r="AG13" s="117" t="str">
        <x:v>0</x:v>
      </x:c>
      <x:c r="AH13" s="117" t="str">
        <x:v>0</x:v>
      </x:c>
      <x:c r="AI13" s="117" t="str">
        <x:v>22</x:v>
      </x:c>
      <x:c r="AJ13" s="117" t="str">
        <x:v>0.008242600015364587</x:v>
      </x:c>
      <x:c r="AK13" s="117" t="str">
        <x:v>True</x:v>
      </x:c>
      <x:c r="AL13" s="117" t="str">
        <x:v>22</x:v>
      </x:c>
      <x:c r="AM13" s="117" t="str">
        <x:v>True</x:v>
      </x:c>
      <x:c r="AN13" s="117" t="str">
        <x:v>32</x:v>
      </x:c>
      <x:c r="AO13" s="117" t="str">
        <x:v>22</x:v>
      </x:c>
      <x:c r="AP13" s="117" t="str">
        <x:v>0.0074541999492794275</x:v>
      </x:c>
      <x:c r="AQ13" s="117" t="str">
        <x:v>True</x:v>
      </x:c>
      <x:c r="AR13" s="117" t="str">
        <x:v>True</x:v>
      </x:c>
      <x:c r="AS13" s="117" t="str">
        <x:v>True</x:v>
      </x:c>
      <x:c r="AT13" s="117" t="str">
        <x:v>0</x:v>
      </x:c>
      <x:c r="AU13" s="117" t="str">
        <x:v>0</x:v>
      </x:c>
      <x:c r="AV13" s="117" t="str"/>
      <x:c r="AW13" s="117" t="str">
        <x:v>0.0005329999839887023</x:v>
      </x:c>
      <x:c r="AX13" s="117" t="str">
        <x:v>22</x:v>
      </x:c>
      <x:c r="AY13" s="117" t="str">
        <x:v>22</x:v>
      </x:c>
      <x:c r="AZ13" s="117" t="str">
        <x:v>0.00798719993326813</x:v>
      </x:c>
      <x:c r="BA13" s="117" t="str">
        <x:v>True</x:v>
      </x:c>
      <x:c r="BB13" s="117" t="str">
        <x:v>0</x:v>
      </x:c>
      <x:c r="BC13" s="117" t="str">
        <x:v>0</x:v>
      </x:c>
      <x:c r="BD13" s="117" t="str">
        <x:v>0</x:v>
      </x:c>
      <x:c r="BE13" s="117" t="str">
        <x:v>23</x:v>
      </x:c>
      <x:c r="BF13" s="117" t="str">
        <x:v>0.006280299974605441</x:v>
      </x:c>
      <x:c r="BG13" s="117" t="str">
        <x:v>True</x:v>
      </x:c>
      <x:c r="BH13" s="117" t="str">
        <x:v>23</x:v>
      </x:c>
      <x:c r="BI13" s="117" t="str">
        <x:v>True</x:v>
      </x:c>
      <x:c r="BJ13" s="117" t="str">
        <x:v>39</x:v>
      </x:c>
      <x:c r="BK13" s="117" t="str">
        <x:v>23</x:v>
      </x:c>
      <x:c r="BL13" s="117" t="str">
        <x:v>0.00846010004170239</x:v>
      </x:c>
      <x:c r="BM13" s="117" t="str">
        <x:v>True</x:v>
      </x:c>
      <x:c r="BN13" s="117" t="str">
        <x:v>True</x:v>
      </x:c>
      <x:c r="BO13" s="117" t="str">
        <x:v>True</x:v>
      </x:c>
      <x:c r="BP13" s="117" t="str">
        <x:v>0</x:v>
      </x:c>
      <x:c r="BQ13" s="117" t="str">
        <x:v>0</x:v>
      </x:c>
      <x:c r="BR13" s="117" t="str"/>
      <x:c r="BS13" s="117" t="str">
        <x:v>0.0005535000236704946</x:v>
      </x:c>
      <x:c r="BT13" s="117" t="str">
        <x:v>23</x:v>
      </x:c>
      <x:c r="BU13" s="117" t="str">
        <x:v>23</x:v>
      </x:c>
      <x:c r="BV13" s="117" t="str">
        <x:v>0.009013600065372884</x:v>
      </x:c>
      <x:c r="BW13" s="117" t="str">
        <x:v>True</x:v>
      </x:c>
      <x:c r="BX13" s="117" t="str">
        <x:v>0</x:v>
      </x:c>
      <x:c r="BY13" s="117" t="str">
        <x:v>0</x:v>
      </x:c>
      <x:c r="BZ13" s="117" t="str">
        <x:v>0</x:v>
      </x:c>
      <x:c r="CA13" s="117" t="str">
        <x:v>19</x:v>
      </x:c>
      <x:c r="CB13" s="117" t="str">
        <x:v>0.02984259999357164</x:v>
      </x:c>
      <x:c r="CC13" s="117" t="str">
        <x:v>True</x:v>
      </x:c>
      <x:c r="CD13" s="117" t="str">
        <x:v>19</x:v>
      </x:c>
      <x:c r="CE13" s="117" t="str">
        <x:v>True</x:v>
      </x:c>
      <x:c r="CF13" s="117" t="str">
        <x:v>19</x:v>
      </x:c>
      <x:c r="CG13" s="117" t="str">
        <x:v>19</x:v>
      </x:c>
      <x:c r="CH13" s="117" t="str">
        <x:v>0.02672379999421537</x:v>
      </x:c>
      <x:c r="CI13" s="117" t="str">
        <x:v>True</x:v>
      </x:c>
      <x:c r="CJ13" s="117" t="str">
        <x:v>True</x:v>
      </x:c>
      <x:c r="CK13" s="117" t="str">
        <x:v>True</x:v>
      </x:c>
      <x:c r="CL13" s="117" t="str">
        <x:v>0</x:v>
      </x:c>
      <x:c r="CM13" s="117" t="str">
        <x:v>0</x:v>
      </x:c>
      <x:c r="CN13" s="117" t="str"/>
      <x:c r="CO13" s="117" t="str">
        <x:v>0.0004466000245884061</x:v>
      </x:c>
      <x:c r="CP13" s="117" t="str">
        <x:v>19</x:v>
      </x:c>
      <x:c r="CQ13" s="117" t="str">
        <x:v>19</x:v>
      </x:c>
      <x:c r="CR13" s="117" t="str">
        <x:v>0.027170400018803775</x:v>
      </x:c>
      <x:c r="CS13" s="117" t="str">
        <x:v>True</x:v>
      </x:c>
      <x:c r="CT13" s="117" t="str">
        <x:v>0</x:v>
      </x:c>
      <x:c r="CU13" s="117" t="str">
        <x:v>0</x:v>
      </x:c>
      <x:c r="CV13" s="117" t="str">
        <x:v>0</x:v>
      </x:c>
    </x:row>
    <x:row r="14">
      <x:c r="A14" s="117" t="str">
        <x:v>100</x:v>
      </x:c>
      <x:c r="B14" s="117" t="str">
        <x:v>0.1</x:v>
      </x:c>
      <x:c r="C14" s="117" t="str">
        <x:v>1</x:v>
      </x:c>
      <x:c r="D14" s="117" t="str">
        <x:v>1235212459</x:v>
      </x:c>
      <x:c r="E14" s="117" t="str">
        <x:v>141</x:v>
      </x:c>
      <x:c r="F14" s="117" t="str">
        <x:v>20</x:v>
      </x:c>
      <x:c r="G14" s="117" t="str">
        <x:v>58</x:v>
      </x:c>
      <x:c r="H14" s="117" t="str">
        <x:v>2.82</x:v>
      </x:c>
      <x:c r="I14" s="117" t="str">
        <x:v>0.028484848484848484</x:v>
      </x:c>
      <x:c r="J14" s="117" t="str">
        <x:v>5</x:v>
      </x:c>
      <x:c r="K14" s="117" t="str">
        <x:v>grid,circle,zoomed,ich</x:v>
      </x:c>
      <x:c r="L14" s="117" t="str">
        <x:v>historical baseline; not timed in this repair session</x:v>
      </x:c>
      <x:c r="M14" s="117" t="str">
        <x:v>47</x:v>
      </x:c>
      <x:c r="N14" s="117" t="str">
        <x:v>0.005995100014843047</x:v>
      </x:c>
      <x:c r="O14" s="117" t="str">
        <x:v>False</x:v>
      </x:c>
      <x:c r="P14" s="117" t="str">
        <x:v>41</x:v>
      </x:c>
      <x:c r="Q14" s="117" t="str">
        <x:v>False</x:v>
      </x:c>
      <x:c r="R14" s="117" t="str">
        <x:v>41</x:v>
      </x:c>
      <x:c r="S14" s="117" t="str">
        <x:v>41</x:v>
      </x:c>
      <x:c r="T14" s="117" t="str">
        <x:v>0.005591599969193339</x:v>
      </x:c>
      <x:c r="U14" s="117" t="str">
        <x:v>False</x:v>
      </x:c>
      <x:c r="V14" s="117" t="str">
        <x:v>True</x:v>
      </x:c>
      <x:c r="W14" s="117" t="str">
        <x:v>True</x:v>
      </x:c>
      <x:c r="X14" s="117" t="str">
        <x:v>18</x:v>
      </x:c>
      <x:c r="Y14" s="117" t="str">
        <x:v>8</x:v>
      </x:c>
      <x:c r="Z14" s="117" t="str">
        <x:v>1,30,41,56,2,36,46,60</x:v>
      </x:c>
      <x:c r="AA14" s="117" t="str">
        <x:v>0.031143600004725158</x:v>
      </x:c>
      <x:c r="AB14" s="117" t="str">
        <x:v>49</x:v>
      </x:c>
      <x:c r="AC14" s="117" t="str">
        <x:v>38</x:v>
      </x:c>
      <x:c r="AD14" s="117" t="str">
        <x:v>0.0367351999739185</x:v>
      </x:c>
      <x:c r="AE14" s="117" t="str">
        <x:v>True</x:v>
      </x:c>
      <x:c r="AF14" s="117" t="str">
        <x:v>0</x:v>
      </x:c>
      <x:c r="AG14" s="117" t="str">
        <x:v>11</x:v>
      </x:c>
      <x:c r="AH14" s="117" t="str">
        <x:v>-3</x:v>
      </x:c>
      <x:c r="AI14" s="117" t="str">
        <x:v>38</x:v>
      </x:c>
      <x:c r="AJ14" s="117" t="str">
        <x:v>0.018258600030094385</x:v>
      </x:c>
      <x:c r="AK14" s="117" t="str">
        <x:v>True</x:v>
      </x:c>
      <x:c r="AL14" s="117" t="str">
        <x:v>38</x:v>
      </x:c>
      <x:c r="AM14" s="117" t="str">
        <x:v>True</x:v>
      </x:c>
      <x:c r="AN14" s="117" t="str">
        <x:v>58</x:v>
      </x:c>
      <x:c r="AO14" s="117" t="str">
        <x:v>38</x:v>
      </x:c>
      <x:c r="AP14" s="117" t="str">
        <x:v>0.01372570008970797</x:v>
      </x:c>
      <x:c r="AQ14" s="117" t="str">
        <x:v>True</x:v>
      </x:c>
      <x:c r="AR14" s="117" t="str">
        <x:v>True</x:v>
      </x:c>
      <x:c r="AS14" s="117" t="str">
        <x:v>True</x:v>
      </x:c>
      <x:c r="AT14" s="117" t="str">
        <x:v>0</x:v>
      </x:c>
      <x:c r="AU14" s="117" t="str">
        <x:v>0</x:v>
      </x:c>
      <x:c r="AV14" s="117" t="str"/>
      <x:c r="AW14" s="117" t="str">
        <x:v>0.0018794999923557043</x:v>
      </x:c>
      <x:c r="AX14" s="117" t="str">
        <x:v>38</x:v>
      </x:c>
      <x:c r="AY14" s="117" t="str">
        <x:v>38</x:v>
      </x:c>
      <x:c r="AZ14" s="117" t="str">
        <x:v>0.015605200082063675</x:v>
      </x:c>
      <x:c r="BA14" s="117" t="str">
        <x:v>True</x:v>
      </x:c>
      <x:c r="BB14" s="117" t="str">
        <x:v>0</x:v>
      </x:c>
      <x:c r="BC14" s="117" t="str">
        <x:v>0</x:v>
      </x:c>
      <x:c r="BD14" s="117" t="str">
        <x:v>0</x:v>
      </x:c>
      <x:c r="BE14" s="117" t="str">
        <x:v>38</x:v>
      </x:c>
      <x:c r="BF14" s="117" t="str">
        <x:v>0.01635100005660206</x:v>
      </x:c>
      <x:c r="BG14" s="117" t="str">
        <x:v>True</x:v>
      </x:c>
      <x:c r="BH14" s="117" t="str">
        <x:v>38</x:v>
      </x:c>
      <x:c r="BI14" s="117" t="str">
        <x:v>True</x:v>
      </x:c>
      <x:c r="BJ14" s="117" t="str">
        <x:v>60</x:v>
      </x:c>
      <x:c r="BK14" s="117" t="str">
        <x:v>38</x:v>
      </x:c>
      <x:c r="BL14" s="117" t="str">
        <x:v>0.01812559994868934</x:v>
      </x:c>
      <x:c r="BM14" s="117" t="str">
        <x:v>True</x:v>
      </x:c>
      <x:c r="BN14" s="117" t="str">
        <x:v>True</x:v>
      </x:c>
      <x:c r="BO14" s="117" t="str">
        <x:v>True</x:v>
      </x:c>
      <x:c r="BP14" s="117" t="str">
        <x:v>0</x:v>
      </x:c>
      <x:c r="BQ14" s="117" t="str">
        <x:v>0</x:v>
      </x:c>
      <x:c r="BR14" s="117" t="str"/>
      <x:c r="BS14" s="117" t="str">
        <x:v>0.0019835999701172113</x:v>
      </x:c>
      <x:c r="BT14" s="117" t="str">
        <x:v>38</x:v>
      </x:c>
      <x:c r="BU14" s="117" t="str">
        <x:v>38</x:v>
      </x:c>
      <x:c r="BV14" s="117" t="str">
        <x:v>0.020109199918806553</x:v>
      </x:c>
      <x:c r="BW14" s="117" t="str">
        <x:v>True</x:v>
      </x:c>
      <x:c r="BX14" s="117" t="str">
        <x:v>0</x:v>
      </x:c>
      <x:c r="BY14" s="117" t="str">
        <x:v>0</x:v>
      </x:c>
      <x:c r="BZ14" s="117" t="str">
        <x:v>0</x:v>
      </x:c>
      <x:c r="CA14" s="117" t="str">
        <x:v>38</x:v>
      </x:c>
      <x:c r="CB14" s="117" t="str">
        <x:v>0.21408069995231926</x:v>
      </x:c>
      <x:c r="CC14" s="117" t="str">
        <x:v>True</x:v>
      </x:c>
      <x:c r="CD14" s="117" t="str">
        <x:v>38</x:v>
      </x:c>
      <x:c r="CE14" s="117" t="str">
        <x:v>True</x:v>
      </x:c>
      <x:c r="CF14" s="117" t="str">
        <x:v>38</x:v>
      </x:c>
      <x:c r="CG14" s="117" t="str">
        <x:v>38</x:v>
      </x:c>
      <x:c r="CH14" s="117" t="str">
        <x:v>0.19836399995256215</x:v>
      </x:c>
      <x:c r="CI14" s="117" t="str">
        <x:v>True</x:v>
      </x:c>
      <x:c r="CJ14" s="117" t="str">
        <x:v>True</x:v>
      </x:c>
      <x:c r="CK14" s="117" t="str">
        <x:v>True</x:v>
      </x:c>
      <x:c r="CL14" s="117" t="str">
        <x:v>0</x:v>
      </x:c>
      <x:c r="CM14" s="117" t="str">
        <x:v>0</x:v>
      </x:c>
      <x:c r="CN14" s="117" t="str"/>
      <x:c r="CO14" s="117" t="str">
        <x:v>0.001964199938811362</x:v>
      </x:c>
      <x:c r="CP14" s="117" t="str">
        <x:v>38</x:v>
      </x:c>
      <x:c r="CQ14" s="117" t="str">
        <x:v>38</x:v>
      </x:c>
      <x:c r="CR14" s="117" t="str">
        <x:v>0.20032819989137352</x:v>
      </x:c>
      <x:c r="CS14" s="117" t="str">
        <x:v>True</x:v>
      </x:c>
      <x:c r="CT14" s="117" t="str">
        <x:v>0</x:v>
      </x:c>
      <x:c r="CU14" s="117" t="str">
        <x:v>0</x:v>
      </x:c>
      <x:c r="CV14" s="117" t="str">
        <x:v>0</x:v>
      </x:c>
    </x:row>
    <x:row r="15">
      <x:c r="A15" s="117" t="str">
        <x:v>100</x:v>
      </x:c>
      <x:c r="B15" s="117" t="str">
        <x:v>0.1</x:v>
      </x:c>
      <x:c r="C15" s="117" t="str">
        <x:v>2</x:v>
      </x:c>
      <x:c r="D15" s="117" t="str">
        <x:v>2254199506</x:v>
      </x:c>
      <x:c r="E15" s="117" t="str">
        <x:v>132</x:v>
      </x:c>
      <x:c r="F15" s="117" t="str">
        <x:v>22</x:v>
      </x:c>
      <x:c r="G15" s="117" t="str">
        <x:v>20</x:v>
      </x:c>
      <x:c r="H15" s="117" t="str">
        <x:v>2.64</x:v>
      </x:c>
      <x:c r="I15" s="117" t="str">
        <x:v>0.02666666666666667</x:v>
      </x:c>
      <x:c r="J15" s="117" t="str">
        <x:v>5</x:v>
      </x:c>
      <x:c r="K15" s="117" t="str">
        <x:v>circle,zoomed,ich,grid</x:v>
      </x:c>
      <x:c r="L15" s="117" t="str">
        <x:v>historical baseline; not timed in this repair session</x:v>
      </x:c>
      <x:c r="M15" s="117" t="str">
        <x:v>53</x:v>
      </x:c>
      <x:c r="N15" s="117" t="str">
        <x:v>0.005400100024417043</x:v>
      </x:c>
      <x:c r="O15" s="117" t="str">
        <x:v>False</x:v>
      </x:c>
      <x:c r="P15" s="117" t="str">
        <x:v>45</x:v>
      </x:c>
      <x:c r="Q15" s="117" t="str">
        <x:v>False</x:v>
      </x:c>
      <x:c r="R15" s="117" t="str">
        <x:v>45</x:v>
      </x:c>
      <x:c r="S15" s="117" t="str">
        <x:v>45</x:v>
      </x:c>
      <x:c r="T15" s="117" t="str">
        <x:v>0.004383099963888526</x:v>
      </x:c>
      <x:c r="U15" s="117" t="str">
        <x:v>False</x:v>
      </x:c>
      <x:c r="V15" s="117" t="str">
        <x:v>True</x:v>
      </x:c>
      <x:c r="W15" s="117" t="str">
        <x:v>True</x:v>
      </x:c>
      <x:c r="X15" s="117" t="str">
        <x:v>9</x:v>
      </x:c>
      <x:c r="Y15" s="117" t="str">
        <x:v>6</x:v>
      </x:c>
      <x:c r="Z15" s="117" t="str">
        <x:v>18,31,9,17,83,91</x:v>
      </x:c>
      <x:c r="AA15" s="117" t="str">
        <x:v>0.021774000022560358</x:v>
      </x:c>
      <x:c r="AB15" s="117" t="str">
        <x:v>51</x:v>
      </x:c>
      <x:c r="AC15" s="117" t="str">
        <x:v>39</x:v>
      </x:c>
      <x:c r="AD15" s="117" t="str">
        <x:v>0.026157099986448884</x:v>
      </x:c>
      <x:c r="AE15" s="117" t="str">
        <x:v>True</x:v>
      </x:c>
      <x:c r="AF15" s="117" t="str">
        <x:v>0</x:v>
      </x:c>
      <x:c r="AG15" s="117" t="str">
        <x:v>12</x:v>
      </x:c>
      <x:c r="AH15" s="117" t="str">
        <x:v>-6</x:v>
      </x:c>
      <x:c r="AI15" s="117" t="str">
        <x:v>38</x:v>
      </x:c>
      <x:c r="AJ15" s="117" t="str">
        <x:v>0.019517399952746928</x:v>
      </x:c>
      <x:c r="AK15" s="117" t="str">
        <x:v>True</x:v>
      </x:c>
      <x:c r="AL15" s="117" t="str">
        <x:v>38</x:v>
      </x:c>
      <x:c r="AM15" s="117" t="str">
        <x:v>True</x:v>
      </x:c>
      <x:c r="AN15" s="117" t="str">
        <x:v>59</x:v>
      </x:c>
      <x:c r="AO15" s="117" t="str">
        <x:v>38</x:v>
      </x:c>
      <x:c r="AP15" s="117" t="str">
        <x:v>0.016956200008280575</x:v>
      </x:c>
      <x:c r="AQ15" s="117" t="str">
        <x:v>True</x:v>
      </x:c>
      <x:c r="AR15" s="117" t="str">
        <x:v>True</x:v>
      </x:c>
      <x:c r="AS15" s="117" t="str">
        <x:v>True</x:v>
      </x:c>
      <x:c r="AT15" s="117" t="str">
        <x:v>0</x:v>
      </x:c>
      <x:c r="AU15" s="117" t="str">
        <x:v>0</x:v>
      </x:c>
      <x:c r="AV15" s="117" t="str"/>
      <x:c r="AW15" s="117" t="str">
        <x:v>0.0018657000036910176</x:v>
      </x:c>
      <x:c r="AX15" s="117" t="str">
        <x:v>38</x:v>
      </x:c>
      <x:c r="AY15" s="117" t="str">
        <x:v>38</x:v>
      </x:c>
      <x:c r="AZ15" s="117" t="str">
        <x:v>0.018821900011971593</x:v>
      </x:c>
      <x:c r="BA15" s="117" t="str">
        <x:v>True</x:v>
      </x:c>
      <x:c r="BB15" s="117" t="str">
        <x:v>0</x:v>
      </x:c>
      <x:c r="BC15" s="117" t="str">
        <x:v>0</x:v>
      </x:c>
      <x:c r="BD15" s="117" t="str">
        <x:v>0</x:v>
      </x:c>
      <x:c r="BE15" s="117" t="str">
        <x:v>39</x:v>
      </x:c>
      <x:c r="BF15" s="117" t="str">
        <x:v>0.01533910003490746</x:v>
      </x:c>
      <x:c r="BG15" s="117" t="str">
        <x:v>True</x:v>
      </x:c>
      <x:c r="BH15" s="117" t="str">
        <x:v>39</x:v>
      </x:c>
      <x:c r="BI15" s="117" t="str">
        <x:v>True</x:v>
      </x:c>
      <x:c r="BJ15" s="117" t="str">
        <x:v>57</x:v>
      </x:c>
      <x:c r="BK15" s="117" t="str">
        <x:v>39</x:v>
      </x:c>
      <x:c r="BL15" s="117" t="str">
        <x:v>0.014387200004421175</x:v>
      </x:c>
      <x:c r="BM15" s="117" t="str">
        <x:v>True</x:v>
      </x:c>
      <x:c r="BN15" s="117" t="str">
        <x:v>True</x:v>
      </x:c>
      <x:c r="BO15" s="117" t="str">
        <x:v>True</x:v>
      </x:c>
      <x:c r="BP15" s="117" t="str">
        <x:v>0</x:v>
      </x:c>
      <x:c r="BQ15" s="117" t="str">
        <x:v>0</x:v>
      </x:c>
      <x:c r="BR15" s="117" t="str"/>
      <x:c r="BS15" s="117" t="str">
        <x:v>0.002024700050242245</x:v>
      </x:c>
      <x:c r="BT15" s="117" t="str">
        <x:v>39</x:v>
      </x:c>
      <x:c r="BU15" s="117" t="str">
        <x:v>39</x:v>
      </x:c>
      <x:c r="BV15" s="117" t="str">
        <x:v>0.01641190005466342</x:v>
      </x:c>
      <x:c r="BW15" s="117" t="str">
        <x:v>True</x:v>
      </x:c>
      <x:c r="BX15" s="117" t="str">
        <x:v>0</x:v>
      </x:c>
      <x:c r="BY15" s="117" t="str">
        <x:v>0</x:v>
      </x:c>
      <x:c r="BZ15" s="117" t="str">
        <x:v>0</x:v>
      </x:c>
      <x:c r="CA15" s="117" t="str">
        <x:v>39</x:v>
      </x:c>
      <x:c r="CB15" s="117" t="str">
        <x:v>0.2262079999782145</x:v>
      </x:c>
      <x:c r="CC15" s="117" t="str">
        <x:v>True</x:v>
      </x:c>
      <x:c r="CD15" s="117" t="str">
        <x:v>39</x:v>
      </x:c>
      <x:c r="CE15" s="117" t="str">
        <x:v>True</x:v>
      </x:c>
      <x:c r="CF15" s="117" t="str">
        <x:v>39</x:v>
      </x:c>
      <x:c r="CG15" s="117" t="str">
        <x:v>39</x:v>
      </x:c>
      <x:c r="CH15" s="117" t="str">
        <x:v>0.20899029995780438</x:v>
      </x:c>
      <x:c r="CI15" s="117" t="str">
        <x:v>True</x:v>
      </x:c>
      <x:c r="CJ15" s="117" t="str">
        <x:v>True</x:v>
      </x:c>
      <x:c r="CK15" s="117" t="str">
        <x:v>True</x:v>
      </x:c>
      <x:c r="CL15" s="117" t="str">
        <x:v>0</x:v>
      </x:c>
      <x:c r="CM15" s="117" t="str">
        <x:v>0</x:v>
      </x:c>
      <x:c r="CN15" s="117" t="str"/>
      <x:c r="CO15" s="117" t="str">
        <x:v>0.001693699974566698</x:v>
      </x:c>
      <x:c r="CP15" s="117" t="str">
        <x:v>39</x:v>
      </x:c>
      <x:c r="CQ15" s="117" t="str">
        <x:v>39</x:v>
      </x:c>
      <x:c r="CR15" s="117" t="str">
        <x:v>0.21068399993237108</x:v>
      </x:c>
      <x:c r="CS15" s="117" t="str">
        <x:v>True</x:v>
      </x:c>
      <x:c r="CT15" s="117" t="str">
        <x:v>0</x:v>
      </x:c>
      <x:c r="CU15" s="117" t="str">
        <x:v>0</x:v>
      </x:c>
      <x:c r="CV15" s="117" t="str">
        <x:v>0</x:v>
      </x:c>
    </x:row>
    <x:row r="16">
      <x:c r="A16" s="117" t="str">
        <x:v>100</x:v>
      </x:c>
      <x:c r="B16" s="117" t="str">
        <x:v>0.1</x:v>
      </x:c>
      <x:c r="C16" s="117" t="str">
        <x:v>3</x:v>
      </x:c>
      <x:c r="D16" s="117" t="str">
        <x:v>983702907</x:v>
      </x:c>
      <x:c r="E16" s="117" t="str">
        <x:v>173</x:v>
      </x:c>
      <x:c r="F16" s="117" t="str">
        <x:v>19</x:v>
      </x:c>
      <x:c r="G16" s="117" t="str">
        <x:v>43</x:v>
      </x:c>
      <x:c r="H16" s="117" t="str">
        <x:v>3.46</x:v>
      </x:c>
      <x:c r="I16" s="117" t="str">
        <x:v>0.03494949494949495</x:v>
      </x:c>
      <x:c r="J16" s="117" t="str">
        <x:v>5</x:v>
      </x:c>
      <x:c r="K16" s="117" t="str">
        <x:v>zoomed,ich,grid,circle</x:v>
      </x:c>
      <x:c r="L16" s="117" t="str">
        <x:v>historical baseline; not timed in this repair session</x:v>
      </x:c>
      <x:c r="M16" s="117" t="str">
        <x:v>57</x:v>
      </x:c>
      <x:c r="N16" s="117" t="str">
        <x:v>0.007878100033849478</x:v>
      </x:c>
      <x:c r="O16" s="117" t="str">
        <x:v>False</x:v>
      </x:c>
      <x:c r="P16" s="117" t="str">
        <x:v>52</x:v>
      </x:c>
      <x:c r="Q16" s="117" t="str">
        <x:v>False</x:v>
      </x:c>
      <x:c r="R16" s="117" t="str">
        <x:v>52</x:v>
      </x:c>
      <x:c r="S16" s="117" t="str">
        <x:v>52</x:v>
      </x:c>
      <x:c r="T16" s="117" t="str">
        <x:v>0.005731099983677268</x:v>
      </x:c>
      <x:c r="U16" s="117" t="str">
        <x:v>False</x:v>
      </x:c>
      <x:c r="V16" s="117" t="str">
        <x:v>True</x:v>
      </x:c>
      <x:c r="W16" s="117" t="str">
        <x:v>True</x:v>
      </x:c>
      <x:c r="X16" s="117" t="str">
        <x:v>11</x:v>
      </x:c>
      <x:c r="Y16" s="117" t="str">
        <x:v>5</x:v>
      </x:c>
      <x:c r="Z16" s="117" t="str">
        <x:v>5,17,20,16,49</x:v>
      </x:c>
      <x:c r="AA16" s="117" t="str">
        <x:v>0.023509499966166914</x:v>
      </x:c>
      <x:c r="AB16" s="117" t="str">
        <x:v>57</x:v>
      </x:c>
      <x:c r="AC16" s="117" t="str">
        <x:v>38</x:v>
      </x:c>
      <x:c r="AD16" s="117" t="str">
        <x:v>0.02924059994984418</x:v>
      </x:c>
      <x:c r="AE16" s="117" t="str">
        <x:v>True</x:v>
      </x:c>
      <x:c r="AF16" s="117" t="str">
        <x:v>0</x:v>
      </x:c>
      <x:c r="AG16" s="117" t="str">
        <x:v>19</x:v>
      </x:c>
      <x:c r="AH16" s="117" t="str">
        <x:v>-14</x:v>
      </x:c>
      <x:c r="AI16" s="117" t="str">
        <x:v>38</x:v>
      </x:c>
      <x:c r="AJ16" s="117" t="str">
        <x:v>0.019490999984554946</x:v>
      </x:c>
      <x:c r="AK16" s="117" t="str">
        <x:v>True</x:v>
      </x:c>
      <x:c r="AL16" s="117" t="str">
        <x:v>37</x:v>
      </x:c>
      <x:c r="AM16" s="117" t="str">
        <x:v>True</x:v>
      </x:c>
      <x:c r="AN16" s="117" t="str">
        <x:v>66</x:v>
      </x:c>
      <x:c r="AO16" s="117" t="str">
        <x:v>37</x:v>
      </x:c>
      <x:c r="AP16" s="117" t="str">
        <x:v>0.019289199961349368</x:v>
      </x:c>
      <x:c r="AQ16" s="117" t="str">
        <x:v>True</x:v>
      </x:c>
      <x:c r="AR16" s="117" t="str">
        <x:v>True</x:v>
      </x:c>
      <x:c r="AS16" s="117" t="str">
        <x:v>True</x:v>
      </x:c>
      <x:c r="AT16" s="117" t="str">
        <x:v>0</x:v>
      </x:c>
      <x:c r="AU16" s="117" t="str">
        <x:v>0</x:v>
      </x:c>
      <x:c r="AV16" s="117" t="str"/>
      <x:c r="AW16" s="117" t="str">
        <x:v>0.0017926000291481614</x:v>
      </x:c>
      <x:c r="AX16" s="117" t="str">
        <x:v>37</x:v>
      </x:c>
      <x:c r="AY16" s="117" t="str">
        <x:v>37</x:v>
      </x:c>
      <x:c r="AZ16" s="117" t="str">
        <x:v>0.02108179999049753</x:v>
      </x:c>
      <x:c r="BA16" s="117" t="str">
        <x:v>True</x:v>
      </x:c>
      <x:c r="BB16" s="117" t="str">
        <x:v>0</x:v>
      </x:c>
      <x:c r="BC16" s="117" t="str">
        <x:v>0</x:v>
      </x:c>
      <x:c r="BD16" s="117" t="str">
        <x:v>0</x:v>
      </x:c>
      <x:c r="BE16" s="117" t="str">
        <x:v>38</x:v>
      </x:c>
      <x:c r="BF16" s="117" t="str">
        <x:v>0.02364609995856881</x:v>
      </x:c>
      <x:c r="BG16" s="117" t="str">
        <x:v>True</x:v>
      </x:c>
      <x:c r="BH16" s="117" t="str">
        <x:v>38</x:v>
      </x:c>
      <x:c r="BI16" s="117" t="str">
        <x:v>True</x:v>
      </x:c>
      <x:c r="BJ16" s="117" t="str">
        <x:v>67</x:v>
      </x:c>
      <x:c r="BK16" s="117" t="str">
        <x:v>38</x:v>
      </x:c>
      <x:c r="BL16" s="117" t="str">
        <x:v>0.020212400006130338</x:v>
      </x:c>
      <x:c r="BM16" s="117" t="str">
        <x:v>True</x:v>
      </x:c>
      <x:c r="BN16" s="117" t="str">
        <x:v>True</x:v>
      </x:c>
      <x:c r="BO16" s="117" t="str">
        <x:v>True</x:v>
      </x:c>
      <x:c r="BP16" s="117" t="str">
        <x:v>0</x:v>
      </x:c>
      <x:c r="BQ16" s="117" t="str">
        <x:v>0</x:v>
      </x:c>
      <x:c r="BR16" s="117" t="str"/>
      <x:c r="BS16" s="117" t="str">
        <x:v>0.0018403000431135297</x:v>
      </x:c>
      <x:c r="BT16" s="117" t="str">
        <x:v>38</x:v>
      </x:c>
      <x:c r="BU16" s="117" t="str">
        <x:v>38</x:v>
      </x:c>
      <x:c r="BV16" s="117" t="str">
        <x:v>0.022052700049243867</x:v>
      </x:c>
      <x:c r="BW16" s="117" t="str">
        <x:v>True</x:v>
      </x:c>
      <x:c r="BX16" s="117" t="str">
        <x:v>0</x:v>
      </x:c>
      <x:c r="BY16" s="117" t="str">
        <x:v>0</x:v>
      </x:c>
      <x:c r="BZ16" s="117" t="str">
        <x:v>0</x:v>
      </x:c>
      <x:c r="CA16" s="117" t="str">
        <x:v>37</x:v>
      </x:c>
      <x:c r="CB16" s="117" t="str">
        <x:v>0.24658319994341582</x:v>
      </x:c>
      <x:c r="CC16" s="117" t="str">
        <x:v>True</x:v>
      </x:c>
      <x:c r="CD16" s="117" t="str">
        <x:v>37</x:v>
      </x:c>
      <x:c r="CE16" s="117" t="str">
        <x:v>True</x:v>
      </x:c>
      <x:c r="CF16" s="117" t="str">
        <x:v>37</x:v>
      </x:c>
      <x:c r="CG16" s="117" t="str">
        <x:v>37</x:v>
      </x:c>
      <x:c r="CH16" s="117" t="str">
        <x:v>0.20232989999931306</x:v>
      </x:c>
      <x:c r="CI16" s="117" t="str">
        <x:v>True</x:v>
      </x:c>
      <x:c r="CJ16" s="117" t="str">
        <x:v>True</x:v>
      </x:c>
      <x:c r="CK16" s="117" t="str">
        <x:v>True</x:v>
      </x:c>
      <x:c r="CL16" s="117" t="str">
        <x:v>0</x:v>
      </x:c>
      <x:c r="CM16" s="117" t="str">
        <x:v>0</x:v>
      </x:c>
      <x:c r="CN16" s="117" t="str"/>
      <x:c r="CO16" s="117" t="str">
        <x:v>0.0018568000523373485</x:v>
      </x:c>
      <x:c r="CP16" s="117" t="str">
        <x:v>37</x:v>
      </x:c>
      <x:c r="CQ16" s="117" t="str">
        <x:v>37</x:v>
      </x:c>
      <x:c r="CR16" s="117" t="str">
        <x:v>0.2041867000516504</x:v>
      </x:c>
      <x:c r="CS16" s="117" t="str">
        <x:v>True</x:v>
      </x:c>
      <x:c r="CT16" s="117" t="str">
        <x:v>0</x:v>
      </x:c>
      <x:c r="CU16" s="117" t="str">
        <x:v>0</x:v>
      </x:c>
      <x:c r="CV16" s="117" t="str">
        <x:v>0</x:v>
      </x:c>
    </x:row>
    <x:row r="17">
      <x:c r="A17" s="117" t="str">
        <x:v>100</x:v>
      </x:c>
      <x:c r="B17" s="117" t="str">
        <x:v>0.3</x:v>
      </x:c>
      <x:c r="C17" s="117" t="str">
        <x:v>1</x:v>
      </x:c>
      <x:c r="D17" s="117" t="str">
        <x:v>3343778646</x:v>
      </x:c>
      <x:c r="E17" s="117" t="str">
        <x:v>1082</x:v>
      </x:c>
      <x:c r="F17" s="117" t="str">
        <x:v>1</x:v>
      </x:c>
      <x:c r="G17" s="117" t="str">
        <x:v>100</x:v>
      </x:c>
      <x:c r="H17" s="117" t="str">
        <x:v>21.64</x:v>
      </x:c>
      <x:c r="I17" s="117" t="str">
        <x:v>0.21858585858585858</x:v>
      </x:c>
      <x:c r="J17" s="117" t="str">
        <x:v>5</x:v>
      </x:c>
      <x:c r="K17" s="117" t="str">
        <x:v>grid,circle,zoomed,ich</x:v>
      </x:c>
      <x:c r="L17" s="117" t="str">
        <x:v>historical baseline; not timed in this repair session</x:v>
      </x:c>
      <x:c r="M17" s="117" t="str">
        <x:v>20</x:v>
      </x:c>
      <x:c r="N17" s="117" t="str">
        <x:v>0.032596500008367</x:v>
      </x:c>
      <x:c r="O17" s="117" t="str">
        <x:v>True</x:v>
      </x:c>
      <x:c r="P17" s="117" t="str">
        <x:v>20</x:v>
      </x:c>
      <x:c r="Q17" s="117" t="str">
        <x:v>True</x:v>
      </x:c>
      <x:c r="R17" s="117" t="str">
        <x:v>44</x:v>
      </x:c>
      <x:c r="S17" s="117" t="str">
        <x:v>20</x:v>
      </x:c>
      <x:c r="T17" s="117" t="str">
        <x:v>0.02086689998395741</x:v>
      </x:c>
      <x:c r="U17" s="117" t="str">
        <x:v>True</x:v>
      </x:c>
      <x:c r="V17" s="117" t="str">
        <x:v>True</x:v>
      </x:c>
      <x:c r="W17" s="117" t="str">
        <x:v>True</x:v>
      </x:c>
      <x:c r="X17" s="117" t="str">
        <x:v>0</x:v>
      </x:c>
      <x:c r="Y17" s="117" t="str">
        <x:v>0</x:v>
      </x:c>
      <x:c r="Z17" s="117" t="str"/>
      <x:c r="AA17" s="117" t="str">
        <x:v>0.0010141999227926135</x:v>
      </x:c>
      <x:c r="AB17" s="117" t="str">
        <x:v>20</x:v>
      </x:c>
      <x:c r="AC17" s="117" t="str">
        <x:v>20</x:v>
      </x:c>
      <x:c r="AD17" s="117" t="str">
        <x:v>0.021881099906750023</x:v>
      </x:c>
      <x:c r="AE17" s="117" t="str">
        <x:v>True</x:v>
      </x:c>
      <x:c r="AF17" s="117" t="str">
        <x:v>0</x:v>
      </x:c>
      <x:c r="AG17" s="117" t="str">
        <x:v>0</x:v>
      </x:c>
      <x:c r="AH17" s="117" t="str">
        <x:v>0</x:v>
      </x:c>
      <x:c r="AI17" s="117" t="str">
        <x:v>21</x:v>
      </x:c>
      <x:c r="AJ17" s="117" t="str">
        <x:v>0.028550100047141314</x:v>
      </x:c>
      <x:c r="AK17" s="117" t="str">
        <x:v>True</x:v>
      </x:c>
      <x:c r="AL17" s="117" t="str">
        <x:v>19</x:v>
      </x:c>
      <x:c r="AM17" s="117" t="str">
        <x:v>True</x:v>
      </x:c>
      <x:c r="AN17" s="117" t="str">
        <x:v>65</x:v>
      </x:c>
      <x:c r="AO17" s="117" t="str">
        <x:v>19</x:v>
      </x:c>
      <x:c r="AP17" s="117" t="str">
        <x:v>0.023435199982486665</x:v>
      </x:c>
      <x:c r="AQ17" s="117" t="str">
        <x:v>True</x:v>
      </x:c>
      <x:c r="AR17" s="117" t="str">
        <x:v>True</x:v>
      </x:c>
      <x:c r="AS17" s="117" t="str">
        <x:v>True</x:v>
      </x:c>
      <x:c r="AT17" s="117" t="str">
        <x:v>0</x:v>
      </x:c>
      <x:c r="AU17" s="117" t="str">
        <x:v>0</x:v>
      </x:c>
      <x:c r="AV17" s="117" t="str"/>
      <x:c r="AW17" s="117" t="str">
        <x:v>0.0010824999772012234</x:v>
      </x:c>
      <x:c r="AX17" s="117" t="str">
        <x:v>19</x:v>
      </x:c>
      <x:c r="AY17" s="117" t="str">
        <x:v>19</x:v>
      </x:c>
      <x:c r="AZ17" s="117" t="str">
        <x:v>0.02451769995968789</x:v>
      </x:c>
      <x:c r="BA17" s="117" t="str">
        <x:v>True</x:v>
      </x:c>
      <x:c r="BB17" s="117" t="str">
        <x:v>0</x:v>
      </x:c>
      <x:c r="BC17" s="117" t="str">
        <x:v>0</x:v>
      </x:c>
      <x:c r="BD17" s="117" t="str">
        <x:v>0</x:v>
      </x:c>
      <x:c r="BE17" s="117" t="str">
        <x:v>20</x:v>
      </x:c>
      <x:c r="BF17" s="117" t="str">
        <x:v>0.027396899997256696</x:v>
      </x:c>
      <x:c r="BG17" s="117" t="str">
        <x:v>True</x:v>
      </x:c>
      <x:c r="BH17" s="117" t="str">
        <x:v>20</x:v>
      </x:c>
      <x:c r="BI17" s="117" t="str">
        <x:v>True</x:v>
      </x:c>
      <x:c r="BJ17" s="117" t="str">
        <x:v>53</x:v>
      </x:c>
      <x:c r="BK17" s="117" t="str">
        <x:v>20</x:v>
      </x:c>
      <x:c r="BL17" s="117" t="str">
        <x:v>0.02120019996073097</x:v>
      </x:c>
      <x:c r="BM17" s="117" t="str">
        <x:v>True</x:v>
      </x:c>
      <x:c r="BN17" s="117" t="str">
        <x:v>True</x:v>
      </x:c>
      <x:c r="BO17" s="117" t="str">
        <x:v>True</x:v>
      </x:c>
      <x:c r="BP17" s="117" t="str">
        <x:v>0</x:v>
      </x:c>
      <x:c r="BQ17" s="117" t="str">
        <x:v>0</x:v>
      </x:c>
      <x:c r="BR17" s="117" t="str"/>
      <x:c r="BS17" s="117" t="str">
        <x:v>0.0012017999542877078</x:v>
      </x:c>
      <x:c r="BT17" s="117" t="str">
        <x:v>20</x:v>
      </x:c>
      <x:c r="BU17" s="117" t="str">
        <x:v>20</x:v>
      </x:c>
      <x:c r="BV17" s="117" t="str">
        <x:v>0.022401999915018678</x:v>
      </x:c>
      <x:c r="BW17" s="117" t="str">
        <x:v>True</x:v>
      </x:c>
      <x:c r="BX17" s="117" t="str">
        <x:v>0</x:v>
      </x:c>
      <x:c r="BY17" s="117" t="str">
        <x:v>0</x:v>
      </x:c>
      <x:c r="BZ17" s="117" t="str">
        <x:v>0</x:v>
      </x:c>
      <x:c r="CA17" s="117" t="str">
        <x:v>22</x:v>
      </x:c>
      <x:c r="CB17" s="117" t="str">
        <x:v>0.20185449998825788</x:v>
      </x:c>
      <x:c r="CC17" s="117" t="str">
        <x:v>True</x:v>
      </x:c>
      <x:c r="CD17" s="117" t="str">
        <x:v>23</x:v>
      </x:c>
      <x:c r="CE17" s="117" t="str">
        <x:v>True</x:v>
      </x:c>
      <x:c r="CF17" s="117" t="str">
        <x:v>23</x:v>
      </x:c>
      <x:c r="CG17" s="117" t="str">
        <x:v>23</x:v>
      </x:c>
      <x:c r="CH17" s="117" t="str">
        <x:v>0.17208370007574558</x:v>
      </x:c>
      <x:c r="CI17" s="117" t="str">
        <x:v>True</x:v>
      </x:c>
      <x:c r="CJ17" s="117" t="str">
        <x:v>True</x:v>
      </x:c>
      <x:c r="CK17" s="117" t="str">
        <x:v>True</x:v>
      </x:c>
      <x:c r="CL17" s="117" t="str">
        <x:v>0</x:v>
      </x:c>
      <x:c r="CM17" s="117" t="str">
        <x:v>0</x:v>
      </x:c>
      <x:c r="CN17" s="117" t="str"/>
      <x:c r="CO17" s="117" t="str">
        <x:v>0.0012916999403387308</x:v>
      </x:c>
      <x:c r="CP17" s="117" t="str">
        <x:v>23</x:v>
      </x:c>
      <x:c r="CQ17" s="117" t="str">
        <x:v>23</x:v>
      </x:c>
      <x:c r="CR17" s="117" t="str">
        <x:v>0.1733754000160843</x:v>
      </x:c>
      <x:c r="CS17" s="117" t="str">
        <x:v>True</x:v>
      </x:c>
      <x:c r="CT17" s="117" t="str">
        <x:v>0</x:v>
      </x:c>
      <x:c r="CU17" s="117" t="str">
        <x:v>0</x:v>
      </x:c>
      <x:c r="CV17" s="117" t="str">
        <x:v>0</x:v>
      </x:c>
    </x:row>
    <x:row r="18">
      <x:c r="A18" s="117" t="str">
        <x:v>100</x:v>
      </x:c>
      <x:c r="B18" s="117" t="str">
        <x:v>0.3</x:v>
      </x:c>
      <x:c r="C18" s="117" t="str">
        <x:v>2</x:v>
      </x:c>
      <x:c r="D18" s="117" t="str">
        <x:v>1469195711</x:v>
      </x:c>
      <x:c r="E18" s="117" t="str">
        <x:v>1093</x:v>
      </x:c>
      <x:c r="F18" s="117" t="str">
        <x:v>1</x:v>
      </x:c>
      <x:c r="G18" s="117" t="str">
        <x:v>100</x:v>
      </x:c>
      <x:c r="H18" s="117" t="str">
        <x:v>21.86</x:v>
      </x:c>
      <x:c r="I18" s="117" t="str">
        <x:v>0.22080808080808081</x:v>
      </x:c>
      <x:c r="J18" s="117" t="str">
        <x:v>5</x:v>
      </x:c>
      <x:c r="K18" s="117" t="str">
        <x:v>circle,zoomed,ich,grid</x:v>
      </x:c>
      <x:c r="L18" s="117" t="str">
        <x:v>historical baseline; not timed in this repair session</x:v>
      </x:c>
      <x:c r="M18" s="117" t="str">
        <x:v>22</x:v>
      </x:c>
      <x:c r="N18" s="117" t="str">
        <x:v>0.03185040003154427</x:v>
      </x:c>
      <x:c r="O18" s="117" t="str">
        <x:v>True</x:v>
      </x:c>
      <x:c r="P18" s="117" t="str">
        <x:v>41</x:v>
      </x:c>
      <x:c r="Q18" s="117" t="str">
        <x:v>False</x:v>
      </x:c>
      <x:c r="R18" s="117" t="str">
        <x:v>41</x:v>
      </x:c>
      <x:c r="S18" s="117" t="str">
        <x:v>41</x:v>
      </x:c>
      <x:c r="T18" s="117" t="str">
        <x:v>0.014098000014200807</x:v>
      </x:c>
      <x:c r="U18" s="117" t="str">
        <x:v>False</x:v>
      </x:c>
      <x:c r="V18" s="117" t="str">
        <x:v>True</x:v>
      </x:c>
      <x:c r="W18" s="117" t="str">
        <x:v>True</x:v>
      </x:c>
      <x:c r="X18" s="117" t="str">
        <x:v>1</x:v>
      </x:c>
      <x:c r="Y18" s="117" t="str">
        <x:v>1</x:v>
      </x:c>
      <x:c r="Z18" s="117" t="str">
        <x:v>2</x:v>
      </x:c>
      <x:c r="AA18" s="117" t="str">
        <x:v>0.011232599965296686</x:v>
      </x:c>
      <x:c r="AB18" s="117" t="str">
        <x:v>42</x:v>
      </x:c>
      <x:c r="AC18" s="117" t="str">
        <x:v>19</x:v>
      </x:c>
      <x:c r="AD18" s="117" t="str">
        <x:v>0.025330599979497492</x:v>
      </x:c>
      <x:c r="AE18" s="117" t="str">
        <x:v>True</x:v>
      </x:c>
      <x:c r="AF18" s="117" t="str">
        <x:v>0</x:v>
      </x:c>
      <x:c r="AG18" s="117" t="str">
        <x:v>23</x:v>
      </x:c>
      <x:c r="AH18" s="117" t="str">
        <x:v>-22</x:v>
      </x:c>
      <x:c r="AI18" s="117" t="str">
        <x:v>23</x:v>
      </x:c>
      <x:c r="AJ18" s="117" t="str">
        <x:v>0.02003900008276105</x:v>
      </x:c>
      <x:c r="AK18" s="117" t="str">
        <x:v>True</x:v>
      </x:c>
      <x:c r="AL18" s="117" t="str">
        <x:v>23</x:v>
      </x:c>
      <x:c r="AM18" s="117" t="str">
        <x:v>True</x:v>
      </x:c>
      <x:c r="AN18" s="117" t="str">
        <x:v>58</x:v>
      </x:c>
      <x:c r="AO18" s="117" t="str">
        <x:v>23</x:v>
      </x:c>
      <x:c r="AP18" s="117" t="str">
        <x:v>0.01479819999076426</x:v>
      </x:c>
      <x:c r="AQ18" s="117" t="str">
        <x:v>True</x:v>
      </x:c>
      <x:c r="AR18" s="117" t="str">
        <x:v>True</x:v>
      </x:c>
      <x:c r="AS18" s="117" t="str">
        <x:v>True</x:v>
      </x:c>
      <x:c r="AT18" s="117" t="str">
        <x:v>0</x:v>
      </x:c>
      <x:c r="AU18" s="117" t="str">
        <x:v>0</x:v>
      </x:c>
      <x:c r="AV18" s="117" t="str"/>
      <x:c r="AW18" s="117" t="str">
        <x:v>0.0013871000846847892</x:v>
      </x:c>
      <x:c r="AX18" s="117" t="str">
        <x:v>23</x:v>
      </x:c>
      <x:c r="AY18" s="117" t="str">
        <x:v>23</x:v>
      </x:c>
      <x:c r="AZ18" s="117" t="str">
        <x:v>0.01618530007544905</x:v>
      </x:c>
      <x:c r="BA18" s="117" t="str">
        <x:v>True</x:v>
      </x:c>
      <x:c r="BB18" s="117" t="str">
        <x:v>0</x:v>
      </x:c>
      <x:c r="BC18" s="117" t="str">
        <x:v>0</x:v>
      </x:c>
      <x:c r="BD18" s="117" t="str">
        <x:v>0</x:v>
      </x:c>
      <x:c r="BE18" s="117" t="str">
        <x:v>22</x:v>
      </x:c>
      <x:c r="BF18" s="117" t="str">
        <x:v>0.025582100031897426</x:v>
      </x:c>
      <x:c r="BG18" s="117" t="str">
        <x:v>True</x:v>
      </x:c>
      <x:c r="BH18" s="117" t="str">
        <x:v>23</x:v>
      </x:c>
      <x:c r="BI18" s="117" t="str">
        <x:v>True</x:v>
      </x:c>
      <x:c r="BJ18" s="117" t="str">
        <x:v>54</x:v>
      </x:c>
      <x:c r="BK18" s="117" t="str">
        <x:v>23</x:v>
      </x:c>
      <x:c r="BL18" s="117" t="str">
        <x:v>0.015408899984322488</x:v>
      </x:c>
      <x:c r="BM18" s="117" t="str">
        <x:v>True</x:v>
      </x:c>
      <x:c r="BN18" s="117" t="str">
        <x:v>True</x:v>
      </x:c>
      <x:c r="BO18" s="117" t="str">
        <x:v>True</x:v>
      </x:c>
      <x:c r="BP18" s="117" t="str">
        <x:v>0</x:v>
      </x:c>
      <x:c r="BQ18" s="117" t="str">
        <x:v>0</x:v>
      </x:c>
      <x:c r="BR18" s="117" t="str"/>
      <x:c r="BS18" s="117" t="str">
        <x:v>0.0012565000215545297</x:v>
      </x:c>
      <x:c r="BT18" s="117" t="str">
        <x:v>23</x:v>
      </x:c>
      <x:c r="BU18" s="117" t="str">
        <x:v>23</x:v>
      </x:c>
      <x:c r="BV18" s="117" t="str">
        <x:v>0.016665400005877018</x:v>
      </x:c>
      <x:c r="BW18" s="117" t="str">
        <x:v>True</x:v>
      </x:c>
      <x:c r="BX18" s="117" t="str">
        <x:v>0</x:v>
      </x:c>
      <x:c r="BY18" s="117" t="str">
        <x:v>0</x:v>
      </x:c>
      <x:c r="BZ18" s="117" t="str">
        <x:v>0</x:v>
      </x:c>
      <x:c r="CA18" s="117" t="str">
        <x:v>21</x:v>
      </x:c>
      <x:c r="CB18" s="117" t="str">
        <x:v>0.19510430004447699</x:v>
      </x:c>
      <x:c r="CC18" s="117" t="str">
        <x:v>True</x:v>
      </x:c>
      <x:c r="CD18" s="117" t="str">
        <x:v>21</x:v>
      </x:c>
      <x:c r="CE18" s="117" t="str">
        <x:v>True</x:v>
      </x:c>
      <x:c r="CF18" s="117" t="str">
        <x:v>21</x:v>
      </x:c>
      <x:c r="CG18" s="117" t="str">
        <x:v>21</x:v>
      </x:c>
      <x:c r="CH18" s="117" t="str">
        <x:v>0.15514300006907433</x:v>
      </x:c>
      <x:c r="CI18" s="117" t="str">
        <x:v>True</x:v>
      </x:c>
      <x:c r="CJ18" s="117" t="str">
        <x:v>True</x:v>
      </x:c>
      <x:c r="CK18" s="117" t="str">
        <x:v>True</x:v>
      </x:c>
      <x:c r="CL18" s="117" t="str">
        <x:v>0</x:v>
      </x:c>
      <x:c r="CM18" s="117" t="str">
        <x:v>0</x:v>
      </x:c>
      <x:c r="CN18" s="117" t="str"/>
      <x:c r="CO18" s="117" t="str">
        <x:v>0.001173500088043511</x:v>
      </x:c>
      <x:c r="CP18" s="117" t="str">
        <x:v>21</x:v>
      </x:c>
      <x:c r="CQ18" s="117" t="str">
        <x:v>21</x:v>
      </x:c>
      <x:c r="CR18" s="117" t="str">
        <x:v>0.15631650015711784</x:v>
      </x:c>
      <x:c r="CS18" s="117" t="str">
        <x:v>True</x:v>
      </x:c>
      <x:c r="CT18" s="117" t="str">
        <x:v>0</x:v>
      </x:c>
      <x:c r="CU18" s="117" t="str">
        <x:v>0</x:v>
      </x:c>
      <x:c r="CV18" s="117" t="str">
        <x:v>0</x:v>
      </x:c>
    </x:row>
    <x:row r="19">
      <x:c r="A19" s="117" t="str">
        <x:v>100</x:v>
      </x:c>
      <x:c r="B19" s="117" t="str">
        <x:v>0.3</x:v>
      </x:c>
      <x:c r="C19" s="117" t="str">
        <x:v>3</x:v>
      </x:c>
      <x:c r="D19" s="117" t="str">
        <x:v>4234583871</x:v>
      </x:c>
      <x:c r="E19" s="117" t="str">
        <x:v>1039</x:v>
      </x:c>
      <x:c r="F19" s="117" t="str">
        <x:v>1</x:v>
      </x:c>
      <x:c r="G19" s="117" t="str">
        <x:v>100</x:v>
      </x:c>
      <x:c r="H19" s="117" t="str">
        <x:v>20.78</x:v>
      </x:c>
      <x:c r="I19" s="117" t="str">
        <x:v>0.2098989898989899</x:v>
      </x:c>
      <x:c r="J19" s="117" t="str">
        <x:v>5</x:v>
      </x:c>
      <x:c r="K19" s="117" t="str">
        <x:v>zoomed,ich,grid,circle</x:v>
      </x:c>
      <x:c r="L19" s="117" t="str">
        <x:v>historical baseline; not timed in this repair session</x:v>
      </x:c>
      <x:c r="M19" s="117" t="str">
        <x:v>22</x:v>
      </x:c>
      <x:c r="N19" s="117" t="str">
        <x:v>0.021869100048206747</x:v>
      </x:c>
      <x:c r="O19" s="117" t="str">
        <x:v>True</x:v>
      </x:c>
      <x:c r="P19" s="117" t="str">
        <x:v>21</x:v>
      </x:c>
      <x:c r="Q19" s="117" t="str">
        <x:v>True</x:v>
      </x:c>
      <x:c r="R19" s="117" t="str">
        <x:v>40</x:v>
      </x:c>
      <x:c r="S19" s="117" t="str">
        <x:v>21</x:v>
      </x:c>
      <x:c r="T19" s="117" t="str">
        <x:v>0.01705439994111657</x:v>
      </x:c>
      <x:c r="U19" s="117" t="str">
        <x:v>True</x:v>
      </x:c>
      <x:c r="V19" s="117" t="str">
        <x:v>True</x:v>
      </x:c>
      <x:c r="W19" s="117" t="str">
        <x:v>True</x:v>
      </x:c>
      <x:c r="X19" s="117" t="str">
        <x:v>0</x:v>
      </x:c>
      <x:c r="Y19" s="117" t="str">
        <x:v>0</x:v>
      </x:c>
      <x:c r="Z19" s="117" t="str"/>
      <x:c r="AA19" s="117" t="str">
        <x:v>0.0010095000034198165</x:v>
      </x:c>
      <x:c r="AB19" s="117" t="str">
        <x:v>21</x:v>
      </x:c>
      <x:c r="AC19" s="117" t="str">
        <x:v>21</x:v>
      </x:c>
      <x:c r="AD19" s="117" t="str">
        <x:v>0.018063899944536388</x:v>
      </x:c>
      <x:c r="AE19" s="117" t="str">
        <x:v>True</x:v>
      </x:c>
      <x:c r="AF19" s="117" t="str">
        <x:v>0</x:v>
      </x:c>
      <x:c r="AG19" s="117" t="str">
        <x:v>0</x:v>
      </x:c>
      <x:c r="AH19" s="117" t="str">
        <x:v>0</x:v>
      </x:c>
      <x:c r="AI19" s="117" t="str">
        <x:v>19</x:v>
      </x:c>
      <x:c r="AJ19" s="117" t="str">
        <x:v>0.021746600046753883</x:v>
      </x:c>
      <x:c r="AK19" s="117" t="str">
        <x:v>True</x:v>
      </x:c>
      <x:c r="AL19" s="117" t="str">
        <x:v>20</x:v>
      </x:c>
      <x:c r="AM19" s="117" t="str">
        <x:v>True</x:v>
      </x:c>
      <x:c r="AN19" s="117" t="str">
        <x:v>70</x:v>
      </x:c>
      <x:c r="AO19" s="117" t="str">
        <x:v>20</x:v>
      </x:c>
      <x:c r="AP19" s="117" t="str">
        <x:v>0.014003199990838766</x:v>
      </x:c>
      <x:c r="AQ19" s="117" t="str">
        <x:v>True</x:v>
      </x:c>
      <x:c r="AR19" s="117" t="str">
        <x:v>True</x:v>
      </x:c>
      <x:c r="AS19" s="117" t="str">
        <x:v>True</x:v>
      </x:c>
      <x:c r="AT19" s="117" t="str">
        <x:v>0</x:v>
      </x:c>
      <x:c r="AU19" s="117" t="str">
        <x:v>0</x:v>
      </x:c>
      <x:c r="AV19" s="117" t="str"/>
      <x:c r="AW19" s="117" t="str">
        <x:v>0.0009627999970689416</x:v>
      </x:c>
      <x:c r="AX19" s="117" t="str">
        <x:v>20</x:v>
      </x:c>
      <x:c r="AY19" s="117" t="str">
        <x:v>20</x:v>
      </x:c>
      <x:c r="AZ19" s="117" t="str">
        <x:v>0.014965999987907708</x:v>
      </x:c>
      <x:c r="BA19" s="117" t="str">
        <x:v>True</x:v>
      </x:c>
      <x:c r="BB19" s="117" t="str">
        <x:v>0</x:v>
      </x:c>
      <x:c r="BC19" s="117" t="str">
        <x:v>0</x:v>
      </x:c>
      <x:c r="BD19" s="117" t="str">
        <x:v>0</x:v>
      </x:c>
      <x:c r="BE19" s="117" t="str">
        <x:v>20</x:v>
      </x:c>
      <x:c r="BF19" s="117" t="str">
        <x:v>0.022965500014834106</x:v>
      </x:c>
      <x:c r="BG19" s="117" t="str">
        <x:v>True</x:v>
      </x:c>
      <x:c r="BH19" s="117" t="str">
        <x:v>20</x:v>
      </x:c>
      <x:c r="BI19" s="117" t="str">
        <x:v>True</x:v>
      </x:c>
      <x:c r="BJ19" s="117" t="str">
        <x:v>53</x:v>
      </x:c>
      <x:c r="BK19" s="117" t="str">
        <x:v>20</x:v>
      </x:c>
      <x:c r="BL19" s="117" t="str">
        <x:v>0.017072099959477782</x:v>
      </x:c>
      <x:c r="BM19" s="117" t="str">
        <x:v>True</x:v>
      </x:c>
      <x:c r="BN19" s="117" t="str">
        <x:v>True</x:v>
      </x:c>
      <x:c r="BO19" s="117" t="str">
        <x:v>True</x:v>
      </x:c>
      <x:c r="BP19" s="117" t="str">
        <x:v>0</x:v>
      </x:c>
      <x:c r="BQ19" s="117" t="str">
        <x:v>0</x:v>
      </x:c>
      <x:c r="BR19" s="117" t="str"/>
      <x:c r="BS19" s="117" t="str">
        <x:v>0.0010700999991968274</x:v>
      </x:c>
      <x:c r="BT19" s="117" t="str">
        <x:v>20</x:v>
      </x:c>
      <x:c r="BU19" s="117" t="str">
        <x:v>20</x:v>
      </x:c>
      <x:c r="BV19" s="117" t="str">
        <x:v>0.01814219995867461</x:v>
      </x:c>
      <x:c r="BW19" s="117" t="str">
        <x:v>True</x:v>
      </x:c>
      <x:c r="BX19" s="117" t="str">
        <x:v>0</x:v>
      </x:c>
      <x:c r="BY19" s="117" t="str">
        <x:v>0</x:v>
      </x:c>
      <x:c r="BZ19" s="117" t="str">
        <x:v>0</x:v>
      </x:c>
      <x:c r="CA19" s="117" t="str">
        <x:v>19</x:v>
      </x:c>
      <x:c r="CB19" s="117" t="str">
        <x:v>0.16447059996426105</x:v>
      </x:c>
      <x:c r="CC19" s="117" t="str">
        <x:v>True</x:v>
      </x:c>
      <x:c r="CD19" s="117" t="str">
        <x:v>19</x:v>
      </x:c>
      <x:c r="CE19" s="117" t="str">
        <x:v>True</x:v>
      </x:c>
      <x:c r="CF19" s="117" t="str">
        <x:v>19</x:v>
      </x:c>
      <x:c r="CG19" s="117" t="str">
        <x:v>19</x:v>
      </x:c>
      <x:c r="CH19" s="117" t="str">
        <x:v>0.16222769999876618</x:v>
      </x:c>
      <x:c r="CI19" s="117" t="str">
        <x:v>True</x:v>
      </x:c>
      <x:c r="CJ19" s="117" t="str">
        <x:v>True</x:v>
      </x:c>
      <x:c r="CK19" s="117" t="str">
        <x:v>True</x:v>
      </x:c>
      <x:c r="CL19" s="117" t="str">
        <x:v>0</x:v>
      </x:c>
      <x:c r="CM19" s="117" t="str">
        <x:v>0</x:v>
      </x:c>
      <x:c r="CN19" s="117" t="str"/>
      <x:c r="CO19" s="117" t="str">
        <x:v>0.0019295000238344073</x:v>
      </x:c>
      <x:c r="CP19" s="117" t="str">
        <x:v>19</x:v>
      </x:c>
      <x:c r="CQ19" s="117" t="str">
        <x:v>19</x:v>
      </x:c>
      <x:c r="CR19" s="117" t="str">
        <x:v>0.1641572000226006</x:v>
      </x:c>
      <x:c r="CS19" s="117" t="str">
        <x:v>True</x:v>
      </x:c>
      <x:c r="CT19" s="117" t="str">
        <x:v>0</x:v>
      </x:c>
      <x:c r="CU19" s="117" t="str">
        <x:v>0</x:v>
      </x:c>
      <x:c r="CV19" s="117" t="str">
        <x:v>0</x:v>
      </x:c>
    </x:row>
    <x:row r="20">
      <x:c r="A20" s="117" t="str">
        <x:v>100</x:v>
      </x:c>
      <x:c r="B20" s="117" t="str">
        <x:v>0.5</x:v>
      </x:c>
      <x:c r="C20" s="117" t="str">
        <x:v>1</x:v>
      </x:c>
      <x:c r="D20" s="117" t="str">
        <x:v>188944305</x:v>
      </x:c>
      <x:c r="E20" s="117" t="str">
        <x:v>2405</x:v>
      </x:c>
      <x:c r="F20" s="117" t="str">
        <x:v>1</x:v>
      </x:c>
      <x:c r="G20" s="117" t="str">
        <x:v>100</x:v>
      </x:c>
      <x:c r="H20" s="117" t="str">
        <x:v>48.1</x:v>
      </x:c>
      <x:c r="I20" s="117" t="str">
        <x:v>0.4858585858585859</x:v>
      </x:c>
      <x:c r="J20" s="117" t="str">
        <x:v>5</x:v>
      </x:c>
      <x:c r="K20" s="117" t="str">
        <x:v>grid,circle,zoomed,ich</x:v>
      </x:c>
      <x:c r="L20" s="117" t="str">
        <x:v>historical baseline; not timed in this repair session</x:v>
      </x:c>
      <x:c r="M20" s="117" t="str">
        <x:v>26</x:v>
      </x:c>
      <x:c r="N20" s="117" t="str">
        <x:v>0.15413259994238615</x:v>
      </x:c>
      <x:c r="O20" s="117" t="str">
        <x:v>True</x:v>
      </x:c>
      <x:c r="P20" s="117" t="str">
        <x:v>24</x:v>
      </x:c>
      <x:c r="Q20" s="117" t="str">
        <x:v>True</x:v>
      </x:c>
      <x:c r="R20" s="117" t="str">
        <x:v>24</x:v>
      </x:c>
      <x:c r="S20" s="117" t="str">
        <x:v>24</x:v>
      </x:c>
      <x:c r="T20" s="117" t="str">
        <x:v>0.08311200002208352</x:v>
      </x:c>
      <x:c r="U20" s="117" t="str">
        <x:v>True</x:v>
      </x:c>
      <x:c r="V20" s="117" t="str">
        <x:v>True</x:v>
      </x:c>
      <x:c r="W20" s="117" t="str">
        <x:v>True</x:v>
      </x:c>
      <x:c r="X20" s="117" t="str">
        <x:v>0</x:v>
      </x:c>
      <x:c r="Y20" s="117" t="str">
        <x:v>0</x:v>
      </x:c>
      <x:c r="Z20" s="117" t="str"/>
      <x:c r="AA20" s="117" t="str">
        <x:v>0.001296199974603951</x:v>
      </x:c>
      <x:c r="AB20" s="117" t="str">
        <x:v>24</x:v>
      </x:c>
      <x:c r="AC20" s="117" t="str">
        <x:v>24</x:v>
      </x:c>
      <x:c r="AD20" s="117" t="str">
        <x:v>0.08440819999668747</x:v>
      </x:c>
      <x:c r="AE20" s="117" t="str">
        <x:v>True</x:v>
      </x:c>
      <x:c r="AF20" s="117" t="str">
        <x:v>0</x:v>
      </x:c>
      <x:c r="AG20" s="117" t="str">
        <x:v>0</x:v>
      </x:c>
      <x:c r="AH20" s="117" t="str">
        <x:v>0</x:v>
      </x:c>
      <x:c r="AI20" s="117" t="str">
        <x:v>24</x:v>
      </x:c>
      <x:c r="AJ20" s="117" t="str">
        <x:v>0.02225969999562949</x:v>
      </x:c>
      <x:c r="AK20" s="117" t="str">
        <x:v>True</x:v>
      </x:c>
      <x:c r="AL20" s="117" t="str">
        <x:v>25</x:v>
      </x:c>
      <x:c r="AM20" s="117" t="str">
        <x:v>True</x:v>
      </x:c>
      <x:c r="AN20" s="117" t="str">
        <x:v>66</x:v>
      </x:c>
      <x:c r="AO20" s="117" t="str">
        <x:v>25</x:v>
      </x:c>
      <x:c r="AP20" s="117" t="str">
        <x:v>0.023290200042538345</x:v>
      </x:c>
      <x:c r="AQ20" s="117" t="str">
        <x:v>True</x:v>
      </x:c>
      <x:c r="AR20" s="117" t="str">
        <x:v>True</x:v>
      </x:c>
      <x:c r="AS20" s="117" t="str">
        <x:v>True</x:v>
      </x:c>
      <x:c r="AT20" s="117" t="str">
        <x:v>0</x:v>
      </x:c>
      <x:c r="AU20" s="117" t="str">
        <x:v>0</x:v>
      </x:c>
      <x:c r="AV20" s="117" t="str"/>
      <x:c r="AW20" s="117" t="str">
        <x:v>0.0011708000674843788</x:v>
      </x:c>
      <x:c r="AX20" s="117" t="str">
        <x:v>25</x:v>
      </x:c>
      <x:c r="AY20" s="117" t="str">
        <x:v>25</x:v>
      </x:c>
      <x:c r="AZ20" s="117" t="str">
        <x:v>0.024461000110022724</x:v>
      </x:c>
      <x:c r="BA20" s="117" t="str">
        <x:v>True</x:v>
      </x:c>
      <x:c r="BB20" s="117" t="str">
        <x:v>0</x:v>
      </x:c>
      <x:c r="BC20" s="117" t="str">
        <x:v>0</x:v>
      </x:c>
      <x:c r="BD20" s="117" t="str">
        <x:v>0</x:v>
      </x:c>
      <x:c r="BE20" s="117" t="str">
        <x:v>28</x:v>
      </x:c>
      <x:c r="BF20" s="117" t="str">
        <x:v>0.030096800066530704</x:v>
      </x:c>
      <x:c r="BG20" s="117" t="str">
        <x:v>True</x:v>
      </x:c>
      <x:c r="BH20" s="117" t="str">
        <x:v>25</x:v>
      </x:c>
      <x:c r="BI20" s="117" t="str">
        <x:v>True</x:v>
      </x:c>
      <x:c r="BJ20" s="117" t="str">
        <x:v>63</x:v>
      </x:c>
      <x:c r="BK20" s="117" t="str">
        <x:v>25</x:v>
      </x:c>
      <x:c r="BL20" s="117" t="str">
        <x:v>0.030866799992509186</x:v>
      </x:c>
      <x:c r="BM20" s="117" t="str">
        <x:v>True</x:v>
      </x:c>
      <x:c r="BN20" s="117" t="str">
        <x:v>True</x:v>
      </x:c>
      <x:c r="BO20" s="117" t="str">
        <x:v>True</x:v>
      </x:c>
      <x:c r="BP20" s="117" t="str">
        <x:v>0</x:v>
      </x:c>
      <x:c r="BQ20" s="117" t="str">
        <x:v>0</x:v>
      </x:c>
      <x:c r="BR20" s="117" t="str"/>
      <x:c r="BS20" s="117" t="str">
        <x:v>0.0013150000013411045</x:v>
      </x:c>
      <x:c r="BT20" s="117" t="str">
        <x:v>25</x:v>
      </x:c>
      <x:c r="BU20" s="117" t="str">
        <x:v>25</x:v>
      </x:c>
      <x:c r="BV20" s="117" t="str">
        <x:v>0.03218179999385029</x:v>
      </x:c>
      <x:c r="BW20" s="117" t="str">
        <x:v>True</x:v>
      </x:c>
      <x:c r="BX20" s="117" t="str">
        <x:v>0</x:v>
      </x:c>
      <x:c r="BY20" s="117" t="str">
        <x:v>0</x:v>
      </x:c>
      <x:c r="BZ20" s="117" t="str">
        <x:v>0</x:v>
      </x:c>
      <x:c r="CA20" s="117" t="str">
        <x:v>24</x:v>
      </x:c>
      <x:c r="CB20" s="117" t="str">
        <x:v>0.18551850004587322</x:v>
      </x:c>
      <x:c r="CC20" s="117" t="str">
        <x:v>True</x:v>
      </x:c>
      <x:c r="CD20" s="117" t="str">
        <x:v>23</x:v>
      </x:c>
      <x:c r="CE20" s="117" t="str">
        <x:v>True</x:v>
      </x:c>
      <x:c r="CF20" s="117" t="str">
        <x:v>23</x:v>
      </x:c>
      <x:c r="CG20" s="117" t="str">
        <x:v>23</x:v>
      </x:c>
      <x:c r="CH20" s="117" t="str">
        <x:v>0.19719750003423542</x:v>
      </x:c>
      <x:c r="CI20" s="117" t="str">
        <x:v>True</x:v>
      </x:c>
      <x:c r="CJ20" s="117" t="str">
        <x:v>True</x:v>
      </x:c>
      <x:c r="CK20" s="117" t="str">
        <x:v>True</x:v>
      </x:c>
      <x:c r="CL20" s="117" t="str">
        <x:v>0</x:v>
      </x:c>
      <x:c r="CM20" s="117" t="str">
        <x:v>0</x:v>
      </x:c>
      <x:c r="CN20" s="117" t="str"/>
      <x:c r="CO20" s="117" t="str">
        <x:v>0.001029500039294362</x:v>
      </x:c>
      <x:c r="CP20" s="117" t="str">
        <x:v>23</x:v>
      </x:c>
      <x:c r="CQ20" s="117" t="str">
        <x:v>23</x:v>
      </x:c>
      <x:c r="CR20" s="117" t="str">
        <x:v>0.19822700007352978</x:v>
      </x:c>
      <x:c r="CS20" s="117" t="str">
        <x:v>True</x:v>
      </x:c>
      <x:c r="CT20" s="117" t="str">
        <x:v>0</x:v>
      </x:c>
      <x:c r="CU20" s="117" t="str">
        <x:v>0</x:v>
      </x:c>
      <x:c r="CV20" s="117" t="str">
        <x:v>0</x:v>
      </x:c>
    </x:row>
    <x:row r="21">
      <x:c r="A21" s="117" t="str">
        <x:v>100</x:v>
      </x:c>
      <x:c r="B21" s="117" t="str">
        <x:v>0.5</x:v>
      </x:c>
      <x:c r="C21" s="117" t="str">
        <x:v>2</x:v>
      </x:c>
      <x:c r="D21" s="117" t="str">
        <x:v>1744016034</x:v>
      </x:c>
      <x:c r="E21" s="117" t="str">
        <x:v>2318</x:v>
      </x:c>
      <x:c r="F21" s="117" t="str">
        <x:v>1</x:v>
      </x:c>
      <x:c r="G21" s="117" t="str">
        <x:v>100</x:v>
      </x:c>
      <x:c r="H21" s="117" t="str">
        <x:v>46.36</x:v>
      </x:c>
      <x:c r="I21" s="117" t="str">
        <x:v>0.4682828282828283</x:v>
      </x:c>
      <x:c r="J21" s="117" t="str">
        <x:v>5</x:v>
      </x:c>
      <x:c r="K21" s="117" t="str">
        <x:v>circle,zoomed,ich,grid</x:v>
      </x:c>
      <x:c r="L21" s="117" t="str">
        <x:v>historical baseline; not timed in this repair session</x:v>
      </x:c>
      <x:c r="M21" s="117" t="str">
        <x:v>26</x:v>
      </x:c>
      <x:c r="N21" s="117" t="str">
        <x:v>0.11670250003226101</x:v>
      </x:c>
      <x:c r="O21" s="117" t="str">
        <x:v>True</x:v>
      </x:c>
      <x:c r="P21" s="117" t="str">
        <x:v>22</x:v>
      </x:c>
      <x:c r="Q21" s="117" t="str">
        <x:v>True</x:v>
      </x:c>
      <x:c r="R21" s="117" t="str">
        <x:v>24</x:v>
      </x:c>
      <x:c r="S21" s="117" t="str">
        <x:v>22</x:v>
      </x:c>
      <x:c r="T21" s="117" t="str">
        <x:v>0.08015359996352345</x:v>
      </x:c>
      <x:c r="U21" s="117" t="str">
        <x:v>True</x:v>
      </x:c>
      <x:c r="V21" s="117" t="str">
        <x:v>True</x:v>
      </x:c>
      <x:c r="W21" s="117" t="str">
        <x:v>True</x:v>
      </x:c>
      <x:c r="X21" s="117" t="str">
        <x:v>0</x:v>
      </x:c>
      <x:c r="Y21" s="117" t="str">
        <x:v>0</x:v>
      </x:c>
      <x:c r="Z21" s="117" t="str"/>
      <x:c r="AA21" s="117" t="str">
        <x:v>0.0010495999595150352</x:v>
      </x:c>
      <x:c r="AB21" s="117" t="str">
        <x:v>22</x:v>
      </x:c>
      <x:c r="AC21" s="117" t="str">
        <x:v>22</x:v>
      </x:c>
      <x:c r="AD21" s="117" t="str">
        <x:v>0.08120319992303848</x:v>
      </x:c>
      <x:c r="AE21" s="117" t="str">
        <x:v>True</x:v>
      </x:c>
      <x:c r="AF21" s="117" t="str">
        <x:v>0</x:v>
      </x:c>
      <x:c r="AG21" s="117" t="str">
        <x:v>0</x:v>
      </x:c>
      <x:c r="AH21" s="117" t="str">
        <x:v>0</x:v>
      </x:c>
      <x:c r="AI21" s="117" t="str">
        <x:v>29</x:v>
      </x:c>
      <x:c r="AJ21" s="117" t="str">
        <x:v>0.027047100011259317</x:v>
      </x:c>
      <x:c r="AK21" s="117" t="str">
        <x:v>True</x:v>
      </x:c>
      <x:c r="AL21" s="117" t="str">
        <x:v>27</x:v>
      </x:c>
      <x:c r="AM21" s="117" t="str">
        <x:v>True</x:v>
      </x:c>
      <x:c r="AN21" s="117" t="str">
        <x:v>64</x:v>
      </x:c>
      <x:c r="AO21" s="117" t="str">
        <x:v>27</x:v>
      </x:c>
      <x:c r="AP21" s="117" t="str">
        <x:v>0.022301000077277422</x:v>
      </x:c>
      <x:c r="AQ21" s="117" t="str">
        <x:v>True</x:v>
      </x:c>
      <x:c r="AR21" s="117" t="str">
        <x:v>True</x:v>
      </x:c>
      <x:c r="AS21" s="117" t="str">
        <x:v>True</x:v>
      </x:c>
      <x:c r="AT21" s="117" t="str">
        <x:v>0</x:v>
      </x:c>
      <x:c r="AU21" s="117" t="str">
        <x:v>0</x:v>
      </x:c>
      <x:c r="AV21" s="117" t="str"/>
      <x:c r="AW21" s="117" t="str">
        <x:v>0.0014582000439986587</x:v>
      </x:c>
      <x:c r="AX21" s="117" t="str">
        <x:v>27</x:v>
      </x:c>
      <x:c r="AY21" s="117" t="str">
        <x:v>27</x:v>
      </x:c>
      <x:c r="AZ21" s="117" t="str">
        <x:v>0.02375920012127608</x:v>
      </x:c>
      <x:c r="BA21" s="117" t="str">
        <x:v>True</x:v>
      </x:c>
      <x:c r="BB21" s="117" t="str">
        <x:v>0</x:v>
      </x:c>
      <x:c r="BC21" s="117" t="str">
        <x:v>0</x:v>
      </x:c>
      <x:c r="BD21" s="117" t="str">
        <x:v>0</x:v>
      </x:c>
      <x:c r="BE21" s="117" t="str">
        <x:v>28</x:v>
      </x:c>
      <x:c r="BF21" s="117" t="str">
        <x:v>0.04803089995402843</x:v>
      </x:c>
      <x:c r="BG21" s="117" t="str">
        <x:v>True</x:v>
      </x:c>
      <x:c r="BH21" s="117" t="str">
        <x:v>29</x:v>
      </x:c>
      <x:c r="BI21" s="117" t="str">
        <x:v>True</x:v>
      </x:c>
      <x:c r="BJ21" s="117" t="str">
        <x:v>42</x:v>
      </x:c>
      <x:c r="BK21" s="117" t="str">
        <x:v>29</x:v>
      </x:c>
      <x:c r="BL21" s="117" t="str">
        <x:v>0.04171270004007965</x:v>
      </x:c>
      <x:c r="BM21" s="117" t="str">
        <x:v>True</x:v>
      </x:c>
      <x:c r="BN21" s="117" t="str">
        <x:v>True</x:v>
      </x:c>
      <x:c r="BO21" s="117" t="str">
        <x:v>True</x:v>
      </x:c>
      <x:c r="BP21" s="117" t="str">
        <x:v>0</x:v>
      </x:c>
      <x:c r="BQ21" s="117" t="str">
        <x:v>0</x:v>
      </x:c>
      <x:c r="BR21" s="117" t="str"/>
      <x:c r="BS21" s="117" t="str">
        <x:v>0.0019385999767109752</x:v>
      </x:c>
      <x:c r="BT21" s="117" t="str">
        <x:v>29</x:v>
      </x:c>
      <x:c r="BU21" s="117" t="str">
        <x:v>29</x:v>
      </x:c>
      <x:c r="BV21" s="117" t="str">
        <x:v>0.04365130001679063</x:v>
      </x:c>
      <x:c r="BW21" s="117" t="str">
        <x:v>True</x:v>
      </x:c>
      <x:c r="BX21" s="117" t="str">
        <x:v>0</x:v>
      </x:c>
      <x:c r="BY21" s="117" t="str">
        <x:v>0</x:v>
      </x:c>
      <x:c r="BZ21" s="117" t="str">
        <x:v>0</x:v>
      </x:c>
      <x:c r="CA21" s="117" t="str">
        <x:v>24</x:v>
      </x:c>
      <x:c r="CB21" s="117" t="str">
        <x:v>0.19860300002619624</x:v>
      </x:c>
      <x:c r="CC21" s="117" t="str">
        <x:v>True</x:v>
      </x:c>
      <x:c r="CD21" s="117" t="str">
        <x:v>22</x:v>
      </x:c>
      <x:c r="CE21" s="117" t="str">
        <x:v>True</x:v>
      </x:c>
      <x:c r="CF21" s="117" t="str">
        <x:v>22</x:v>
      </x:c>
      <x:c r="CG21" s="117" t="str">
        <x:v>22</x:v>
      </x:c>
      <x:c r="CH21" s="117" t="str">
        <x:v>0.1742384999524802</x:v>
      </x:c>
      <x:c r="CI21" s="117" t="str">
        <x:v>True</x:v>
      </x:c>
      <x:c r="CJ21" s="117" t="str">
        <x:v>True</x:v>
      </x:c>
      <x:c r="CK21" s="117" t="str">
        <x:v>True</x:v>
      </x:c>
      <x:c r="CL21" s="117" t="str">
        <x:v>0</x:v>
      </x:c>
      <x:c r="CM21" s="117" t="str">
        <x:v>0</x:v>
      </x:c>
      <x:c r="CN21" s="117" t="str"/>
      <x:c r="CO21" s="117" t="str">
        <x:v>0.0010513999732211232</x:v>
      </x:c>
      <x:c r="CP21" s="117" t="str">
        <x:v>22</x:v>
      </x:c>
      <x:c r="CQ21" s="117" t="str">
        <x:v>22</x:v>
      </x:c>
      <x:c r="CR21" s="117" t="str">
        <x:v>0.17528989992570132</x:v>
      </x:c>
      <x:c r="CS21" s="117" t="str">
        <x:v>True</x:v>
      </x:c>
      <x:c r="CT21" s="117" t="str">
        <x:v>0</x:v>
      </x:c>
      <x:c r="CU21" s="117" t="str">
        <x:v>0</x:v>
      </x:c>
      <x:c r="CV21" s="117" t="str">
        <x:v>0</x:v>
      </x:c>
    </x:row>
    <x:row r="22">
      <x:c r="A22" s="117" t="str">
        <x:v>100</x:v>
      </x:c>
      <x:c r="B22" s="117" t="str">
        <x:v>0.5</x:v>
      </x:c>
      <x:c r="C22" s="117" t="str">
        <x:v>3</x:v>
      </x:c>
      <x:c r="D22" s="117" t="str">
        <x:v>2509545635</x:v>
      </x:c>
      <x:c r="E22" s="117" t="str">
        <x:v>2433</x:v>
      </x:c>
      <x:c r="F22" s="117" t="str">
        <x:v>1</x:v>
      </x:c>
      <x:c r="G22" s="117" t="str">
        <x:v>100</x:v>
      </x:c>
      <x:c r="H22" s="117" t="str">
        <x:v>48.66</x:v>
      </x:c>
      <x:c r="I22" s="117" t="str">
        <x:v>0.4915151515151515</x:v>
      </x:c>
      <x:c r="J22" s="117" t="str">
        <x:v>5</x:v>
      </x:c>
      <x:c r="K22" s="117" t="str">
        <x:v>zoomed,ich,grid,circle</x:v>
      </x:c>
      <x:c r="L22" s="117" t="str">
        <x:v>historical baseline; not timed in this repair session</x:v>
      </x:c>
      <x:c r="M22" s="117" t="str">
        <x:v>23</x:v>
      </x:c>
      <x:c r="N22" s="117" t="str">
        <x:v>0.12261160009074956</x:v>
      </x:c>
      <x:c r="O22" s="117" t="str">
        <x:v>True</x:v>
      </x:c>
      <x:c r="P22" s="117" t="str">
        <x:v>21</x:v>
      </x:c>
      <x:c r="Q22" s="117" t="str">
        <x:v>True</x:v>
      </x:c>
      <x:c r="R22" s="117" t="str">
        <x:v>21</x:v>
      </x:c>
      <x:c r="S22" s="117" t="str">
        <x:v>21</x:v>
      </x:c>
      <x:c r="T22" s="117" t="str">
        <x:v>0.08039619994815439</x:v>
      </x:c>
      <x:c r="U22" s="117" t="str">
        <x:v>True</x:v>
      </x:c>
      <x:c r="V22" s="117" t="str">
        <x:v>True</x:v>
      </x:c>
      <x:c r="W22" s="117" t="str">
        <x:v>True</x:v>
      </x:c>
      <x:c r="X22" s="117" t="str">
        <x:v>0</x:v>
      </x:c>
      <x:c r="Y22" s="117" t="str">
        <x:v>0</x:v>
      </x:c>
      <x:c r="Z22" s="117" t="str"/>
      <x:c r="AA22" s="117" t="str">
        <x:v>0.001043599913828075</x:v>
      </x:c>
      <x:c r="AB22" s="117" t="str">
        <x:v>21</x:v>
      </x:c>
      <x:c r="AC22" s="117" t="str">
        <x:v>21</x:v>
      </x:c>
      <x:c r="AD22" s="117" t="str">
        <x:v>0.08143979986198246</x:v>
      </x:c>
      <x:c r="AE22" s="117" t="str">
        <x:v>True</x:v>
      </x:c>
      <x:c r="AF22" s="117" t="str">
        <x:v>0</x:v>
      </x:c>
      <x:c r="AG22" s="117" t="str">
        <x:v>0</x:v>
      </x:c>
      <x:c r="AH22" s="117" t="str">
        <x:v>0</x:v>
      </x:c>
      <x:c r="AI22" s="117" t="str">
        <x:v>23</x:v>
      </x:c>
      <x:c r="AJ22" s="117" t="str">
        <x:v>0.02808059996459633</x:v>
      </x:c>
      <x:c r="AK22" s="117" t="str">
        <x:v>True</x:v>
      </x:c>
      <x:c r="AL22" s="117" t="str">
        <x:v>26</x:v>
      </x:c>
      <x:c r="AM22" s="117" t="str">
        <x:v>True</x:v>
      </x:c>
      <x:c r="AN22" s="117" t="str">
        <x:v>59</x:v>
      </x:c>
      <x:c r="AO22" s="117" t="str">
        <x:v>26</x:v>
      </x:c>
      <x:c r="AP22" s="117" t="str">
        <x:v>0.017644599894993007</x:v>
      </x:c>
      <x:c r="AQ22" s="117" t="str">
        <x:v>True</x:v>
      </x:c>
      <x:c r="AR22" s="117" t="str">
        <x:v>True</x:v>
      </x:c>
      <x:c r="AS22" s="117" t="str">
        <x:v>True</x:v>
      </x:c>
      <x:c r="AT22" s="117" t="str">
        <x:v>0</x:v>
      </x:c>
      <x:c r="AU22" s="117" t="str">
        <x:v>0</x:v>
      </x:c>
      <x:c r="AV22" s="117" t="str"/>
      <x:c r="AW22" s="117" t="str">
        <x:v>0.0010884000221267343</x:v>
      </x:c>
      <x:c r="AX22" s="117" t="str">
        <x:v>26</x:v>
      </x:c>
      <x:c r="AY22" s="117" t="str">
        <x:v>26</x:v>
      </x:c>
      <x:c r="AZ22" s="117" t="str">
        <x:v>0.01873299991711974</x:v>
      </x:c>
      <x:c r="BA22" s="117" t="str">
        <x:v>True</x:v>
      </x:c>
      <x:c r="BB22" s="117" t="str">
        <x:v>0</x:v>
      </x:c>
      <x:c r="BC22" s="117" t="str">
        <x:v>0</x:v>
      </x:c>
      <x:c r="BD22" s="117" t="str">
        <x:v>0</x:v>
      </x:c>
      <x:c r="BE22" s="117" t="str">
        <x:v>25</x:v>
      </x:c>
      <x:c r="BF22" s="117" t="str">
        <x:v>0.06129390001296997</x:v>
      </x:c>
      <x:c r="BG22" s="117" t="str">
        <x:v>True</x:v>
      </x:c>
      <x:c r="BH22" s="117" t="str">
        <x:v>24</x:v>
      </x:c>
      <x:c r="BI22" s="117" t="str">
        <x:v>True</x:v>
      </x:c>
      <x:c r="BJ22" s="117" t="str">
        <x:v>43</x:v>
      </x:c>
      <x:c r="BK22" s="117" t="str">
        <x:v>24</x:v>
      </x:c>
      <x:c r="BL22" s="117" t="str">
        <x:v>0.044677000027149916</x:v>
      </x:c>
      <x:c r="BM22" s="117" t="str">
        <x:v>True</x:v>
      </x:c>
      <x:c r="BN22" s="117" t="str">
        <x:v>True</x:v>
      </x:c>
      <x:c r="BO22" s="117" t="str">
        <x:v>True</x:v>
      </x:c>
      <x:c r="BP22" s="117" t="str">
        <x:v>0</x:v>
      </x:c>
      <x:c r="BQ22" s="117" t="str">
        <x:v>0</x:v>
      </x:c>
      <x:c r="BR22" s="117" t="str"/>
      <x:c r="BS22" s="117" t="str">
        <x:v>0.0011635998962447047</x:v>
      </x:c>
      <x:c r="BT22" s="117" t="str">
        <x:v>24</x:v>
      </x:c>
      <x:c r="BU22" s="117" t="str">
        <x:v>24</x:v>
      </x:c>
      <x:c r="BV22" s="117" t="str">
        <x:v>0.04584059992339462</x:v>
      </x:c>
      <x:c r="BW22" s="117" t="str">
        <x:v>True</x:v>
      </x:c>
      <x:c r="BX22" s="117" t="str">
        <x:v>0</x:v>
      </x:c>
      <x:c r="BY22" s="117" t="str">
        <x:v>0</x:v>
      </x:c>
      <x:c r="BZ22" s="117" t="str">
        <x:v>0</x:v>
      </x:c>
      <x:c r="CA22" s="117" t="str">
        <x:v>22</x:v>
      </x:c>
      <x:c r="CB22" s="117" t="str">
        <x:v>0.1866517000598833</x:v>
      </x:c>
      <x:c r="CC22" s="117" t="str">
        <x:v>True</x:v>
      </x:c>
      <x:c r="CD22" s="117" t="str">
        <x:v>21</x:v>
      </x:c>
      <x:c r="CE22" s="117" t="str">
        <x:v>True</x:v>
      </x:c>
      <x:c r="CF22" s="117" t="str">
        <x:v>21</x:v>
      </x:c>
      <x:c r="CG22" s="117" t="str">
        <x:v>21</x:v>
      </x:c>
      <x:c r="CH22" s="117" t="str">
        <x:v>0.18184700002893806</x:v>
      </x:c>
      <x:c r="CI22" s="117" t="str">
        <x:v>True</x:v>
      </x:c>
      <x:c r="CJ22" s="117" t="str">
        <x:v>True</x:v>
      </x:c>
      <x:c r="CK22" s="117" t="str">
        <x:v>True</x:v>
      </x:c>
      <x:c r="CL22" s="117" t="str">
        <x:v>0</x:v>
      </x:c>
      <x:c r="CM22" s="117" t="str">
        <x:v>0</x:v>
      </x:c>
      <x:c r="CN22" s="117" t="str"/>
      <x:c r="CO22" s="117" t="str">
        <x:v>0.001048700069077313</x:v>
      </x:c>
      <x:c r="CP22" s="117" t="str">
        <x:v>21</x:v>
      </x:c>
      <x:c r="CQ22" s="117" t="str">
        <x:v>21</x:v>
      </x:c>
      <x:c r="CR22" s="117" t="str">
        <x:v>0.18289570009801537</x:v>
      </x:c>
      <x:c r="CS22" s="117" t="str">
        <x:v>True</x:v>
      </x:c>
      <x:c r="CT22" s="117" t="str">
        <x:v>0</x:v>
      </x:c>
      <x:c r="CU22" s="117" t="str">
        <x:v>0</x:v>
      </x:c>
      <x:c r="CV22" s="117" t="str">
        <x:v>0</x:v>
      </x:c>
    </x:row>
    <x:row r="23">
      <x:c r="A23" s="117" t="str">
        <x:v>100</x:v>
      </x:c>
      <x:c r="B23" s="117" t="str">
        <x:v>0.7</x:v>
      </x:c>
      <x:c r="C23" s="117" t="str">
        <x:v>1</x:v>
      </x:c>
      <x:c r="D23" s="117" t="str">
        <x:v>388144498</x:v>
      </x:c>
      <x:c r="E23" s="117" t="str">
        <x:v>3654</x:v>
      </x:c>
      <x:c r="F23" s="117" t="str">
        <x:v>1</x:v>
      </x:c>
      <x:c r="G23" s="117" t="str">
        <x:v>100</x:v>
      </x:c>
      <x:c r="H23" s="117" t="str">
        <x:v>73.08</x:v>
      </x:c>
      <x:c r="I23" s="117" t="str">
        <x:v>0.7381818181818182</x:v>
      </x:c>
      <x:c r="J23" s="117" t="str">
        <x:v>5</x:v>
      </x:c>
      <x:c r="K23" s="117" t="str">
        <x:v>grid,circle,zoomed,ich</x:v>
      </x:c>
      <x:c r="L23" s="117" t="str">
        <x:v>historical baseline; not timed in this repair session</x:v>
      </x:c>
      <x:c r="M23" s="117" t="str">
        <x:v>34</x:v>
      </x:c>
      <x:c r="N23" s="117" t="str">
        <x:v>0.13773059996310622</x:v>
      </x:c>
      <x:c r="O23" s="117" t="str">
        <x:v>True</x:v>
      </x:c>
      <x:c r="P23" s="117" t="str">
        <x:v>29</x:v>
      </x:c>
      <x:c r="Q23" s="117" t="str">
        <x:v>True</x:v>
      </x:c>
      <x:c r="R23" s="117" t="str">
        <x:v>30</x:v>
      </x:c>
      <x:c r="S23" s="117" t="str">
        <x:v>29</x:v>
      </x:c>
      <x:c r="T23" s="117" t="str">
        <x:v>0.09183150005992502</x:v>
      </x:c>
      <x:c r="U23" s="117" t="str">
        <x:v>True</x:v>
      </x:c>
      <x:c r="V23" s="117" t="str">
        <x:v>True</x:v>
      </x:c>
      <x:c r="W23" s="117" t="str">
        <x:v>True</x:v>
      </x:c>
      <x:c r="X23" s="117" t="str">
        <x:v>0</x:v>
      </x:c>
      <x:c r="Y23" s="117" t="str">
        <x:v>0</x:v>
      </x:c>
      <x:c r="Z23" s="117" t="str"/>
      <x:c r="AA23" s="117" t="str">
        <x:v>0.0017155000241473317</x:v>
      </x:c>
      <x:c r="AB23" s="117" t="str">
        <x:v>29</x:v>
      </x:c>
      <x:c r="AC23" s="117" t="str">
        <x:v>29</x:v>
      </x:c>
      <x:c r="AD23" s="117" t="str">
        <x:v>0.09354700008407235</x:v>
      </x:c>
      <x:c r="AE23" s="117" t="str">
        <x:v>True</x:v>
      </x:c>
      <x:c r="AF23" s="117" t="str">
        <x:v>0</x:v>
      </x:c>
      <x:c r="AG23" s="117" t="str">
        <x:v>0</x:v>
      </x:c>
      <x:c r="AH23" s="117" t="str">
        <x:v>0</x:v>
      </x:c>
      <x:c r="AI23" s="117" t="str">
        <x:v>37</x:v>
      </x:c>
      <x:c r="AJ23" s="117" t="str">
        <x:v>0.04257950000464916</x:v>
      </x:c>
      <x:c r="AK23" s="117" t="str">
        <x:v>True</x:v>
      </x:c>
      <x:c r="AL23" s="117" t="str">
        <x:v>36</x:v>
      </x:c>
      <x:c r="AM23" s="117" t="str">
        <x:v>True</x:v>
      </x:c>
      <x:c r="AN23" s="117" t="str">
        <x:v>79</x:v>
      </x:c>
      <x:c r="AO23" s="117" t="str">
        <x:v>36</x:v>
      </x:c>
      <x:c r="AP23" s="117" t="str">
        <x:v>0.03300820000004023</x:v>
      </x:c>
      <x:c r="AQ23" s="117" t="str">
        <x:v>True</x:v>
      </x:c>
      <x:c r="AR23" s="117" t="str">
        <x:v>True</x:v>
      </x:c>
      <x:c r="AS23" s="117" t="str">
        <x:v>True</x:v>
      </x:c>
      <x:c r="AT23" s="117" t="str">
        <x:v>0</x:v>
      </x:c>
      <x:c r="AU23" s="117" t="str">
        <x:v>0</x:v>
      </x:c>
      <x:c r="AV23" s="117" t="str"/>
      <x:c r="AW23" s="117" t="str">
        <x:v>0.0017588000046089292</x:v>
      </x:c>
      <x:c r="AX23" s="117" t="str">
        <x:v>36</x:v>
      </x:c>
      <x:c r="AY23" s="117" t="str">
        <x:v>36</x:v>
      </x:c>
      <x:c r="AZ23" s="117" t="str">
        <x:v>0.03476700000464916</x:v>
      </x:c>
      <x:c r="BA23" s="117" t="str">
        <x:v>True</x:v>
      </x:c>
      <x:c r="BB23" s="117" t="str">
        <x:v>0</x:v>
      </x:c>
      <x:c r="BC23" s="117" t="str">
        <x:v>0</x:v>
      </x:c>
      <x:c r="BD23" s="117" t="str">
        <x:v>0</x:v>
      </x:c>
      <x:c r="BE23" s="117" t="str">
        <x:v>36</x:v>
      </x:c>
      <x:c r="BF23" s="117" t="str">
        <x:v>0.08080880006309599</x:v>
      </x:c>
      <x:c r="BG23" s="117" t="str">
        <x:v>True</x:v>
      </x:c>
      <x:c r="BH23" s="117" t="str">
        <x:v>34</x:v>
      </x:c>
      <x:c r="BI23" s="117" t="str">
        <x:v>True</x:v>
      </x:c>
      <x:c r="BJ23" s="117" t="str">
        <x:v>57</x:v>
      </x:c>
      <x:c r="BK23" s="117" t="str">
        <x:v>34</x:v>
      </x:c>
      <x:c r="BL23" s="117" t="str">
        <x:v>0.052570699946954846</x:v>
      </x:c>
      <x:c r="BM23" s="117" t="str">
        <x:v>True</x:v>
      </x:c>
      <x:c r="BN23" s="117" t="str">
        <x:v>True</x:v>
      </x:c>
      <x:c r="BO23" s="117" t="str">
        <x:v>True</x:v>
      </x:c>
      <x:c r="BP23" s="117" t="str">
        <x:v>0</x:v>
      </x:c>
      <x:c r="BQ23" s="117" t="str">
        <x:v>0</x:v>
      </x:c>
      <x:c r="BR23" s="117" t="str"/>
      <x:c r="BS23" s="117" t="str">
        <x:v>0.0018283999525010586</x:v>
      </x:c>
      <x:c r="BT23" s="117" t="str">
        <x:v>34</x:v>
      </x:c>
      <x:c r="BU23" s="117" t="str">
        <x:v>34</x:v>
      </x:c>
      <x:c r="BV23" s="117" t="str">
        <x:v>0.054399099899455905</x:v>
      </x:c>
      <x:c r="BW23" s="117" t="str">
        <x:v>True</x:v>
      </x:c>
      <x:c r="BX23" s="117" t="str">
        <x:v>0</x:v>
      </x:c>
      <x:c r="BY23" s="117" t="str">
        <x:v>0</x:v>
      </x:c>
      <x:c r="BZ23" s="117" t="str">
        <x:v>0</x:v>
      </x:c>
      <x:c r="CA23" s="117" t="str">
        <x:v>30</x:v>
      </x:c>
      <x:c r="CB23" s="117" t="str">
        <x:v>0.21950730006210506</x:v>
      </x:c>
      <x:c r="CC23" s="117" t="str">
        <x:v>True</x:v>
      </x:c>
      <x:c r="CD23" s="117" t="str">
        <x:v>30</x:v>
      </x:c>
      <x:c r="CE23" s="117" t="str">
        <x:v>True</x:v>
      </x:c>
      <x:c r="CF23" s="117" t="str">
        <x:v>30</x:v>
      </x:c>
      <x:c r="CG23" s="117" t="str">
        <x:v>30</x:v>
      </x:c>
      <x:c r="CH23" s="117" t="str">
        <x:v>0.18324229994323105</x:v>
      </x:c>
      <x:c r="CI23" s="117" t="str">
        <x:v>True</x:v>
      </x:c>
      <x:c r="CJ23" s="117" t="str">
        <x:v>True</x:v>
      </x:c>
      <x:c r="CK23" s="117" t="str">
        <x:v>True</x:v>
      </x:c>
      <x:c r="CL23" s="117" t="str">
        <x:v>0</x:v>
      </x:c>
      <x:c r="CM23" s="117" t="str">
        <x:v>0</x:v>
      </x:c>
      <x:c r="CN23" s="117" t="str"/>
      <x:c r="CO23" s="117" t="str">
        <x:v>0.001613199943676591</x:v>
      </x:c>
      <x:c r="CP23" s="117" t="str">
        <x:v>30</x:v>
      </x:c>
      <x:c r="CQ23" s="117" t="str">
        <x:v>30</x:v>
      </x:c>
      <x:c r="CR23" s="117" t="str">
        <x:v>0.18485549988690764</x:v>
      </x:c>
      <x:c r="CS23" s="117" t="str">
        <x:v>True</x:v>
      </x:c>
      <x:c r="CT23" s="117" t="str">
        <x:v>0</x:v>
      </x:c>
      <x:c r="CU23" s="117" t="str">
        <x:v>0</x:v>
      </x:c>
      <x:c r="CV23" s="117" t="str">
        <x:v>0</x:v>
      </x:c>
    </x:row>
    <x:row r="24">
      <x:c r="A24" s="117" t="str">
        <x:v>100</x:v>
      </x:c>
      <x:c r="B24" s="117" t="str">
        <x:v>0.7</x:v>
      </x:c>
      <x:c r="C24" s="117" t="str">
        <x:v>2</x:v>
      </x:c>
      <x:c r="D24" s="117" t="str">
        <x:v>2882482730</x:v>
      </x:c>
      <x:c r="E24" s="117" t="str">
        <x:v>3580</x:v>
      </x:c>
      <x:c r="F24" s="117" t="str">
        <x:v>1</x:v>
      </x:c>
      <x:c r="G24" s="117" t="str">
        <x:v>100</x:v>
      </x:c>
      <x:c r="H24" s="117" t="str">
        <x:v>71.6</x:v>
      </x:c>
      <x:c r="I24" s="117" t="str">
        <x:v>0.7232323232323232</x:v>
      </x:c>
      <x:c r="J24" s="117" t="str">
        <x:v>5</x:v>
      </x:c>
      <x:c r="K24" s="117" t="str">
        <x:v>circle,zoomed,ich,grid</x:v>
      </x:c>
      <x:c r="L24" s="117" t="str">
        <x:v>historical baseline; not timed in this repair session</x:v>
      </x:c>
      <x:c r="M24" s="117" t="str">
        <x:v>31</x:v>
      </x:c>
      <x:c r="N24" s="117" t="str">
        <x:v>0.13903030008077621</x:v>
      </x:c>
      <x:c r="O24" s="117" t="str">
        <x:v>True</x:v>
      </x:c>
      <x:c r="P24" s="117" t="str">
        <x:v>32</x:v>
      </x:c>
      <x:c r="Q24" s="117" t="str">
        <x:v>True</x:v>
      </x:c>
      <x:c r="R24" s="117" t="str">
        <x:v>33</x:v>
      </x:c>
      <x:c r="S24" s="117" t="str">
        <x:v>32</x:v>
      </x:c>
      <x:c r="T24" s="117" t="str">
        <x:v>0.0996813999954611</x:v>
      </x:c>
      <x:c r="U24" s="117" t="str">
        <x:v>True</x:v>
      </x:c>
      <x:c r="V24" s="117" t="str">
        <x:v>True</x:v>
      </x:c>
      <x:c r="W24" s="117" t="str">
        <x:v>True</x:v>
      </x:c>
      <x:c r="X24" s="117" t="str">
        <x:v>0</x:v>
      </x:c>
      <x:c r="Y24" s="117" t="str">
        <x:v>0</x:v>
      </x:c>
      <x:c r="Z24" s="117" t="str"/>
      <x:c r="AA24" s="117" t="str">
        <x:v>0.0015937000280246139</x:v>
      </x:c>
      <x:c r="AB24" s="117" t="str">
        <x:v>32</x:v>
      </x:c>
      <x:c r="AC24" s="117" t="str">
        <x:v>32</x:v>
      </x:c>
      <x:c r="AD24" s="117" t="str">
        <x:v>0.10127510002348572</x:v>
      </x:c>
      <x:c r="AE24" s="117" t="str">
        <x:v>True</x:v>
      </x:c>
      <x:c r="AF24" s="117" t="str">
        <x:v>0</x:v>
      </x:c>
      <x:c r="AG24" s="117" t="str">
        <x:v>0</x:v>
      </x:c>
      <x:c r="AH24" s="117" t="str">
        <x:v>0</x:v>
      </x:c>
      <x:c r="AI24" s="117" t="str">
        <x:v>43</x:v>
      </x:c>
      <x:c r="AJ24" s="117" t="str">
        <x:v>0.06621590000577271</x:v>
      </x:c>
      <x:c r="AK24" s="117" t="str">
        <x:v>True</x:v>
      </x:c>
      <x:c r="AL24" s="117" t="str">
        <x:v>41</x:v>
      </x:c>
      <x:c r="AM24" s="117" t="str">
        <x:v>True</x:v>
      </x:c>
      <x:c r="AN24" s="117" t="str">
        <x:v>85</x:v>
      </x:c>
      <x:c r="AO24" s="117" t="str">
        <x:v>41</x:v>
      </x:c>
      <x:c r="AP24" s="117" t="str">
        <x:v>0.060483000008389354</x:v>
      </x:c>
      <x:c r="AQ24" s="117" t="str">
        <x:v>True</x:v>
      </x:c>
      <x:c r="AR24" s="117" t="str">
        <x:v>True</x:v>
      </x:c>
      <x:c r="AS24" s="117" t="str">
        <x:v>True</x:v>
      </x:c>
      <x:c r="AT24" s="117" t="str">
        <x:v>0</x:v>
      </x:c>
      <x:c r="AU24" s="117" t="str">
        <x:v>0</x:v>
      </x:c>
      <x:c r="AV24" s="117" t="str"/>
      <x:c r="AW24" s="117" t="str">
        <x:v>0.0016512000001966953</x:v>
      </x:c>
      <x:c r="AX24" s="117" t="str">
        <x:v>41</x:v>
      </x:c>
      <x:c r="AY24" s="117" t="str">
        <x:v>41</x:v>
      </x:c>
      <x:c r="AZ24" s="117" t="str">
        <x:v>0.06213420000858605</x:v>
      </x:c>
      <x:c r="BA24" s="117" t="str">
        <x:v>True</x:v>
      </x:c>
      <x:c r="BB24" s="117" t="str">
        <x:v>0</x:v>
      </x:c>
      <x:c r="BC24" s="117" t="str">
        <x:v>0</x:v>
      </x:c>
      <x:c r="BD24" s="117" t="str">
        <x:v>0</x:v>
      </x:c>
      <x:c r="BE24" s="117" t="str">
        <x:v>38</x:v>
      </x:c>
      <x:c r="BF24" s="117" t="str">
        <x:v>0.11886440007947385</x:v>
      </x:c>
      <x:c r="BG24" s="117" t="str">
        <x:v>True</x:v>
      </x:c>
      <x:c r="BH24" s="117" t="str">
        <x:v>38</x:v>
      </x:c>
      <x:c r="BI24" s="117" t="str">
        <x:v>True</x:v>
      </x:c>
      <x:c r="BJ24" s="117" t="str">
        <x:v>39</x:v>
      </x:c>
      <x:c r="BK24" s="117" t="str">
        <x:v>38</x:v>
      </x:c>
      <x:c r="BL24" s="117" t="str">
        <x:v>0.08468480000738055</x:v>
      </x:c>
      <x:c r="BM24" s="117" t="str">
        <x:v>True</x:v>
      </x:c>
      <x:c r="BN24" s="117" t="str">
        <x:v>True</x:v>
      </x:c>
      <x:c r="BO24" s="117" t="str">
        <x:v>True</x:v>
      </x:c>
      <x:c r="BP24" s="117" t="str">
        <x:v>0</x:v>
      </x:c>
      <x:c r="BQ24" s="117" t="str">
        <x:v>0</x:v>
      </x:c>
      <x:c r="BR24" s="117" t="str"/>
      <x:c r="BS24" s="117" t="str">
        <x:v>0.0020072999177500606</x:v>
      </x:c>
      <x:c r="BT24" s="117" t="str">
        <x:v>38</x:v>
      </x:c>
      <x:c r="BU24" s="117" t="str">
        <x:v>38</x:v>
      </x:c>
      <x:c r="BV24" s="117" t="str">
        <x:v>0.0866920999251306</x:v>
      </x:c>
      <x:c r="BW24" s="117" t="str">
        <x:v>True</x:v>
      </x:c>
      <x:c r="BX24" s="117" t="str">
        <x:v>0</x:v>
      </x:c>
      <x:c r="BY24" s="117" t="str">
        <x:v>0</x:v>
      </x:c>
      <x:c r="BZ24" s="117" t="str">
        <x:v>0</x:v>
      </x:c>
      <x:c r="CA24" s="117" t="str">
        <x:v>31</x:v>
      </x:c>
      <x:c r="CB24" s="117" t="str">
        <x:v>0.23325010004919022</x:v>
      </x:c>
      <x:c r="CC24" s="117" t="str">
        <x:v>True</x:v>
      </x:c>
      <x:c r="CD24" s="117" t="str">
        <x:v>31</x:v>
      </x:c>
      <x:c r="CE24" s="117" t="str">
        <x:v>True</x:v>
      </x:c>
      <x:c r="CF24" s="117" t="str">
        <x:v>31</x:v>
      </x:c>
      <x:c r="CG24" s="117" t="str">
        <x:v>31</x:v>
      </x:c>
      <x:c r="CH24" s="117" t="str">
        <x:v>0.1952369000064209</x:v>
      </x:c>
      <x:c r="CI24" s="117" t="str">
        <x:v>True</x:v>
      </x:c>
      <x:c r="CJ24" s="117" t="str">
        <x:v>True</x:v>
      </x:c>
      <x:c r="CK24" s="117" t="str">
        <x:v>True</x:v>
      </x:c>
      <x:c r="CL24" s="117" t="str">
        <x:v>0</x:v>
      </x:c>
      <x:c r="CM24" s="117" t="str">
        <x:v>0</x:v>
      </x:c>
      <x:c r="CN24" s="117" t="str"/>
      <x:c r="CO24" s="117" t="str">
        <x:v>0.001357999979518354</x:v>
      </x:c>
      <x:c r="CP24" s="117" t="str">
        <x:v>31</x:v>
      </x:c>
      <x:c r="CQ24" s="117" t="str">
        <x:v>31</x:v>
      </x:c>
      <x:c r="CR24" s="117" t="str">
        <x:v>0.19659489998593926</x:v>
      </x:c>
      <x:c r="CS24" s="117" t="str">
        <x:v>True</x:v>
      </x:c>
      <x:c r="CT24" s="117" t="str">
        <x:v>0</x:v>
      </x:c>
      <x:c r="CU24" s="117" t="str">
        <x:v>0</x:v>
      </x:c>
      <x:c r="CV24" s="117" t="str">
        <x:v>0</x:v>
      </x:c>
    </x:row>
    <x:row r="25">
      <x:c r="A25" s="117" t="str">
        <x:v>100</x:v>
      </x:c>
      <x:c r="B25" s="117" t="str">
        <x:v>0.7</x:v>
      </x:c>
      <x:c r="C25" s="117" t="str">
        <x:v>3</x:v>
      </x:c>
      <x:c r="D25" s="117" t="str">
        <x:v>4029645260</x:v>
      </x:c>
      <x:c r="E25" s="117" t="str">
        <x:v>3743</x:v>
      </x:c>
      <x:c r="F25" s="117" t="str">
        <x:v>1</x:v>
      </x:c>
      <x:c r="G25" s="117" t="str">
        <x:v>100</x:v>
      </x:c>
      <x:c r="H25" s="117" t="str">
        <x:v>74.86</x:v>
      </x:c>
      <x:c r="I25" s="117" t="str">
        <x:v>0.7561616161616161</x:v>
      </x:c>
      <x:c r="J25" s="117" t="str">
        <x:v>5</x:v>
      </x:c>
      <x:c r="K25" s="117" t="str">
        <x:v>zoomed,ich,grid,circle</x:v>
      </x:c>
      <x:c r="L25" s="117" t="str">
        <x:v>historical baseline; not timed in this repair session</x:v>
      </x:c>
      <x:c r="M25" s="117" t="str">
        <x:v>37</x:v>
      </x:c>
      <x:c r="N25" s="117" t="str">
        <x:v>0.1418143999762833</x:v>
      </x:c>
      <x:c r="O25" s="117" t="str">
        <x:v>True</x:v>
      </x:c>
      <x:c r="P25" s="117" t="str">
        <x:v>35</x:v>
      </x:c>
      <x:c r="Q25" s="117" t="str">
        <x:v>True</x:v>
      </x:c>
      <x:c r="R25" s="117" t="str">
        <x:v>37</x:v>
      </x:c>
      <x:c r="S25" s="117" t="str">
        <x:v>35</x:v>
      </x:c>
      <x:c r="T25" s="117" t="str">
        <x:v>0.1149409000063315</x:v>
      </x:c>
      <x:c r="U25" s="117" t="str">
        <x:v>True</x:v>
      </x:c>
      <x:c r="V25" s="117" t="str">
        <x:v>True</x:v>
      </x:c>
      <x:c r="W25" s="117" t="str">
        <x:v>True</x:v>
      </x:c>
      <x:c r="X25" s="117" t="str">
        <x:v>0</x:v>
      </x:c>
      <x:c r="Y25" s="117" t="str">
        <x:v>0</x:v>
      </x:c>
      <x:c r="Z25" s="117" t="str"/>
      <x:c r="AA25" s="117" t="str">
        <x:v>0.0016569000435993075</x:v>
      </x:c>
      <x:c r="AB25" s="117" t="str">
        <x:v>35</x:v>
      </x:c>
      <x:c r="AC25" s="117" t="str">
        <x:v>35</x:v>
      </x:c>
      <x:c r="AD25" s="117" t="str">
        <x:v>0.11659780004993081</x:v>
      </x:c>
      <x:c r="AE25" s="117" t="str">
        <x:v>True</x:v>
      </x:c>
      <x:c r="AF25" s="117" t="str">
        <x:v>0</x:v>
      </x:c>
      <x:c r="AG25" s="117" t="str">
        <x:v>0</x:v>
      </x:c>
      <x:c r="AH25" s="117" t="str">
        <x:v>0</x:v>
      </x:c>
      <x:c r="AI25" s="117" t="str">
        <x:v>44</x:v>
      </x:c>
      <x:c r="AJ25" s="117" t="str">
        <x:v>0.06153230008203536</x:v>
      </x:c>
      <x:c r="AK25" s="117" t="str">
        <x:v>True</x:v>
      </x:c>
      <x:c r="AL25" s="117" t="str">
        <x:v>47</x:v>
      </x:c>
      <x:c r="AM25" s="117" t="str">
        <x:v>True</x:v>
      </x:c>
      <x:c r="AN25" s="117" t="str">
        <x:v>72</x:v>
      </x:c>
      <x:c r="AO25" s="117" t="str">
        <x:v>47</x:v>
      </x:c>
      <x:c r="AP25" s="117" t="str">
        <x:v>0.045267999987117946</x:v>
      </x:c>
      <x:c r="AQ25" s="117" t="str">
        <x:v>True</x:v>
      </x:c>
      <x:c r="AR25" s="117" t="str">
        <x:v>True</x:v>
      </x:c>
      <x:c r="AS25" s="117" t="str">
        <x:v>True</x:v>
      </x:c>
      <x:c r="AT25" s="117" t="str">
        <x:v>0</x:v>
      </x:c>
      <x:c r="AU25" s="117" t="str">
        <x:v>0</x:v>
      </x:c>
      <x:c r="AV25" s="117" t="str"/>
      <x:c r="AW25" s="117" t="str">
        <x:v>0.0019488000543788075</x:v>
      </x:c>
      <x:c r="AX25" s="117" t="str">
        <x:v>47</x:v>
      </x:c>
      <x:c r="AY25" s="117" t="str">
        <x:v>47</x:v>
      </x:c>
      <x:c r="AZ25" s="117" t="str">
        <x:v>0.047216800041496754</x:v>
      </x:c>
      <x:c r="BA25" s="117" t="str">
        <x:v>True</x:v>
      </x:c>
      <x:c r="BB25" s="117" t="str">
        <x:v>0</x:v>
      </x:c>
      <x:c r="BC25" s="117" t="str">
        <x:v>0</x:v>
      </x:c>
      <x:c r="BD25" s="117" t="str">
        <x:v>0</x:v>
      </x:c>
      <x:c r="BE25" s="117" t="str">
        <x:v>39</x:v>
      </x:c>
      <x:c r="BF25" s="117" t="str">
        <x:v>0.08186319994274527</x:v>
      </x:c>
      <x:c r="BG25" s="117" t="str">
        <x:v>True</x:v>
      </x:c>
      <x:c r="BH25" s="117" t="str">
        <x:v>36</x:v>
      </x:c>
      <x:c r="BI25" s="117" t="str">
        <x:v>True</x:v>
      </x:c>
      <x:c r="BJ25" s="117" t="str">
        <x:v>58</x:v>
      </x:c>
      <x:c r="BK25" s="117" t="str">
        <x:v>36</x:v>
      </x:c>
      <x:c r="BL25" s="117" t="str">
        <x:v>0.0682685999199748</x:v>
      </x:c>
      <x:c r="BM25" s="117" t="str">
        <x:v>True</x:v>
      </x:c>
      <x:c r="BN25" s="117" t="str">
        <x:v>True</x:v>
      </x:c>
      <x:c r="BO25" s="117" t="str">
        <x:v>True</x:v>
      </x:c>
      <x:c r="BP25" s="117" t="str">
        <x:v>0</x:v>
      </x:c>
      <x:c r="BQ25" s="117" t="str">
        <x:v>0</x:v>
      </x:c>
      <x:c r="BR25" s="117" t="str"/>
      <x:c r="BS25" s="117" t="str">
        <x:v>0.0015496000414714217</x:v>
      </x:c>
      <x:c r="BT25" s="117" t="str">
        <x:v>36</x:v>
      </x:c>
      <x:c r="BU25" s="117" t="str">
        <x:v>36</x:v>
      </x:c>
      <x:c r="BV25" s="117" t="str">
        <x:v>0.06981819996144623</x:v>
      </x:c>
      <x:c r="BW25" s="117" t="str">
        <x:v>True</x:v>
      </x:c>
      <x:c r="BX25" s="117" t="str">
        <x:v>0</x:v>
      </x:c>
      <x:c r="BY25" s="117" t="str">
        <x:v>0</x:v>
      </x:c>
      <x:c r="BZ25" s="117" t="str">
        <x:v>0</x:v>
      </x:c>
      <x:c r="CA25" s="117" t="str">
        <x:v>36</x:v>
      </x:c>
      <x:c r="CB25" s="117" t="str">
        <x:v>0.30019280000124127</x:v>
      </x:c>
      <x:c r="CC25" s="117" t="str">
        <x:v>True</x:v>
      </x:c>
      <x:c r="CD25" s="117" t="str">
        <x:v>36</x:v>
      </x:c>
      <x:c r="CE25" s="117" t="str">
        <x:v>True</x:v>
      </x:c>
      <x:c r="CF25" s="117" t="str">
        <x:v>36</x:v>
      </x:c>
      <x:c r="CG25" s="117" t="str">
        <x:v>36</x:v>
      </x:c>
      <x:c r="CH25" s="117" t="str">
        <x:v>0.19514470000285655</x:v>
      </x:c>
      <x:c r="CI25" s="117" t="str">
        <x:v>True</x:v>
      </x:c>
      <x:c r="CJ25" s="117" t="str">
        <x:v>True</x:v>
      </x:c>
      <x:c r="CK25" s="117" t="str">
        <x:v>True</x:v>
      </x:c>
      <x:c r="CL25" s="117" t="str">
        <x:v>0</x:v>
      </x:c>
      <x:c r="CM25" s="117" t="str">
        <x:v>0</x:v>
      </x:c>
      <x:c r="CN25" s="117" t="str"/>
      <x:c r="CO25" s="117" t="str">
        <x:v>0.00225939997471869</x:v>
      </x:c>
      <x:c r="CP25" s="117" t="str">
        <x:v>36</x:v>
      </x:c>
      <x:c r="CQ25" s="117" t="str">
        <x:v>36</x:v>
      </x:c>
      <x:c r="CR25" s="117" t="str">
        <x:v>0.19740409997757524</x:v>
      </x:c>
      <x:c r="CS25" s="117" t="str">
        <x:v>True</x:v>
      </x:c>
      <x:c r="CT25" s="117" t="str">
        <x:v>0</x:v>
      </x:c>
      <x:c r="CU25" s="117" t="str">
        <x:v>0</x:v>
      </x:c>
      <x:c r="CV25" s="117" t="str">
        <x:v>0</x:v>
      </x:c>
    </x:row>
    <x:row r="26">
      <x:c r="A26" s="117" t="str">
        <x:v>200</x:v>
      </x:c>
      <x:c r="B26" s="117" t="str">
        <x:v>0.1</x:v>
      </x:c>
      <x:c r="C26" s="117" t="str">
        <x:v>1</x:v>
      </x:c>
      <x:c r="D26" s="117" t="str">
        <x:v>1851999943</x:v>
      </x:c>
      <x:c r="E26" s="117" t="str">
        <x:v>626</x:v>
      </x:c>
      <x:c r="F26" s="117" t="str">
        <x:v>4</x:v>
      </x:c>
      <x:c r="G26" s="117" t="str">
        <x:v>196</x:v>
      </x:c>
      <x:c r="H26" s="117" t="str">
        <x:v>6.26</x:v>
      </x:c>
      <x:c r="I26" s="117" t="str">
        <x:v>0.0314572864321608</x:v>
      </x:c>
      <x:c r="J26" s="117" t="str">
        <x:v>5</x:v>
      </x:c>
      <x:c r="K26" s="117" t="str">
        <x:v>grid,circle,zoomed,ich</x:v>
      </x:c>
      <x:c r="L26" s="117" t="str">
        <x:v>historical baseline; not timed in this repair session</x:v>
      </x:c>
      <x:c r="M26" s="117" t="str">
        <x:v>117</x:v>
      </x:c>
      <x:c r="N26" s="117" t="str">
        <x:v>0.03343090007547289</x:v>
      </x:c>
      <x:c r="O26" s="117" t="str">
        <x:v>False</x:v>
      </x:c>
      <x:c r="P26" s="117" t="str">
        <x:v>82</x:v>
      </x:c>
      <x:c r="Q26" s="117" t="str">
        <x:v>False</x:v>
      </x:c>
      <x:c r="R26" s="117" t="str">
        <x:v>82</x:v>
      </x:c>
      <x:c r="S26" s="117" t="str">
        <x:v>82</x:v>
      </x:c>
      <x:c r="T26" s="117" t="str">
        <x:v>0.02013179997447878</x:v>
      </x:c>
      <x:c r="U26" s="117" t="str">
        <x:v>False</x:v>
      </x:c>
      <x:c r="V26" s="117" t="str">
        <x:v>True</x:v>
      </x:c>
      <x:c r="W26" s="117" t="str">
        <x:v>True</x:v>
      </x:c>
      <x:c r="X26" s="117" t="str">
        <x:v>2</x:v>
      </x:c>
      <x:c r="Y26" s="117" t="str">
        <x:v>2</x:v>
      </x:c>
      <x:c r="Z26" s="117" t="str">
        <x:v>19,86</x:v>
      </x:c>
      <x:c r="AA26" s="117" t="str">
        <x:v>0.08360420004464686</x:v>
      </x:c>
      <x:c r="AB26" s="117" t="str">
        <x:v>84</x:v>
      </x:c>
      <x:c r="AC26" s="117" t="str">
        <x:v>33</x:v>
      </x:c>
      <x:c r="AD26" s="117" t="str">
        <x:v>0.10373600001912564</x:v>
      </x:c>
      <x:c r="AE26" s="117" t="str">
        <x:v>True</x:v>
      </x:c>
      <x:c r="AF26" s="117" t="str">
        <x:v>0</x:v>
      </x:c>
      <x:c r="AG26" s="117" t="str">
        <x:v>51</x:v>
      </x:c>
      <x:c r="AH26" s="117" t="str">
        <x:v>-49</x:v>
      </x:c>
      <x:c r="AI26" s="117" t="str">
        <x:v>31</x:v>
      </x:c>
      <x:c r="AJ26" s="117" t="str">
        <x:v>0.1056455000070855</x:v>
      </x:c>
      <x:c r="AK26" s="117" t="str">
        <x:v>True</x:v>
      </x:c>
      <x:c r="AL26" s="117" t="str">
        <x:v>32</x:v>
      </x:c>
      <x:c r="AM26" s="117" t="str">
        <x:v>True</x:v>
      </x:c>
      <x:c r="AN26" s="117" t="str">
        <x:v>111</x:v>
      </x:c>
      <x:c r="AO26" s="117" t="str">
        <x:v>32</x:v>
      </x:c>
      <x:c r="AP26" s="117" t="str">
        <x:v>0.08607740001752973</x:v>
      </x:c>
      <x:c r="AQ26" s="117" t="str">
        <x:v>True</x:v>
      </x:c>
      <x:c r="AR26" s="117" t="str">
        <x:v>True</x:v>
      </x:c>
      <x:c r="AS26" s="117" t="str">
        <x:v>True</x:v>
      </x:c>
      <x:c r="AT26" s="117" t="str">
        <x:v>0</x:v>
      </x:c>
      <x:c r="AU26" s="117" t="str">
        <x:v>0</x:v>
      </x:c>
      <x:c r="AV26" s="117" t="str"/>
      <x:c r="AW26" s="117" t="str">
        <x:v>0.004289699951186776</x:v>
      </x:c>
      <x:c r="AX26" s="117" t="str">
        <x:v>32</x:v>
      </x:c>
      <x:c r="AY26" s="117" t="str">
        <x:v>32</x:v>
      </x:c>
      <x:c r="AZ26" s="117" t="str">
        <x:v>0.0903670999687165</x:v>
      </x:c>
      <x:c r="BA26" s="117" t="str">
        <x:v>True</x:v>
      </x:c>
      <x:c r="BB26" s="117" t="str">
        <x:v>0</x:v>
      </x:c>
      <x:c r="BC26" s="117" t="str">
        <x:v>0</x:v>
      </x:c>
      <x:c r="BD26" s="117" t="str">
        <x:v>0</x:v>
      </x:c>
      <x:c r="BE26" s="117" t="str">
        <x:v>33</x:v>
      </x:c>
      <x:c r="BF26" s="117" t="str">
        <x:v>0.10092989995609969</x:v>
      </x:c>
      <x:c r="BG26" s="117" t="str">
        <x:v>True</x:v>
      </x:c>
      <x:c r="BH26" s="117" t="str">
        <x:v>32</x:v>
      </x:c>
      <x:c r="BI26" s="117" t="str">
        <x:v>True</x:v>
      </x:c>
      <x:c r="BJ26" s="117" t="str">
        <x:v>110</x:v>
      </x:c>
      <x:c r="BK26" s="117" t="str">
        <x:v>32</x:v>
      </x:c>
      <x:c r="BL26" s="117" t="str">
        <x:v>0.12326180003583431</x:v>
      </x:c>
      <x:c r="BM26" s="117" t="str">
        <x:v>True</x:v>
      </x:c>
      <x:c r="BN26" s="117" t="str">
        <x:v>True</x:v>
      </x:c>
      <x:c r="BO26" s="117" t="str">
        <x:v>True</x:v>
      </x:c>
      <x:c r="BP26" s="117" t="str">
        <x:v>0</x:v>
      </x:c>
      <x:c r="BQ26" s="117" t="str">
        <x:v>0</x:v>
      </x:c>
      <x:c r="BR26" s="117" t="str"/>
      <x:c r="BS26" s="117" t="str">
        <x:v>0.004078899975866079</x:v>
      </x:c>
      <x:c r="BT26" s="117" t="str">
        <x:v>32</x:v>
      </x:c>
      <x:c r="BU26" s="117" t="str">
        <x:v>32</x:v>
      </x:c>
      <x:c r="BV26" s="117" t="str">
        <x:v>0.1273407000117004</x:v>
      </x:c>
      <x:c r="BW26" s="117" t="str">
        <x:v>True</x:v>
      </x:c>
      <x:c r="BX26" s="117" t="str">
        <x:v>0</x:v>
      </x:c>
      <x:c r="BY26" s="117" t="str">
        <x:v>0</x:v>
      </x:c>
      <x:c r="BZ26" s="117" t="str">
        <x:v>0</x:v>
      </x:c>
      <x:c r="CA26" s="117" t="str">
        <x:v>33</x:v>
      </x:c>
      <x:c r="CB26" s="117" t="str">
        <x:v>1.5109264999628067</x:v>
      </x:c>
      <x:c r="CC26" s="117" t="str">
        <x:v>True</x:v>
      </x:c>
      <x:c r="CD26" s="117" t="str">
        <x:v>33</x:v>
      </x:c>
      <x:c r="CE26" s="117" t="str">
        <x:v>True</x:v>
      </x:c>
      <x:c r="CF26" s="117" t="str">
        <x:v>33</x:v>
      </x:c>
      <x:c r="CG26" s="117" t="str">
        <x:v>33</x:v>
      </x:c>
      <x:c r="CH26" s="117" t="str">
        <x:v>1.1163738999748603</x:v>
      </x:c>
      <x:c r="CI26" s="117" t="str">
        <x:v>True</x:v>
      </x:c>
      <x:c r="CJ26" s="117" t="str">
        <x:v>True</x:v>
      </x:c>
      <x:c r="CK26" s="117" t="str">
        <x:v>True</x:v>
      </x:c>
      <x:c r="CL26" s="117" t="str">
        <x:v>0</x:v>
      </x:c>
      <x:c r="CM26" s="117" t="str">
        <x:v>0</x:v>
      </x:c>
      <x:c r="CN26" s="117" t="str"/>
      <x:c r="CO26" s="117" t="str">
        <x:v>0.004596000071614981</x:v>
      </x:c>
      <x:c r="CP26" s="117" t="str">
        <x:v>33</x:v>
      </x:c>
      <x:c r="CQ26" s="117" t="str">
        <x:v>33</x:v>
      </x:c>
      <x:c r="CR26" s="117" t="str">
        <x:v>1.1209699000464752</x:v>
      </x:c>
      <x:c r="CS26" s="117" t="str">
        <x:v>True</x:v>
      </x:c>
      <x:c r="CT26" s="117" t="str">
        <x:v>0</x:v>
      </x:c>
      <x:c r="CU26" s="117" t="str">
        <x:v>0</x:v>
      </x:c>
      <x:c r="CV26" s="117" t="str">
        <x:v>0</x:v>
      </x:c>
    </x:row>
    <x:row r="27">
      <x:c r="A27" s="117" t="str">
        <x:v>200</x:v>
      </x:c>
      <x:c r="B27" s="117" t="str">
        <x:v>0.1</x:v>
      </x:c>
      <x:c r="C27" s="117" t="str">
        <x:v>2</x:v>
      </x:c>
      <x:c r="D27" s="117" t="str">
        <x:v>1039340281</x:v>
      </x:c>
      <x:c r="E27" s="117" t="str">
        <x:v>593</x:v>
      </x:c>
      <x:c r="F27" s="117" t="str">
        <x:v>4</x:v>
      </x:c>
      <x:c r="G27" s="117" t="str">
        <x:v>190</x:v>
      </x:c>
      <x:c r="H27" s="117" t="str">
        <x:v>5.93</x:v>
      </x:c>
      <x:c r="I27" s="117" t="str">
        <x:v>0.02979899497487437</x:v>
      </x:c>
      <x:c r="J27" s="117" t="str">
        <x:v>5</x:v>
      </x:c>
      <x:c r="K27" s="117" t="str">
        <x:v>circle,zoomed,ich,grid</x:v>
      </x:c>
      <x:c r="L27" s="117" t="str">
        <x:v>historical baseline; not timed in this repair session</x:v>
      </x:c>
      <x:c r="M27" s="117" t="str">
        <x:v>44</x:v>
      </x:c>
      <x:c r="N27" s="117" t="str">
        <x:v>0.08387530001346022</x:v>
      </x:c>
      <x:c r="O27" s="117" t="str">
        <x:v>True</x:v>
      </x:c>
      <x:c r="P27" s="117" t="str">
        <x:v>87</x:v>
      </x:c>
      <x:c r="Q27" s="117" t="str">
        <x:v>False</x:v>
      </x:c>
      <x:c r="R27" s="117" t="str">
        <x:v>87</x:v>
      </x:c>
      <x:c r="S27" s="117" t="str">
        <x:v>87</x:v>
      </x:c>
      <x:c r="T27" s="117" t="str">
        <x:v>0.020228900015354156</x:v>
      </x:c>
      <x:c r="U27" s="117" t="str">
        <x:v>False</x:v>
      </x:c>
      <x:c r="V27" s="117" t="str">
        <x:v>True</x:v>
      </x:c>
      <x:c r="W27" s="117" t="str">
        <x:v>True</x:v>
      </x:c>
      <x:c r="X27" s="117" t="str">
        <x:v>2</x:v>
      </x:c>
      <x:c r="Y27" s="117" t="str">
        <x:v>2</x:v>
      </x:c>
      <x:c r="Z27" s="117" t="str">
        <x:v>142,159</x:v>
      </x:c>
      <x:c r="AA27" s="117" t="str">
        <x:v>0.08288480003830045</x:v>
      </x:c>
      <x:c r="AB27" s="117" t="str">
        <x:v>89</x:v>
      </x:c>
      <x:c r="AC27" s="117" t="str">
        <x:v>44</x:v>
      </x:c>
      <x:c r="AD27" s="117" t="str">
        <x:v>0.10311370005365461</x:v>
      </x:c>
      <x:c r="AE27" s="117" t="str">
        <x:v>True</x:v>
      </x:c>
      <x:c r="AF27" s="117" t="str">
        <x:v>0</x:v>
      </x:c>
      <x:c r="AG27" s="117" t="str">
        <x:v>45</x:v>
      </x:c>
      <x:c r="AH27" s="117" t="str">
        <x:v>-43</x:v>
      </x:c>
      <x:c r="AI27" s="117" t="str">
        <x:v>45</x:v>
      </x:c>
      <x:c r="AJ27" s="117" t="str">
        <x:v>0.1516734000761062</x:v>
      </x:c>
      <x:c r="AK27" s="117" t="str">
        <x:v>True</x:v>
      </x:c>
      <x:c r="AL27" s="117" t="str">
        <x:v>45</x:v>
      </x:c>
      <x:c r="AM27" s="117" t="str">
        <x:v>True</x:v>
      </x:c>
      <x:c r="AN27" s="117" t="str">
        <x:v>106</x:v>
      </x:c>
      <x:c r="AO27" s="117" t="str">
        <x:v>45</x:v>
      </x:c>
      <x:c r="AP27" s="117" t="str">
        <x:v>0.09158889995887876</x:v>
      </x:c>
      <x:c r="AQ27" s="117" t="str">
        <x:v>True</x:v>
      </x:c>
      <x:c r="AR27" s="117" t="str">
        <x:v>True</x:v>
      </x:c>
      <x:c r="AS27" s="117" t="str">
        <x:v>True</x:v>
      </x:c>
      <x:c r="AT27" s="117" t="str">
        <x:v>0</x:v>
      </x:c>
      <x:c r="AU27" s="117" t="str">
        <x:v>0</x:v>
      </x:c>
      <x:c r="AV27" s="117" t="str"/>
      <x:c r="AW27" s="117" t="str">
        <x:v>0.005174900055862963</x:v>
      </x:c>
      <x:c r="AX27" s="117" t="str">
        <x:v>45</x:v>
      </x:c>
      <x:c r="AY27" s="117" t="str">
        <x:v>45</x:v>
      </x:c>
      <x:c r="AZ27" s="117" t="str">
        <x:v>0.09676380001474172</x:v>
      </x:c>
      <x:c r="BA27" s="117" t="str">
        <x:v>True</x:v>
      </x:c>
      <x:c r="BB27" s="117" t="str">
        <x:v>0</x:v>
      </x:c>
      <x:c r="BC27" s="117" t="str">
        <x:v>0</x:v>
      </x:c>
      <x:c r="BD27" s="117" t="str">
        <x:v>0</x:v>
      </x:c>
      <x:c r="BE27" s="117" t="str">
        <x:v>44</x:v>
      </x:c>
      <x:c r="BF27" s="117" t="str">
        <x:v>0.12246049998793751</x:v>
      </x:c>
      <x:c r="BG27" s="117" t="str">
        <x:v>True</x:v>
      </x:c>
      <x:c r="BH27" s="117" t="str">
        <x:v>45</x:v>
      </x:c>
      <x:c r="BI27" s="117" t="str">
        <x:v>True</x:v>
      </x:c>
      <x:c r="BJ27" s="117" t="str">
        <x:v>117</x:v>
      </x:c>
      <x:c r="BK27" s="117" t="str">
        <x:v>45</x:v>
      </x:c>
      <x:c r="BL27" s="117" t="str">
        <x:v>0.09426089993212372</x:v>
      </x:c>
      <x:c r="BM27" s="117" t="str">
        <x:v>True</x:v>
      </x:c>
      <x:c r="BN27" s="117" t="str">
        <x:v>True</x:v>
      </x:c>
      <x:c r="BO27" s="117" t="str">
        <x:v>True</x:v>
      </x:c>
      <x:c r="BP27" s="117" t="str">
        <x:v>0</x:v>
      </x:c>
      <x:c r="BQ27" s="117" t="str">
        <x:v>0</x:v>
      </x:c>
      <x:c r="BR27" s="117" t="str"/>
      <x:c r="BS27" s="117" t="str">
        <x:v>0.004356199991889298</x:v>
      </x:c>
      <x:c r="BT27" s="117" t="str">
        <x:v>45</x:v>
      </x:c>
      <x:c r="BU27" s="117" t="str">
        <x:v>45</x:v>
      </x:c>
      <x:c r="BV27" s="117" t="str">
        <x:v>0.09861709992401302</x:v>
      </x:c>
      <x:c r="BW27" s="117" t="str">
        <x:v>True</x:v>
      </x:c>
      <x:c r="BX27" s="117" t="str">
        <x:v>0</x:v>
      </x:c>
      <x:c r="BY27" s="117" t="str">
        <x:v>0</x:v>
      </x:c>
      <x:c r="BZ27" s="117" t="str">
        <x:v>0</x:v>
      </x:c>
      <x:c r="CA27" s="117" t="str">
        <x:v>43</x:v>
      </x:c>
      <x:c r="CB27" s="117" t="str">
        <x:v>1.377234200015664</x:v>
      </x:c>
      <x:c r="CC27" s="117" t="str">
        <x:v>True</x:v>
      </x:c>
      <x:c r="CD27" s="117" t="str">
        <x:v>43</x:v>
      </x:c>
      <x:c r="CE27" s="117" t="str">
        <x:v>True</x:v>
      </x:c>
      <x:c r="CF27" s="117" t="str">
        <x:v>43</x:v>
      </x:c>
      <x:c r="CG27" s="117" t="str">
        <x:v>43</x:v>
      </x:c>
      <x:c r="CH27" s="117" t="str">
        <x:v>1.298745199921541</x:v>
      </x:c>
      <x:c r="CI27" s="117" t="str">
        <x:v>True</x:v>
      </x:c>
      <x:c r="CJ27" s="117" t="str">
        <x:v>True</x:v>
      </x:c>
      <x:c r="CK27" s="117" t="str">
        <x:v>True</x:v>
      </x:c>
      <x:c r="CL27" s="117" t="str">
        <x:v>0</x:v>
      </x:c>
      <x:c r="CM27" s="117" t="str">
        <x:v>0</x:v>
      </x:c>
      <x:c r="CN27" s="117" t="str"/>
      <x:c r="CO27" s="117" t="str">
        <x:v>0.004387599998153746</x:v>
      </x:c>
      <x:c r="CP27" s="117" t="str">
        <x:v>43</x:v>
      </x:c>
      <x:c r="CQ27" s="117" t="str">
        <x:v>43</x:v>
      </x:c>
      <x:c r="CR27" s="117" t="str">
        <x:v>1.3031327999196947</x:v>
      </x:c>
      <x:c r="CS27" s="117" t="str">
        <x:v>True</x:v>
      </x:c>
      <x:c r="CT27" s="117" t="str">
        <x:v>0</x:v>
      </x:c>
      <x:c r="CU27" s="117" t="str">
        <x:v>0</x:v>
      </x:c>
      <x:c r="CV27" s="117" t="str">
        <x:v>0</x:v>
      </x:c>
    </x:row>
    <x:row r="28">
      <x:c r="A28" s="117" t="str">
        <x:v>200</x:v>
      </x:c>
      <x:c r="B28" s="117" t="str">
        <x:v>0.1</x:v>
      </x:c>
      <x:c r="C28" s="117" t="str">
        <x:v>3</x:v>
      </x:c>
      <x:c r="D28" s="117" t="str">
        <x:v>1100460246</x:v>
      </x:c>
      <x:c r="E28" s="117" t="str">
        <x:v>594</x:v>
      </x:c>
      <x:c r="F28" s="117" t="str">
        <x:v>5</x:v>
      </x:c>
      <x:c r="G28" s="117" t="str">
        <x:v>185</x:v>
      </x:c>
      <x:c r="H28" s="117" t="str">
        <x:v>5.94</x:v>
      </x:c>
      <x:c r="I28" s="117" t="str">
        <x:v>0.029849246231155778</x:v>
      </x:c>
      <x:c r="J28" s="117" t="str">
        <x:v>5</x:v>
      </x:c>
      <x:c r="K28" s="117" t="str">
        <x:v>zoomed,ich,grid,circle</x:v>
      </x:c>
      <x:c r="L28" s="117" t="str">
        <x:v>historical baseline; not timed in this repair session</x:v>
      </x:c>
      <x:c r="M28" s="117" t="str">
        <x:v>118</x:v>
      </x:c>
      <x:c r="N28" s="117" t="str">
        <x:v>0.02980240003671497</x:v>
      </x:c>
      <x:c r="O28" s="117" t="str">
        <x:v>False</x:v>
      </x:c>
      <x:c r="P28" s="117" t="str">
        <x:v>84</x:v>
      </x:c>
      <x:c r="Q28" s="117" t="str">
        <x:v>False</x:v>
      </x:c>
      <x:c r="R28" s="117" t="str">
        <x:v>84</x:v>
      </x:c>
      <x:c r="S28" s="117" t="str">
        <x:v>84</x:v>
      </x:c>
      <x:c r="T28" s="117" t="str">
        <x:v>0.023381299921311438</x:v>
      </x:c>
      <x:c r="U28" s="117" t="str">
        <x:v>False</x:v>
      </x:c>
      <x:c r="V28" s="117" t="str">
        <x:v>True</x:v>
      </x:c>
      <x:c r="W28" s="117" t="str">
        <x:v>True</x:v>
      </x:c>
      <x:c r="X28" s="117" t="str">
        <x:v>1</x:v>
      </x:c>
      <x:c r="Y28" s="117" t="str">
        <x:v>1</x:v>
      </x:c>
      <x:c r="Z28" s="117" t="str">
        <x:v>164</x:v>
      </x:c>
      <x:c r="AA28" s="117" t="str">
        <x:v>0.08674499997869134</x:v>
      </x:c>
      <x:c r="AB28" s="117" t="str">
        <x:v>85</x:v>
      </x:c>
      <x:c r="AC28" s="117" t="str">
        <x:v>44</x:v>
      </x:c>
      <x:c r="AD28" s="117" t="str">
        <x:v>0.11012629990000278</x:v>
      </x:c>
      <x:c r="AE28" s="117" t="str">
        <x:v>True</x:v>
      </x:c>
      <x:c r="AF28" s="117" t="str">
        <x:v>0</x:v>
      </x:c>
      <x:c r="AG28" s="117" t="str">
        <x:v>41</x:v>
      </x:c>
      <x:c r="AH28" s="117" t="str">
        <x:v>-40</x:v>
      </x:c>
      <x:c r="AI28" s="117" t="str">
        <x:v>45</x:v>
      </x:c>
      <x:c r="AJ28" s="117" t="str">
        <x:v>0.12719289993401617</x:v>
      </x:c>
      <x:c r="AK28" s="117" t="str">
        <x:v>True</x:v>
      </x:c>
      <x:c r="AL28" s="117" t="str">
        <x:v>46</x:v>
      </x:c>
      <x:c r="AM28" s="117" t="str">
        <x:v>True</x:v>
      </x:c>
      <x:c r="AN28" s="117" t="str">
        <x:v>117</x:v>
      </x:c>
      <x:c r="AO28" s="117" t="str">
        <x:v>46</x:v>
      </x:c>
      <x:c r="AP28" s="117" t="str">
        <x:v>0.12415199994575232</x:v>
      </x:c>
      <x:c r="AQ28" s="117" t="str">
        <x:v>True</x:v>
      </x:c>
      <x:c r="AR28" s="117" t="str">
        <x:v>True</x:v>
      </x:c>
      <x:c r="AS28" s="117" t="str">
        <x:v>True</x:v>
      </x:c>
      <x:c r="AT28" s="117" t="str">
        <x:v>0</x:v>
      </x:c>
      <x:c r="AU28" s="117" t="str">
        <x:v>0</x:v>
      </x:c>
      <x:c r="AV28" s="117" t="str"/>
      <x:c r="AW28" s="117" t="str">
        <x:v>0.006079399958252907</x:v>
      </x:c>
      <x:c r="AX28" s="117" t="str">
        <x:v>46</x:v>
      </x:c>
      <x:c r="AY28" s="117" t="str">
        <x:v>46</x:v>
      </x:c>
      <x:c r="AZ28" s="117" t="str">
        <x:v>0.13023139990400523</x:v>
      </x:c>
      <x:c r="BA28" s="117" t="str">
        <x:v>True</x:v>
      </x:c>
      <x:c r="BB28" s="117" t="str">
        <x:v>0</x:v>
      </x:c>
      <x:c r="BC28" s="117" t="str">
        <x:v>0</x:v>
      </x:c>
      <x:c r="BD28" s="117" t="str">
        <x:v>0</x:v>
      </x:c>
      <x:c r="BE28" s="117" t="str">
        <x:v>45</x:v>
      </x:c>
      <x:c r="BF28" s="117" t="str">
        <x:v>0.11096630000974983</x:v>
      </x:c>
      <x:c r="BG28" s="117" t="str">
        <x:v>True</x:v>
      </x:c>
      <x:c r="BH28" s="117" t="str">
        <x:v>45</x:v>
      </x:c>
      <x:c r="BI28" s="117" t="str">
        <x:v>True</x:v>
      </x:c>
      <x:c r="BJ28" s="117" t="str">
        <x:v>108</x:v>
      </x:c>
      <x:c r="BK28" s="117" t="str">
        <x:v>45</x:v>
      </x:c>
      <x:c r="BL28" s="117" t="str">
        <x:v>0.09898249991238117</x:v>
      </x:c>
      <x:c r="BM28" s="117" t="str">
        <x:v>True</x:v>
      </x:c>
      <x:c r="BN28" s="117" t="str">
        <x:v>True</x:v>
      </x:c>
      <x:c r="BO28" s="117" t="str">
        <x:v>True</x:v>
      </x:c>
      <x:c r="BP28" s="117" t="str">
        <x:v>0</x:v>
      </x:c>
      <x:c r="BQ28" s="117" t="str">
        <x:v>0</x:v>
      </x:c>
      <x:c r="BR28" s="117" t="str"/>
      <x:c r="BS28" s="117" t="str">
        <x:v>0.004568300093524158</x:v>
      </x:c>
      <x:c r="BT28" s="117" t="str">
        <x:v>45</x:v>
      </x:c>
      <x:c r="BU28" s="117" t="str">
        <x:v>45</x:v>
      </x:c>
      <x:c r="BV28" s="117" t="str">
        <x:v>0.10355080000590533</x:v>
      </x:c>
      <x:c r="BW28" s="117" t="str">
        <x:v>True</x:v>
      </x:c>
      <x:c r="BX28" s="117" t="str">
        <x:v>0</x:v>
      </x:c>
      <x:c r="BY28" s="117" t="str">
        <x:v>0</x:v>
      </x:c>
      <x:c r="BZ28" s="117" t="str">
        <x:v>0</x:v>
      </x:c>
      <x:c r="CA28" s="117" t="str">
        <x:v>46</x:v>
      </x:c>
      <x:c r="CB28" s="117" t="str">
        <x:v>1.5348123000003397</x:v>
      </x:c>
      <x:c r="CC28" s="117" t="str">
        <x:v>True</x:v>
      </x:c>
      <x:c r="CD28" s="117" t="str">
        <x:v>46</x:v>
      </x:c>
      <x:c r="CE28" s="117" t="str">
        <x:v>True</x:v>
      </x:c>
      <x:c r="CF28" s="117" t="str">
        <x:v>46</x:v>
      </x:c>
      <x:c r="CG28" s="117" t="str">
        <x:v>46</x:v>
      </x:c>
      <x:c r="CH28" s="117" t="str">
        <x:v>1.3500155999790877</x:v>
      </x:c>
      <x:c r="CI28" s="117" t="str">
        <x:v>True</x:v>
      </x:c>
      <x:c r="CJ28" s="117" t="str">
        <x:v>True</x:v>
      </x:c>
      <x:c r="CK28" s="117" t="str">
        <x:v>True</x:v>
      </x:c>
      <x:c r="CL28" s="117" t="str">
        <x:v>0</x:v>
      </x:c>
      <x:c r="CM28" s="117" t="str">
        <x:v>0</x:v>
      </x:c>
      <x:c r="CN28" s="117" t="str"/>
      <x:c r="CO28" s="117" t="str">
        <x:v>0.006217100075446069</x:v>
      </x:c>
      <x:c r="CP28" s="117" t="str">
        <x:v>46</x:v>
      </x:c>
      <x:c r="CQ28" s="117" t="str">
        <x:v>46</x:v>
      </x:c>
      <x:c r="CR28" s="117" t="str">
        <x:v>1.3562327000545338</x:v>
      </x:c>
      <x:c r="CS28" s="117" t="str">
        <x:v>True</x:v>
      </x:c>
      <x:c r="CT28" s="117" t="str">
        <x:v>0</x:v>
      </x:c>
      <x:c r="CU28" s="117" t="str">
        <x:v>0</x:v>
      </x:c>
      <x:c r="CV28" s="117" t="str">
        <x:v>0</x:v>
      </x:c>
    </x:row>
    <x:row r="29">
      <x:c r="A29" s="117" t="str">
        <x:v>200</x:v>
      </x:c>
      <x:c r="B29" s="117" t="str">
        <x:v>0.3</x:v>
      </x:c>
      <x:c r="C29" s="117" t="str">
        <x:v>1</x:v>
      </x:c>
      <x:c r="D29" s="117" t="str">
        <x:v>785756839</x:v>
      </x:c>
      <x:c r="E29" s="117" t="str">
        <x:v>4268</x:v>
      </x:c>
      <x:c r="F29" s="117" t="str">
        <x:v>1</x:v>
      </x:c>
      <x:c r="G29" s="117" t="str">
        <x:v>200</x:v>
      </x:c>
      <x:c r="H29" s="117" t="str">
        <x:v>42.68</x:v>
      </x:c>
      <x:c r="I29" s="117" t="str">
        <x:v>0.21447236180904522</x:v>
      </x:c>
      <x:c r="J29" s="117" t="str">
        <x:v>5</x:v>
      </x:c>
      <x:c r="K29" s="117" t="str">
        <x:v>grid,circle,zoomed,ich</x:v>
      </x:c>
      <x:c r="L29" s="117" t="str">
        <x:v>historical baseline; not timed in this repair session</x:v>
      </x:c>
      <x:c r="M29" s="117" t="str">
        <x:v>30</x:v>
      </x:c>
      <x:c r="N29" s="117" t="str">
        <x:v>0.22175000002607703</x:v>
      </x:c>
      <x:c r="O29" s="117" t="str">
        <x:v>True</x:v>
      </x:c>
      <x:c r="P29" s="117" t="str">
        <x:v>31</x:v>
      </x:c>
      <x:c r="Q29" s="117" t="str">
        <x:v>True</x:v>
      </x:c>
      <x:c r="R29" s="117" t="str">
        <x:v>66</x:v>
      </x:c>
      <x:c r="S29" s="117" t="str">
        <x:v>31</x:v>
      </x:c>
      <x:c r="T29" s="117" t="str">
        <x:v>0.10493170004338026</x:v>
      </x:c>
      <x:c r="U29" s="117" t="str">
        <x:v>True</x:v>
      </x:c>
      <x:c r="V29" s="117" t="str">
        <x:v>True</x:v>
      </x:c>
      <x:c r="W29" s="117" t="str">
        <x:v>True</x:v>
      </x:c>
      <x:c r="X29" s="117" t="str">
        <x:v>0</x:v>
      </x:c>
      <x:c r="Y29" s="117" t="str">
        <x:v>0</x:v>
      </x:c>
      <x:c r="Z29" s="117" t="str"/>
      <x:c r="AA29" s="117" t="str">
        <x:v>0.00361799995880574</x:v>
      </x:c>
      <x:c r="AB29" s="117" t="str">
        <x:v>31</x:v>
      </x:c>
      <x:c r="AC29" s="117" t="str">
        <x:v>31</x:v>
      </x:c>
      <x:c r="AD29" s="117" t="str">
        <x:v>0.108549700002186</x:v>
      </x:c>
      <x:c r="AE29" s="117" t="str">
        <x:v>True</x:v>
      </x:c>
      <x:c r="AF29" s="117" t="str">
        <x:v>0</x:v>
      </x:c>
      <x:c r="AG29" s="117" t="str">
        <x:v>0</x:v>
      </x:c>
      <x:c r="AH29" s="117" t="str">
        <x:v>0</x:v>
      </x:c>
      <x:c r="AI29" s="117" t="str">
        <x:v>31</x:v>
      </x:c>
      <x:c r="AJ29" s="117" t="str">
        <x:v>0.09855220001190901</x:v>
      </x:c>
      <x:c r="AK29" s="117" t="str">
        <x:v>True</x:v>
      </x:c>
      <x:c r="AL29" s="117" t="str">
        <x:v>31</x:v>
      </x:c>
      <x:c r="AM29" s="117" t="str">
        <x:v>True</x:v>
      </x:c>
      <x:c r="AN29" s="117" t="str">
        <x:v>134</x:v>
      </x:c>
      <x:c r="AO29" s="117" t="str">
        <x:v>31</x:v>
      </x:c>
      <x:c r="AP29" s="117" t="str">
        <x:v>0.0729060999583453</x:v>
      </x:c>
      <x:c r="AQ29" s="117" t="str">
        <x:v>True</x:v>
      </x:c>
      <x:c r="AR29" s="117" t="str">
        <x:v>True</x:v>
      </x:c>
      <x:c r="AS29" s="117" t="str">
        <x:v>True</x:v>
      </x:c>
      <x:c r="AT29" s="117" t="str">
        <x:v>0</x:v>
      </x:c>
      <x:c r="AU29" s="117" t="str">
        <x:v>0</x:v>
      </x:c>
      <x:c r="AV29" s="117" t="str"/>
      <x:c r="AW29" s="117" t="str">
        <x:v>0.003939699963666499</x:v>
      </x:c>
      <x:c r="AX29" s="117" t="str">
        <x:v>31</x:v>
      </x:c>
      <x:c r="AY29" s="117" t="str">
        <x:v>31</x:v>
      </x:c>
      <x:c r="AZ29" s="117" t="str">
        <x:v>0.07684579992201179</x:v>
      </x:c>
      <x:c r="BA29" s="117" t="str">
        <x:v>True</x:v>
      </x:c>
      <x:c r="BB29" s="117" t="str">
        <x:v>0</x:v>
      </x:c>
      <x:c r="BC29" s="117" t="str">
        <x:v>0</x:v>
      </x:c>
      <x:c r="BD29" s="117" t="str">
        <x:v>0</x:v>
      </x:c>
      <x:c r="BE29" s="117" t="str">
        <x:v>30</x:v>
      </x:c>
      <x:c r="BF29" s="117" t="str">
        <x:v>0.14291609998326749</x:v>
      </x:c>
      <x:c r="BG29" s="117" t="str">
        <x:v>True</x:v>
      </x:c>
      <x:c r="BH29" s="117" t="str">
        <x:v>30</x:v>
      </x:c>
      <x:c r="BI29" s="117" t="str">
        <x:v>True</x:v>
      </x:c>
      <x:c r="BJ29" s="117" t="str">
        <x:v>82</x:v>
      </x:c>
      <x:c r="BK29" s="117" t="str">
        <x:v>30</x:v>
      </x:c>
      <x:c r="BL29" s="117" t="str">
        <x:v>0.07848280004691333</x:v>
      </x:c>
      <x:c r="BM29" s="117" t="str">
        <x:v>True</x:v>
      </x:c>
      <x:c r="BN29" s="117" t="str">
        <x:v>True</x:v>
      </x:c>
      <x:c r="BO29" s="117" t="str">
        <x:v>True</x:v>
      </x:c>
      <x:c r="BP29" s="117" t="str">
        <x:v>0</x:v>
      </x:c>
      <x:c r="BQ29" s="117" t="str">
        <x:v>0</x:v>
      </x:c>
      <x:c r="BR29" s="117" t="str"/>
      <x:c r="BS29" s="117" t="str">
        <x:v>0.003612200031057</x:v>
      </x:c>
      <x:c r="BT29" s="117" t="str">
        <x:v>30</x:v>
      </x:c>
      <x:c r="BU29" s="117" t="str">
        <x:v>30</x:v>
      </x:c>
      <x:c r="BV29" s="117" t="str">
        <x:v>0.08209500007797033</x:v>
      </x:c>
      <x:c r="BW29" s="117" t="str">
        <x:v>True</x:v>
      </x:c>
      <x:c r="BX29" s="117" t="str">
        <x:v>0</x:v>
      </x:c>
      <x:c r="BY29" s="117" t="str">
        <x:v>0</x:v>
      </x:c>
      <x:c r="BZ29" s="117" t="str">
        <x:v>0</x:v>
      </x:c>
      <x:c r="CA29" s="117" t="str">
        <x:v>29</x:v>
      </x:c>
      <x:c r="CB29" s="117" t="str">
        <x:v>1.463766900007613</x:v>
      </x:c>
      <x:c r="CC29" s="117" t="str">
        <x:v>True</x:v>
      </x:c>
      <x:c r="CD29" s="117" t="str">
        <x:v>33</x:v>
      </x:c>
      <x:c r="CE29" s="117" t="str">
        <x:v>True</x:v>
      </x:c>
      <x:c r="CF29" s="117" t="str">
        <x:v>33</x:v>
      </x:c>
      <x:c r="CG29" s="117" t="str">
        <x:v>33</x:v>
      </x:c>
      <x:c r="CH29" s="117" t="str">
        <x:v>1.3602834000485018</x:v>
      </x:c>
      <x:c r="CI29" s="117" t="str">
        <x:v>True</x:v>
      </x:c>
      <x:c r="CJ29" s="117" t="str">
        <x:v>True</x:v>
      </x:c>
      <x:c r="CK29" s="117" t="str">
        <x:v>True</x:v>
      </x:c>
      <x:c r="CL29" s="117" t="str">
        <x:v>0</x:v>
      </x:c>
      <x:c r="CM29" s="117" t="str">
        <x:v>0</x:v>
      </x:c>
      <x:c r="CN29" s="117" t="str"/>
      <x:c r="CO29" s="117" t="str">
        <x:v>0.005452900077216327</x:v>
      </x:c>
      <x:c r="CP29" s="117" t="str">
        <x:v>33</x:v>
      </x:c>
      <x:c r="CQ29" s="117" t="str">
        <x:v>33</x:v>
      </x:c>
      <x:c r="CR29" s="117" t="str">
        <x:v>1.3657363001257181</x:v>
      </x:c>
      <x:c r="CS29" s="117" t="str">
        <x:v>True</x:v>
      </x:c>
      <x:c r="CT29" s="117" t="str">
        <x:v>0</x:v>
      </x:c>
      <x:c r="CU29" s="117" t="str">
        <x:v>0</x:v>
      </x:c>
      <x:c r="CV29" s="117" t="str">
        <x:v>0</x:v>
      </x:c>
    </x:row>
    <x:row r="30">
      <x:c r="A30" s="117" t="str">
        <x:v>200</x:v>
      </x:c>
      <x:c r="B30" s="117" t="str">
        <x:v>0.3</x:v>
      </x:c>
      <x:c r="C30" s="117" t="str">
        <x:v>2</x:v>
      </x:c>
      <x:c r="D30" s="117" t="str">
        <x:v>3176789117</x:v>
      </x:c>
      <x:c r="E30" s="117" t="str">
        <x:v>4272</x:v>
      </x:c>
      <x:c r="F30" s="117" t="str">
        <x:v>1</x:v>
      </x:c>
      <x:c r="G30" s="117" t="str">
        <x:v>200</x:v>
      </x:c>
      <x:c r="H30" s="117" t="str">
        <x:v>42.72</x:v>
      </x:c>
      <x:c r="I30" s="117" t="str">
        <x:v>0.21467336683417085</x:v>
      </x:c>
      <x:c r="J30" s="117" t="str">
        <x:v>5</x:v>
      </x:c>
      <x:c r="K30" s="117" t="str">
        <x:v>circle,zoomed,ich,grid</x:v>
      </x:c>
      <x:c r="L30" s="117" t="str">
        <x:v>historical baseline; not timed in this repair session</x:v>
      </x:c>
      <x:c r="M30" s="117" t="str">
        <x:v>32</x:v>
      </x:c>
      <x:c r="N30" s="117" t="str">
        <x:v>0.15574990003369749</x:v>
      </x:c>
      <x:c r="O30" s="117" t="str">
        <x:v>True</x:v>
      </x:c>
      <x:c r="P30" s="117" t="str">
        <x:v>34</x:v>
      </x:c>
      <x:c r="Q30" s="117" t="str">
        <x:v>True</x:v>
      </x:c>
      <x:c r="R30" s="117" t="str">
        <x:v>64</x:v>
      </x:c>
      <x:c r="S30" s="117" t="str">
        <x:v>34</x:v>
      </x:c>
      <x:c r="T30" s="117" t="str">
        <x:v>0.12429149996023625</x:v>
      </x:c>
      <x:c r="U30" s="117" t="str">
        <x:v>True</x:v>
      </x:c>
      <x:c r="V30" s="117" t="str">
        <x:v>True</x:v>
      </x:c>
      <x:c r="W30" s="117" t="str">
        <x:v>True</x:v>
      </x:c>
      <x:c r="X30" s="117" t="str">
        <x:v>0</x:v>
      </x:c>
      <x:c r="Y30" s="117" t="str">
        <x:v>0</x:v>
      </x:c>
      <x:c r="Z30" s="117" t="str"/>
      <x:c r="AA30" s="117" t="str">
        <x:v>0.003995099919848144</x:v>
      </x:c>
      <x:c r="AB30" s="117" t="str">
        <x:v>34</x:v>
      </x:c>
      <x:c r="AC30" s="117" t="str">
        <x:v>34</x:v>
      </x:c>
      <x:c r="AD30" s="117" t="str">
        <x:v>0.1282865998800844</x:v>
      </x:c>
      <x:c r="AE30" s="117" t="str">
        <x:v>True</x:v>
      </x:c>
      <x:c r="AF30" s="117" t="str">
        <x:v>0</x:v>
      </x:c>
      <x:c r="AG30" s="117" t="str">
        <x:v>0</x:v>
      </x:c>
      <x:c r="AH30" s="117" t="str">
        <x:v>0</x:v>
      </x:c>
      <x:c r="AI30" s="117" t="str">
        <x:v>34</x:v>
      </x:c>
      <x:c r="AJ30" s="117" t="str">
        <x:v>0.10575089999474585</x:v>
      </x:c>
      <x:c r="AK30" s="117" t="str">
        <x:v>True</x:v>
      </x:c>
      <x:c r="AL30" s="117" t="str">
        <x:v>34</x:v>
      </x:c>
      <x:c r="AM30" s="117" t="str">
        <x:v>True</x:v>
      </x:c>
      <x:c r="AN30" s="117" t="str">
        <x:v>141</x:v>
      </x:c>
      <x:c r="AO30" s="117" t="str">
        <x:v>34</x:v>
      </x:c>
      <x:c r="AP30" s="117" t="str">
        <x:v>0.08549219998531044</x:v>
      </x:c>
      <x:c r="AQ30" s="117" t="str">
        <x:v>True</x:v>
      </x:c>
      <x:c r="AR30" s="117" t="str">
        <x:v>True</x:v>
      </x:c>
      <x:c r="AS30" s="117" t="str">
        <x:v>True</x:v>
      </x:c>
      <x:c r="AT30" s="117" t="str">
        <x:v>0</x:v>
      </x:c>
      <x:c r="AU30" s="117" t="str">
        <x:v>0</x:v>
      </x:c>
      <x:c r="AV30" s="117" t="str"/>
      <x:c r="AW30" s="117" t="str">
        <x:v>0.003645799937658012</x:v>
      </x:c>
      <x:c r="AX30" s="117" t="str">
        <x:v>34</x:v>
      </x:c>
      <x:c r="AY30" s="117" t="str">
        <x:v>34</x:v>
      </x:c>
      <x:c r="AZ30" s="117" t="str">
        <x:v>0.08913799992296845</x:v>
      </x:c>
      <x:c r="BA30" s="117" t="str">
        <x:v>True</x:v>
      </x:c>
      <x:c r="BB30" s="117" t="str">
        <x:v>0</x:v>
      </x:c>
      <x:c r="BC30" s="117" t="str">
        <x:v>0</x:v>
      </x:c>
      <x:c r="BD30" s="117" t="str">
        <x:v>0</x:v>
      </x:c>
      <x:c r="BE30" s="117" t="str">
        <x:v>33</x:v>
      </x:c>
      <x:c r="BF30" s="117" t="str">
        <x:v>0.11761489999480546</x:v>
      </x:c>
      <x:c r="BG30" s="117" t="str">
        <x:v>True</x:v>
      </x:c>
      <x:c r="BH30" s="117" t="str">
        <x:v>28</x:v>
      </x:c>
      <x:c r="BI30" s="117" t="str">
        <x:v>True</x:v>
      </x:c>
      <x:c r="BJ30" s="117" t="str">
        <x:v>104</x:v>
      </x:c>
      <x:c r="BK30" s="117" t="str">
        <x:v>28</x:v>
      </x:c>
      <x:c r="BL30" s="117" t="str">
        <x:v>0.10701449995394796</x:v>
      </x:c>
      <x:c r="BM30" s="117" t="str">
        <x:v>True</x:v>
      </x:c>
      <x:c r="BN30" s="117" t="str">
        <x:v>True</x:v>
      </x:c>
      <x:c r="BO30" s="117" t="str">
        <x:v>True</x:v>
      </x:c>
      <x:c r="BP30" s="117" t="str">
        <x:v>0</x:v>
      </x:c>
      <x:c r="BQ30" s="117" t="str">
        <x:v>0</x:v>
      </x:c>
      <x:c r="BR30" s="117" t="str"/>
      <x:c r="BS30" s="117" t="str">
        <x:v>0.005998299922794104</x:v>
      </x:c>
      <x:c r="BT30" s="117" t="str">
        <x:v>28</x:v>
      </x:c>
      <x:c r="BU30" s="117" t="str">
        <x:v>28</x:v>
      </x:c>
      <x:c r="BV30" s="117" t="str">
        <x:v>0.11301279987674206</x:v>
      </x:c>
      <x:c r="BW30" s="117" t="str">
        <x:v>True</x:v>
      </x:c>
      <x:c r="BX30" s="117" t="str">
        <x:v>0</x:v>
      </x:c>
      <x:c r="BY30" s="117" t="str">
        <x:v>0</x:v>
      </x:c>
      <x:c r="BZ30" s="117" t="str">
        <x:v>0</x:v>
      </x:c>
      <x:c r="CA30" s="117" t="str">
        <x:v>33</x:v>
      </x:c>
      <x:c r="CB30" s="117" t="str">
        <x:v>1.2713439000071958</x:v>
      </x:c>
      <x:c r="CC30" s="117" t="str">
        <x:v>True</x:v>
      </x:c>
      <x:c r="CD30" s="117" t="str">
        <x:v>28</x:v>
      </x:c>
      <x:c r="CE30" s="117" t="str">
        <x:v>True</x:v>
      </x:c>
      <x:c r="CF30" s="117" t="str">
        <x:v>28</x:v>
      </x:c>
      <x:c r="CG30" s="117" t="str">
        <x:v>28</x:v>
      </x:c>
      <x:c r="CH30" s="117" t="str">
        <x:v>1.3985475999070331</x:v>
      </x:c>
      <x:c r="CI30" s="117" t="str">
        <x:v>True</x:v>
      </x:c>
      <x:c r="CJ30" s="117" t="str">
        <x:v>True</x:v>
      </x:c>
      <x:c r="CK30" s="117" t="str">
        <x:v>True</x:v>
      </x:c>
      <x:c r="CL30" s="117" t="str">
        <x:v>0</x:v>
      </x:c>
      <x:c r="CM30" s="117" t="str">
        <x:v>0</x:v>
      </x:c>
      <x:c r="CN30" s="117" t="str"/>
      <x:c r="CO30" s="117" t="str">
        <x:v>0.00400780001655221</x:v>
      </x:c>
      <x:c r="CP30" s="117" t="str">
        <x:v>28</x:v>
      </x:c>
      <x:c r="CQ30" s="117" t="str">
        <x:v>28</x:v>
      </x:c>
      <x:c r="CR30" s="117" t="str">
        <x:v>1.4025553999235854</x:v>
      </x:c>
      <x:c r="CS30" s="117" t="str">
        <x:v>True</x:v>
      </x:c>
      <x:c r="CT30" s="117" t="str">
        <x:v>0</x:v>
      </x:c>
      <x:c r="CU30" s="117" t="str">
        <x:v>0</x:v>
      </x:c>
      <x:c r="CV30" s="117" t="str">
        <x:v>0</x:v>
      </x:c>
    </x:row>
    <x:row r="31">
      <x:c r="A31" s="117" t="str">
        <x:v>200</x:v>
      </x:c>
      <x:c r="B31" s="117" t="str">
        <x:v>0.3</x:v>
      </x:c>
      <x:c r="C31" s="117" t="str">
        <x:v>3</x:v>
      </x:c>
      <x:c r="D31" s="117" t="str">
        <x:v>1876551989</x:v>
      </x:c>
      <x:c r="E31" s="117" t="str">
        <x:v>4022</x:v>
      </x:c>
      <x:c r="F31" s="117" t="str">
        <x:v>1</x:v>
      </x:c>
      <x:c r="G31" s="117" t="str">
        <x:v>200</x:v>
      </x:c>
      <x:c r="H31" s="117" t="str">
        <x:v>40.22</x:v>
      </x:c>
      <x:c r="I31" s="117" t="str">
        <x:v>0.2021105527638191</x:v>
      </x:c>
      <x:c r="J31" s="117" t="str">
        <x:v>5</x:v>
      </x:c>
      <x:c r="K31" s="117" t="str">
        <x:v>zoomed,ich,grid,circle</x:v>
      </x:c>
      <x:c r="L31" s="117" t="str">
        <x:v>historical baseline; not timed in this repair session</x:v>
      </x:c>
      <x:c r="M31" s="117" t="str">
        <x:v>32</x:v>
      </x:c>
      <x:c r="N31" s="117" t="str">
        <x:v>0.1316083000274375</x:v>
      </x:c>
      <x:c r="O31" s="117" t="str">
        <x:v>True</x:v>
      </x:c>
      <x:c r="P31" s="117" t="str">
        <x:v>66</x:v>
      </x:c>
      <x:c r="Q31" s="117" t="str">
        <x:v>False</x:v>
      </x:c>
      <x:c r="R31" s="117" t="str">
        <x:v>66</x:v>
      </x:c>
      <x:c r="S31" s="117" t="str">
        <x:v>66</x:v>
      </x:c>
      <x:c r="T31" s="117" t="str">
        <x:v>0.07715220004320145</x:v>
      </x:c>
      <x:c r="U31" s="117" t="str">
        <x:v>False</x:v>
      </x:c>
      <x:c r="V31" s="117" t="str">
        <x:v>True</x:v>
      </x:c>
      <x:c r="W31" s="117" t="str">
        <x:v>True</x:v>
      </x:c>
      <x:c r="X31" s="117" t="str">
        <x:v>1</x:v>
      </x:c>
      <x:c r="Y31" s="117" t="str">
        <x:v>1</x:v>
      </x:c>
      <x:c r="Z31" s="117" t="str">
        <x:v>54</x:v>
      </x:c>
      <x:c r="AA31" s="117" t="str">
        <x:v>0.05792920000385493</x:v>
      </x:c>
      <x:c r="AB31" s="117" t="str">
        <x:v>67</x:v>
      </x:c>
      <x:c r="AC31" s="117" t="str">
        <x:v>31</x:v>
      </x:c>
      <x:c r="AD31" s="117" t="str">
        <x:v>0.13508140004705638</x:v>
      </x:c>
      <x:c r="AE31" s="117" t="str">
        <x:v>True</x:v>
      </x:c>
      <x:c r="AF31" s="117" t="str">
        <x:v>0</x:v>
      </x:c>
      <x:c r="AG31" s="117" t="str">
        <x:v>36</x:v>
      </x:c>
      <x:c r="AH31" s="117" t="str">
        <x:v>-35</x:v>
      </x:c>
      <x:c r="AI31" s="117" t="str">
        <x:v>34</x:v>
      </x:c>
      <x:c r="AJ31" s="117" t="str">
        <x:v>0.11706970003433526</x:v>
      </x:c>
      <x:c r="AK31" s="117" t="str">
        <x:v>True</x:v>
      </x:c>
      <x:c r="AL31" s="117" t="str">
        <x:v>34</x:v>
      </x:c>
      <x:c r="AM31" s="117" t="str">
        <x:v>True</x:v>
      </x:c>
      <x:c r="AN31" s="117" t="str">
        <x:v>151</x:v>
      </x:c>
      <x:c r="AO31" s="117" t="str">
        <x:v>34</x:v>
      </x:c>
      <x:c r="AP31" s="117" t="str">
        <x:v>0.12516169995069504</x:v>
      </x:c>
      <x:c r="AQ31" s="117" t="str">
        <x:v>True</x:v>
      </x:c>
      <x:c r="AR31" s="117" t="str">
        <x:v>True</x:v>
      </x:c>
      <x:c r="AS31" s="117" t="str">
        <x:v>True</x:v>
      </x:c>
      <x:c r="AT31" s="117" t="str">
        <x:v>0</x:v>
      </x:c>
      <x:c r="AU31" s="117" t="str">
        <x:v>0</x:v>
      </x:c>
      <x:c r="AV31" s="117" t="str"/>
      <x:c r="AW31" s="117" t="str">
        <x:v>0.007939800038002431</x:v>
      </x:c>
      <x:c r="AX31" s="117" t="str">
        <x:v>34</x:v>
      </x:c>
      <x:c r="AY31" s="117" t="str">
        <x:v>34</x:v>
      </x:c>
      <x:c r="AZ31" s="117" t="str">
        <x:v>0.13310149998869747</x:v>
      </x:c>
      <x:c r="BA31" s="117" t="str">
        <x:v>True</x:v>
      </x:c>
      <x:c r="BB31" s="117" t="str">
        <x:v>0</x:v>
      </x:c>
      <x:c r="BC31" s="117" t="str">
        <x:v>0</x:v>
      </x:c>
      <x:c r="BD31" s="117" t="str">
        <x:v>0</x:v>
      </x:c>
      <x:c r="BE31" s="117" t="str">
        <x:v>34</x:v>
      </x:c>
      <x:c r="BF31" s="117" t="str">
        <x:v>0.10814060003031045</x:v>
      </x:c>
      <x:c r="BG31" s="117" t="str">
        <x:v>True</x:v>
      </x:c>
      <x:c r="BH31" s="117" t="str">
        <x:v>33</x:v>
      </x:c>
      <x:c r="BI31" s="117" t="str">
        <x:v>True</x:v>
      </x:c>
      <x:c r="BJ31" s="117" t="str">
        <x:v>87</x:v>
      </x:c>
      <x:c r="BK31" s="117" t="str">
        <x:v>33</x:v>
      </x:c>
      <x:c r="BL31" s="117" t="str">
        <x:v>0.08656610001344234</x:v>
      </x:c>
      <x:c r="BM31" s="117" t="str">
        <x:v>True</x:v>
      </x:c>
      <x:c r="BN31" s="117" t="str">
        <x:v>True</x:v>
      </x:c>
      <x:c r="BO31" s="117" t="str">
        <x:v>True</x:v>
      </x:c>
      <x:c r="BP31" s="117" t="str">
        <x:v>0</x:v>
      </x:c>
      <x:c r="BQ31" s="117" t="str">
        <x:v>0</x:v>
      </x:c>
      <x:c r="BR31" s="117" t="str"/>
      <x:c r="BS31" s="117" t="str">
        <x:v>0.005086699966341257</x:v>
      </x:c>
      <x:c r="BT31" s="117" t="str">
        <x:v>33</x:v>
      </x:c>
      <x:c r="BU31" s="117" t="str">
        <x:v>33</x:v>
      </x:c>
      <x:c r="BV31" s="117" t="str">
        <x:v>0.0916527999797836</x:v>
      </x:c>
      <x:c r="BW31" s="117" t="str">
        <x:v>True</x:v>
      </x:c>
      <x:c r="BX31" s="117" t="str">
        <x:v>0</x:v>
      </x:c>
      <x:c r="BY31" s="117" t="str">
        <x:v>0</x:v>
      </x:c>
      <x:c r="BZ31" s="117" t="str">
        <x:v>0</x:v>
      </x:c>
      <x:c r="CA31" s="117" t="str">
        <x:v>29</x:v>
      </x:c>
      <x:c r="CB31" s="117" t="str">
        <x:v>1.2424273999640718</x:v>
      </x:c>
      <x:c r="CC31" s="117" t="str">
        <x:v>True</x:v>
      </x:c>
      <x:c r="CD31" s="117" t="str">
        <x:v>32</x:v>
      </x:c>
      <x:c r="CE31" s="117" t="str">
        <x:v>True</x:v>
      </x:c>
      <x:c r="CF31" s="117" t="str">
        <x:v>32</x:v>
      </x:c>
      <x:c r="CG31" s="117" t="str">
        <x:v>32</x:v>
      </x:c>
      <x:c r="CH31" s="117" t="str">
        <x:v>1.4001729000592604</x:v>
      </x:c>
      <x:c r="CI31" s="117" t="str">
        <x:v>True</x:v>
      </x:c>
      <x:c r="CJ31" s="117" t="str">
        <x:v>True</x:v>
      </x:c>
      <x:c r="CK31" s="117" t="str">
        <x:v>True</x:v>
      </x:c>
      <x:c r="CL31" s="117" t="str">
        <x:v>0</x:v>
      </x:c>
      <x:c r="CM31" s="117" t="str">
        <x:v>0</x:v>
      </x:c>
      <x:c r="CN31" s="117" t="str"/>
      <x:c r="CO31" s="117" t="str">
        <x:v>0.0038932999595999718</x:v>
      </x:c>
      <x:c r="CP31" s="117" t="str">
        <x:v>32</x:v>
      </x:c>
      <x:c r="CQ31" s="117" t="str">
        <x:v>32</x:v>
      </x:c>
      <x:c r="CR31" s="117" t="str">
        <x:v>1.4040662000188604</x:v>
      </x:c>
      <x:c r="CS31" s="117" t="str">
        <x:v>True</x:v>
      </x:c>
      <x:c r="CT31" s="117" t="str">
        <x:v>0</x:v>
      </x:c>
      <x:c r="CU31" s="117" t="str">
        <x:v>0</x:v>
      </x:c>
      <x:c r="CV31" s="117" t="str">
        <x:v>0</x:v>
      </x:c>
    </x:row>
    <x:row r="32">
      <x:c r="A32" s="117" t="str">
        <x:v>200</x:v>
      </x:c>
      <x:c r="B32" s="117" t="str">
        <x:v>0.5</x:v>
      </x:c>
      <x:c r="C32" s="117" t="str">
        <x:v>1</x:v>
      </x:c>
      <x:c r="D32" s="117" t="str">
        <x:v>845036295</x:v>
      </x:c>
      <x:c r="E32" s="117" t="str">
        <x:v>8904</x:v>
      </x:c>
      <x:c r="F32" s="117" t="str">
        <x:v>1</x:v>
      </x:c>
      <x:c r="G32" s="117" t="str">
        <x:v>200</x:v>
      </x:c>
      <x:c r="H32" s="117" t="str">
        <x:v>89.04</x:v>
      </x:c>
      <x:c r="I32" s="117" t="str">
        <x:v>0.44743718592964826</x:v>
      </x:c>
      <x:c r="J32" s="117" t="str">
        <x:v>5</x:v>
      </x:c>
      <x:c r="K32" s="117" t="str">
        <x:v>grid,circle,zoomed,ich</x:v>
      </x:c>
      <x:c r="L32" s="117" t="str">
        <x:v>historical baseline; not timed in this repair session</x:v>
      </x:c>
      <x:c r="M32" s="117" t="str">
        <x:v>49</x:v>
      </x:c>
      <x:c r="N32" s="117" t="str">
        <x:v>0.918060899944976</x:v>
      </x:c>
      <x:c r="O32" s="117" t="str">
        <x:v>True</x:v>
      </x:c>
      <x:c r="P32" s="117" t="str">
        <x:v>42</x:v>
      </x:c>
      <x:c r="Q32" s="117" t="str">
        <x:v>True</x:v>
      </x:c>
      <x:c r="R32" s="117" t="str">
        <x:v>44</x:v>
      </x:c>
      <x:c r="S32" s="117" t="str">
        <x:v>42</x:v>
      </x:c>
      <x:c r="T32" s="117" t="str">
        <x:v>0.7388503999682143</x:v>
      </x:c>
      <x:c r="U32" s="117" t="str">
        <x:v>True</x:v>
      </x:c>
      <x:c r="V32" s="117" t="str">
        <x:v>True</x:v>
      </x:c>
      <x:c r="W32" s="117" t="str">
        <x:v>True</x:v>
      </x:c>
      <x:c r="X32" s="117" t="str">
        <x:v>0</x:v>
      </x:c>
      <x:c r="Y32" s="117" t="str">
        <x:v>0</x:v>
      </x:c>
      <x:c r="Z32" s="117" t="str"/>
      <x:c r="AA32" s="117" t="str">
        <x:v>0.005613600020296872</x:v>
      </x:c>
      <x:c r="AB32" s="117" t="str">
        <x:v>42</x:v>
      </x:c>
      <x:c r="AC32" s="117" t="str">
        <x:v>42</x:v>
      </x:c>
      <x:c r="AD32" s="117" t="str">
        <x:v>0.7444639999885112</x:v>
      </x:c>
      <x:c r="AE32" s="117" t="str">
        <x:v>True</x:v>
      </x:c>
      <x:c r="AF32" s="117" t="str">
        <x:v>0</x:v>
      </x:c>
      <x:c r="AG32" s="117" t="str">
        <x:v>0</x:v>
      </x:c>
      <x:c r="AH32" s="117" t="str">
        <x:v>0</x:v>
      </x:c>
      <x:c r="AI32" s="117" t="str">
        <x:v>48</x:v>
      </x:c>
      <x:c r="AJ32" s="117" t="str">
        <x:v>0.19581790000665933</x:v>
      </x:c>
      <x:c r="AK32" s="117" t="str">
        <x:v>True</x:v>
      </x:c>
      <x:c r="AL32" s="117" t="str">
        <x:v>48</x:v>
      </x:c>
      <x:c r="AM32" s="117" t="str">
        <x:v>True</x:v>
      </x:c>
      <x:c r="AN32" s="117" t="str">
        <x:v>167</x:v>
      </x:c>
      <x:c r="AO32" s="117" t="str">
        <x:v>48</x:v>
      </x:c>
      <x:c r="AP32" s="117" t="str">
        <x:v>0.20932110003195703</x:v>
      </x:c>
      <x:c r="AQ32" s="117" t="str">
        <x:v>True</x:v>
      </x:c>
      <x:c r="AR32" s="117" t="str">
        <x:v>True</x:v>
      </x:c>
      <x:c r="AS32" s="117" t="str">
        <x:v>True</x:v>
      </x:c>
      <x:c r="AT32" s="117" t="str">
        <x:v>0</x:v>
      </x:c>
      <x:c r="AU32" s="117" t="str">
        <x:v>0</x:v>
      </x:c>
      <x:c r="AV32" s="117" t="str"/>
      <x:c r="AW32" s="117" t="str">
        <x:v>0.005559299956075847</x:v>
      </x:c>
      <x:c r="AX32" s="117" t="str">
        <x:v>48</x:v>
      </x:c>
      <x:c r="AY32" s="117" t="str">
        <x:v>48</x:v>
      </x:c>
      <x:c r="AZ32" s="117" t="str">
        <x:v>0.21488039998803288</x:v>
      </x:c>
      <x:c r="BA32" s="117" t="str">
        <x:v>True</x:v>
      </x:c>
      <x:c r="BB32" s="117" t="str">
        <x:v>0</x:v>
      </x:c>
      <x:c r="BC32" s="117" t="str">
        <x:v>0</x:v>
      </x:c>
      <x:c r="BD32" s="117" t="str">
        <x:v>0</x:v>
      </x:c>
      <x:c r="BE32" s="117" t="str">
        <x:v>46</x:v>
      </x:c>
      <x:c r="BF32" s="117" t="str">
        <x:v>0.1835824999725446</x:v>
      </x:c>
      <x:c r="BG32" s="117" t="str">
        <x:v>True</x:v>
      </x:c>
      <x:c r="BH32" s="117" t="str">
        <x:v>45</x:v>
      </x:c>
      <x:c r="BI32" s="117" t="str">
        <x:v>True</x:v>
      </x:c>
      <x:c r="BJ32" s="117" t="str">
        <x:v>113</x:v>
      </x:c>
      <x:c r="BK32" s="117" t="str">
        <x:v>45</x:v>
      </x:c>
      <x:c r="BL32" s="117" t="str">
        <x:v>0.3248311000643298</x:v>
      </x:c>
      <x:c r="BM32" s="117" t="str">
        <x:v>True</x:v>
      </x:c>
      <x:c r="BN32" s="117" t="str">
        <x:v>True</x:v>
      </x:c>
      <x:c r="BO32" s="117" t="str">
        <x:v>True</x:v>
      </x:c>
      <x:c r="BP32" s="117" t="str">
        <x:v>0</x:v>
      </x:c>
      <x:c r="BQ32" s="117" t="str">
        <x:v>0</x:v>
      </x:c>
      <x:c r="BR32" s="117" t="str"/>
      <x:c r="BS32" s="117" t="str">
        <x:v>0.007099600043147802</x:v>
      </x:c>
      <x:c r="BT32" s="117" t="str">
        <x:v>45</x:v>
      </x:c>
      <x:c r="BU32" s="117" t="str">
        <x:v>45</x:v>
      </x:c>
      <x:c r="BV32" s="117" t="str">
        <x:v>0.3319307001074776</x:v>
      </x:c>
      <x:c r="BW32" s="117" t="str">
        <x:v>True</x:v>
      </x:c>
      <x:c r="BX32" s="117" t="str">
        <x:v>0</x:v>
      </x:c>
      <x:c r="BY32" s="117" t="str">
        <x:v>0</x:v>
      </x:c>
      <x:c r="BZ32" s="117" t="str">
        <x:v>0</x:v>
      </x:c>
      <x:c r="CA32" s="117" t="str">
        <x:v>44</x:v>
      </x:c>
      <x:c r="CB32" s="117" t="str">
        <x:v>1.3897729000309482</x:v>
      </x:c>
      <x:c r="CC32" s="117" t="str">
        <x:v>True</x:v>
      </x:c>
      <x:c r="CD32" s="117" t="str">
        <x:v>44</x:v>
      </x:c>
      <x:c r="CE32" s="117" t="str">
        <x:v>True</x:v>
      </x:c>
      <x:c r="CF32" s="117" t="str">
        <x:v>44</x:v>
      </x:c>
      <x:c r="CG32" s="117" t="str">
        <x:v>44</x:v>
      </x:c>
      <x:c r="CH32" s="117" t="str">
        <x:v>1.592293900088407</x:v>
      </x:c>
      <x:c r="CI32" s="117" t="str">
        <x:v>True</x:v>
      </x:c>
      <x:c r="CJ32" s="117" t="str">
        <x:v>True</x:v>
      </x:c>
      <x:c r="CK32" s="117" t="str">
        <x:v>True</x:v>
      </x:c>
      <x:c r="CL32" s="117" t="str">
        <x:v>0</x:v>
      </x:c>
      <x:c r="CM32" s="117" t="str">
        <x:v>0</x:v>
      </x:c>
      <x:c r="CN32" s="117" t="str"/>
      <x:c r="CO32" s="117" t="str">
        <x:v>0.005005700048059225</x:v>
      </x:c>
      <x:c r="CP32" s="117" t="str">
        <x:v>44</x:v>
      </x:c>
      <x:c r="CQ32" s="117" t="str">
        <x:v>44</x:v>
      </x:c>
      <x:c r="CR32" s="117" t="str">
        <x:v>1.5972996001364663</x:v>
      </x:c>
      <x:c r="CS32" s="117" t="str">
        <x:v>True</x:v>
      </x:c>
      <x:c r="CT32" s="117" t="str">
        <x:v>0</x:v>
      </x:c>
      <x:c r="CU32" s="117" t="str">
        <x:v>0</x:v>
      </x:c>
      <x:c r="CV32" s="117" t="str">
        <x:v>0</x:v>
      </x:c>
    </x:row>
    <x:row r="33">
      <x:c r="A33" s="117" t="str">
        <x:v>200</x:v>
      </x:c>
      <x:c r="B33" s="117" t="str">
        <x:v>0.5</x:v>
      </x:c>
      <x:c r="C33" s="117" t="str">
        <x:v>2</x:v>
      </x:c>
      <x:c r="D33" s="117" t="str">
        <x:v>2295941781</x:v>
      </x:c>
      <x:c r="E33" s="117" t="str">
        <x:v>9186</x:v>
      </x:c>
      <x:c r="F33" s="117" t="str">
        <x:v>1</x:v>
      </x:c>
      <x:c r="G33" s="117" t="str">
        <x:v>200</x:v>
      </x:c>
      <x:c r="H33" s="117" t="str">
        <x:v>91.86</x:v>
      </x:c>
      <x:c r="I33" s="117" t="str">
        <x:v>0.46160804020100504</x:v>
      </x:c>
      <x:c r="J33" s="117" t="str">
        <x:v>5</x:v>
      </x:c>
      <x:c r="K33" s="117" t="str">
        <x:v>circle,zoomed,ich,grid</x:v>
      </x:c>
      <x:c r="L33" s="117" t="str">
        <x:v>historical baseline; not timed in this repair session</x:v>
      </x:c>
      <x:c r="M33" s="117" t="str">
        <x:v>45</x:v>
      </x:c>
      <x:c r="N33" s="117" t="str">
        <x:v>0.8670121000614017</x:v>
      </x:c>
      <x:c r="O33" s="117" t="str">
        <x:v>True</x:v>
      </x:c>
      <x:c r="P33" s="117" t="str">
        <x:v>37</x:v>
      </x:c>
      <x:c r="Q33" s="117" t="str">
        <x:v>True</x:v>
      </x:c>
      <x:c r="R33" s="117" t="str">
        <x:v>37</x:v>
      </x:c>
      <x:c r="S33" s="117" t="str">
        <x:v>37</x:v>
      </x:c>
      <x:c r="T33" s="117" t="str">
        <x:v>0.6319431000156328</x:v>
      </x:c>
      <x:c r="U33" s="117" t="str">
        <x:v>True</x:v>
      </x:c>
      <x:c r="V33" s="117" t="str">
        <x:v>True</x:v>
      </x:c>
      <x:c r="W33" s="117" t="str">
        <x:v>True</x:v>
      </x:c>
      <x:c r="X33" s="117" t="str">
        <x:v>0</x:v>
      </x:c>
      <x:c r="Y33" s="117" t="str">
        <x:v>0</x:v>
      </x:c>
      <x:c r="Z33" s="117" t="str"/>
      <x:c r="AA33" s="117" t="str">
        <x:v>0.003684900002554059</x:v>
      </x:c>
      <x:c r="AB33" s="117" t="str">
        <x:v>37</x:v>
      </x:c>
      <x:c r="AC33" s="117" t="str">
        <x:v>37</x:v>
      </x:c>
      <x:c r="AD33" s="117" t="str">
        <x:v>0.6356280000181869</x:v>
      </x:c>
      <x:c r="AE33" s="117" t="str">
        <x:v>True</x:v>
      </x:c>
      <x:c r="AF33" s="117" t="str">
        <x:v>0</x:v>
      </x:c>
      <x:c r="AG33" s="117" t="str">
        <x:v>0</x:v>
      </x:c>
      <x:c r="AH33" s="117" t="str">
        <x:v>0</x:v>
      </x:c>
      <x:c r="AI33" s="117" t="str">
        <x:v>42</x:v>
      </x:c>
      <x:c r="AJ33" s="117" t="str">
        <x:v>0.11724689998663962</x:v>
      </x:c>
      <x:c r="AK33" s="117" t="str">
        <x:v>True</x:v>
      </x:c>
      <x:c r="AL33" s="117" t="str">
        <x:v>44</x:v>
      </x:c>
      <x:c r="AM33" s="117" t="str">
        <x:v>True</x:v>
      </x:c>
      <x:c r="AN33" s="117" t="str">
        <x:v>135</x:v>
      </x:c>
      <x:c r="AO33" s="117" t="str">
        <x:v>44</x:v>
      </x:c>
      <x:c r="AP33" s="117" t="str">
        <x:v>0.1555627000052482</x:v>
      </x:c>
      <x:c r="AQ33" s="117" t="str">
        <x:v>True</x:v>
      </x:c>
      <x:c r="AR33" s="117" t="str">
        <x:v>True</x:v>
      </x:c>
      <x:c r="AS33" s="117" t="str">
        <x:v>True</x:v>
      </x:c>
      <x:c r="AT33" s="117" t="str">
        <x:v>0</x:v>
      </x:c>
      <x:c r="AU33" s="117" t="str">
        <x:v>0</x:v>
      </x:c>
      <x:c r="AV33" s="117" t="str"/>
      <x:c r="AW33" s="117" t="str">
        <x:v>0.006268500001169741</x:v>
      </x:c>
      <x:c r="AX33" s="117" t="str">
        <x:v>44</x:v>
      </x:c>
      <x:c r="AY33" s="117" t="str">
        <x:v>44</x:v>
      </x:c>
      <x:c r="AZ33" s="117" t="str">
        <x:v>0.16183120000641793</x:v>
      </x:c>
      <x:c r="BA33" s="117" t="str">
        <x:v>True</x:v>
      </x:c>
      <x:c r="BB33" s="117" t="str">
        <x:v>0</x:v>
      </x:c>
      <x:c r="BC33" s="117" t="str">
        <x:v>0</x:v>
      </x:c>
      <x:c r="BD33" s="117" t="str">
        <x:v>0</x:v>
      </x:c>
      <x:c r="BE33" s="117" t="str">
        <x:v>46</x:v>
      </x:c>
      <x:c r="BF33" s="117" t="str">
        <x:v>0.22343649994581938</x:v>
      </x:c>
      <x:c r="BG33" s="117" t="str">
        <x:v>True</x:v>
      </x:c>
      <x:c r="BH33" s="117" t="str">
        <x:v>44</x:v>
      </x:c>
      <x:c r="BI33" s="117" t="str">
        <x:v>True</x:v>
      </x:c>
      <x:c r="BJ33" s="117" t="str">
        <x:v>99</x:v>
      </x:c>
      <x:c r="BK33" s="117" t="str">
        <x:v>44</x:v>
      </x:c>
      <x:c r="BL33" s="117" t="str">
        <x:v>0.24933119991328567</x:v>
      </x:c>
      <x:c r="BM33" s="117" t="str">
        <x:v>True</x:v>
      </x:c>
      <x:c r="BN33" s="117" t="str">
        <x:v>True</x:v>
      </x:c>
      <x:c r="BO33" s="117" t="str">
        <x:v>True</x:v>
      </x:c>
      <x:c r="BP33" s="117" t="str">
        <x:v>0</x:v>
      </x:c>
      <x:c r="BQ33" s="117" t="str">
        <x:v>0</x:v>
      </x:c>
      <x:c r="BR33" s="117" t="str"/>
      <x:c r="BS33" s="117" t="str">
        <x:v>0.005648700054734945</x:v>
      </x:c>
      <x:c r="BT33" s="117" t="str">
        <x:v>44</x:v>
      </x:c>
      <x:c r="BU33" s="117" t="str">
        <x:v>44</x:v>
      </x:c>
      <x:c r="BV33" s="117" t="str">
        <x:v>0.2549798999680206</x:v>
      </x:c>
      <x:c r="BW33" s="117" t="str">
        <x:v>True</x:v>
      </x:c>
      <x:c r="BX33" s="117" t="str">
        <x:v>0</x:v>
      </x:c>
      <x:c r="BY33" s="117" t="str">
        <x:v>0</x:v>
      </x:c>
      <x:c r="BZ33" s="117" t="str">
        <x:v>0</x:v>
      </x:c>
      <x:c r="CA33" s="117" t="str">
        <x:v>38</x:v>
      </x:c>
      <x:c r="CB33" s="117" t="str">
        <x:v>1.3962602999527007</x:v>
      </x:c>
      <x:c r="CC33" s="117" t="str">
        <x:v>True</x:v>
      </x:c>
      <x:c r="CD33" s="117" t="str">
        <x:v>39</x:v>
      </x:c>
      <x:c r="CE33" s="117" t="str">
        <x:v>True</x:v>
      </x:c>
      <x:c r="CF33" s="117" t="str">
        <x:v>39</x:v>
      </x:c>
      <x:c r="CG33" s="117" t="str">
        <x:v>39</x:v>
      </x:c>
      <x:c r="CH33" s="117" t="str">
        <x:v>1.4365720000350848</x:v>
      </x:c>
      <x:c r="CI33" s="117" t="str">
        <x:v>True</x:v>
      </x:c>
      <x:c r="CJ33" s="117" t="str">
        <x:v>True</x:v>
      </x:c>
      <x:c r="CK33" s="117" t="str">
        <x:v>True</x:v>
      </x:c>
      <x:c r="CL33" s="117" t="str">
        <x:v>0</x:v>
      </x:c>
      <x:c r="CM33" s="117" t="str">
        <x:v>0</x:v>
      </x:c>
      <x:c r="CN33" s="117" t="str"/>
      <x:c r="CO33" s="117" t="str">
        <x:v>0.004439799929969013</x:v>
      </x:c>
      <x:c r="CP33" s="117" t="str">
        <x:v>39</x:v>
      </x:c>
      <x:c r="CQ33" s="117" t="str">
        <x:v>39</x:v>
      </x:c>
      <x:c r="CR33" s="117" t="str">
        <x:v>1.4410117999650538</x:v>
      </x:c>
      <x:c r="CS33" s="117" t="str">
        <x:v>True</x:v>
      </x:c>
      <x:c r="CT33" s="117" t="str">
        <x:v>0</x:v>
      </x:c>
      <x:c r="CU33" s="117" t="str">
        <x:v>0</x:v>
      </x:c>
      <x:c r="CV33" s="117" t="str">
        <x:v>0</x:v>
      </x:c>
    </x:row>
    <x:row r="34">
      <x:c r="A34" s="117" t="str">
        <x:v>200</x:v>
      </x:c>
      <x:c r="B34" s="117" t="str">
        <x:v>0.5</x:v>
      </x:c>
      <x:c r="C34" s="117" t="str">
        <x:v>3</x:v>
      </x:c>
      <x:c r="D34" s="117" t="str">
        <x:v>445207504</x:v>
      </x:c>
      <x:c r="E34" s="117" t="str">
        <x:v>9669</x:v>
      </x:c>
      <x:c r="F34" s="117" t="str">
        <x:v>1</x:v>
      </x:c>
      <x:c r="G34" s="117" t="str">
        <x:v>200</x:v>
      </x:c>
      <x:c r="H34" s="117" t="str">
        <x:v>96.69</x:v>
      </x:c>
      <x:c r="I34" s="117" t="str">
        <x:v>0.4858793969849246</x:v>
      </x:c>
      <x:c r="J34" s="117" t="str">
        <x:v>5</x:v>
      </x:c>
      <x:c r="K34" s="117" t="str">
        <x:v>zoomed,ich,grid,circle</x:v>
      </x:c>
      <x:c r="L34" s="117" t="str">
        <x:v>historical baseline; not timed in this repair session</x:v>
      </x:c>
      <x:c r="M34" s="117" t="str">
        <x:v>44</x:v>
      </x:c>
      <x:c r="N34" s="117" t="str">
        <x:v>0.9821309999097139</x:v>
      </x:c>
      <x:c r="O34" s="117" t="str">
        <x:v>True</x:v>
      </x:c>
      <x:c r="P34" s="117" t="str">
        <x:v>37</x:v>
      </x:c>
      <x:c r="Q34" s="117" t="str">
        <x:v>True</x:v>
      </x:c>
      <x:c r="R34" s="117" t="str">
        <x:v>38</x:v>
      </x:c>
      <x:c r="S34" s="117" t="str">
        <x:v>37</x:v>
      </x:c>
      <x:c r="T34" s="117" t="str">
        <x:v>0.6498236000770703</x:v>
      </x:c>
      <x:c r="U34" s="117" t="str">
        <x:v>True</x:v>
      </x:c>
      <x:c r="V34" s="117" t="str">
        <x:v>True</x:v>
      </x:c>
      <x:c r="W34" s="117" t="str">
        <x:v>True</x:v>
      </x:c>
      <x:c r="X34" s="117" t="str">
        <x:v>0</x:v>
      </x:c>
      <x:c r="Y34" s="117" t="str">
        <x:v>0</x:v>
      </x:c>
      <x:c r="Z34" s="117" t="str"/>
      <x:c r="AA34" s="117" t="str">
        <x:v>0.004241500049829483</x:v>
      </x:c>
      <x:c r="AB34" s="117" t="str">
        <x:v>37</x:v>
      </x:c>
      <x:c r="AC34" s="117" t="str">
        <x:v>37</x:v>
      </x:c>
      <x:c r="AD34" s="117" t="str">
        <x:v>0.6540651001268998</x:v>
      </x:c>
      <x:c r="AE34" s="117" t="str">
        <x:v>True</x:v>
      </x:c>
      <x:c r="AF34" s="117" t="str">
        <x:v>0</x:v>
      </x:c>
      <x:c r="AG34" s="117" t="str">
        <x:v>0</x:v>
      </x:c>
      <x:c r="AH34" s="117" t="str">
        <x:v>0</x:v>
      </x:c>
      <x:c r="AI34" s="117" t="str">
        <x:v>43</x:v>
      </x:c>
      <x:c r="AJ34" s="117" t="str">
        <x:v>0.1182067000772804</x:v>
      </x:c>
      <x:c r="AK34" s="117" t="str">
        <x:v>True</x:v>
      </x:c>
      <x:c r="AL34" s="117" t="str">
        <x:v>48</x:v>
      </x:c>
      <x:c r="AM34" s="117" t="str">
        <x:v>True</x:v>
      </x:c>
      <x:c r="AN34" s="117" t="str">
        <x:v>145</x:v>
      </x:c>
      <x:c r="AO34" s="117" t="str">
        <x:v>48</x:v>
      </x:c>
      <x:c r="AP34" s="117" t="str">
        <x:v>0.11169509997125715</x:v>
      </x:c>
      <x:c r="AQ34" s="117" t="str">
        <x:v>True</x:v>
      </x:c>
      <x:c r="AR34" s="117" t="str">
        <x:v>True</x:v>
      </x:c>
      <x:c r="AS34" s="117" t="str">
        <x:v>True</x:v>
      </x:c>
      <x:c r="AT34" s="117" t="str">
        <x:v>0</x:v>
      </x:c>
      <x:c r="AU34" s="117" t="str">
        <x:v>0</x:v>
      </x:c>
      <x:c r="AV34" s="117" t="str"/>
      <x:c r="AW34" s="117" t="str">
        <x:v>0.005392199964262545</x:v>
      </x:c>
      <x:c r="AX34" s="117" t="str">
        <x:v>48</x:v>
      </x:c>
      <x:c r="AY34" s="117" t="str">
        <x:v>48</x:v>
      </x:c>
      <x:c r="AZ34" s="117" t="str">
        <x:v>0.1170872999355197</x:v>
      </x:c>
      <x:c r="BA34" s="117" t="str">
        <x:v>True</x:v>
      </x:c>
      <x:c r="BB34" s="117" t="str">
        <x:v>0</x:v>
      </x:c>
      <x:c r="BC34" s="117" t="str">
        <x:v>0</x:v>
      </x:c>
      <x:c r="BD34" s="117" t="str">
        <x:v>0</x:v>
      </x:c>
      <x:c r="BE34" s="117" t="str">
        <x:v>45</x:v>
      </x:c>
      <x:c r="BF34" s="117" t="str">
        <x:v>0.4619675000431016</x:v>
      </x:c>
      <x:c r="BG34" s="117" t="str">
        <x:v>True</x:v>
      </x:c>
      <x:c r="BH34" s="117" t="str">
        <x:v>40</x:v>
      </x:c>
      <x:c r="BI34" s="117" t="str">
        <x:v>True</x:v>
      </x:c>
      <x:c r="BJ34" s="117" t="str">
        <x:v>71</x:v>
      </x:c>
      <x:c r="BK34" s="117" t="str">
        <x:v>40</x:v>
      </x:c>
      <x:c r="BL34" s="117" t="str">
        <x:v>0.37115920009091496</x:v>
      </x:c>
      <x:c r="BM34" s="117" t="str">
        <x:v>True</x:v>
      </x:c>
      <x:c r="BN34" s="117" t="str">
        <x:v>True</x:v>
      </x:c>
      <x:c r="BO34" s="117" t="str">
        <x:v>True</x:v>
      </x:c>
      <x:c r="BP34" s="117" t="str">
        <x:v>0</x:v>
      </x:c>
      <x:c r="BQ34" s="117" t="str">
        <x:v>0</x:v>
      </x:c>
      <x:c r="BR34" s="117" t="str"/>
      <x:c r="BS34" s="117" t="str">
        <x:v>0.005208999966271222</x:v>
      </x:c>
      <x:c r="BT34" s="117" t="str">
        <x:v>40</x:v>
      </x:c>
      <x:c r="BU34" s="117" t="str">
        <x:v>40</x:v>
      </x:c>
      <x:c r="BV34" s="117" t="str">
        <x:v>0.3763682000571862</x:v>
      </x:c>
      <x:c r="BW34" s="117" t="str">
        <x:v>True</x:v>
      </x:c>
      <x:c r="BX34" s="117" t="str">
        <x:v>0</x:v>
      </x:c>
      <x:c r="BY34" s="117" t="str">
        <x:v>0</x:v>
      </x:c>
      <x:c r="BZ34" s="117" t="str">
        <x:v>0</x:v>
      </x:c>
      <x:c r="CA34" s="117" t="str">
        <x:v>41</x:v>
      </x:c>
      <x:c r="CB34" s="117" t="str">
        <x:v>1.3541628000093624</x:v>
      </x:c>
      <x:c r="CC34" s="117" t="str">
        <x:v>True</x:v>
      </x:c>
      <x:c r="CD34" s="117" t="str">
        <x:v>39</x:v>
      </x:c>
      <x:c r="CE34" s="117" t="str">
        <x:v>True</x:v>
      </x:c>
      <x:c r="CF34" s="117" t="str">
        <x:v>39</x:v>
      </x:c>
      <x:c r="CG34" s="117" t="str">
        <x:v>39</x:v>
      </x:c>
      <x:c r="CH34" s="117" t="str">
        <x:v>1.505722500034608</x:v>
      </x:c>
      <x:c r="CI34" s="117" t="str">
        <x:v>True</x:v>
      </x:c>
      <x:c r="CJ34" s="117" t="str">
        <x:v>True</x:v>
      </x:c>
      <x:c r="CK34" s="117" t="str">
        <x:v>True</x:v>
      </x:c>
      <x:c r="CL34" s="117" t="str">
        <x:v>0</x:v>
      </x:c>
      <x:c r="CM34" s="117" t="str">
        <x:v>0</x:v>
      </x:c>
      <x:c r="CN34" s="117" t="str"/>
      <x:c r="CO34" s="117" t="str">
        <x:v>0.0041053000604733825</x:v>
      </x:c>
      <x:c r="CP34" s="117" t="str">
        <x:v>39</x:v>
      </x:c>
      <x:c r="CQ34" s="117" t="str">
        <x:v>39</x:v>
      </x:c>
      <x:c r="CR34" s="117" t="str">
        <x:v>1.5098278000950813</x:v>
      </x:c>
      <x:c r="CS34" s="117" t="str">
        <x:v>True</x:v>
      </x:c>
      <x:c r="CT34" s="117" t="str">
        <x:v>0</x:v>
      </x:c>
      <x:c r="CU34" s="117" t="str">
        <x:v>0</x:v>
      </x:c>
      <x:c r="CV34" s="117" t="str">
        <x:v>0</x:v>
      </x:c>
    </x:row>
    <x:row r="35">
      <x:c r="A35" s="117" t="str">
        <x:v>200</x:v>
      </x:c>
      <x:c r="B35" s="117" t="str">
        <x:v>0.7</x:v>
      </x:c>
      <x:c r="C35" s="117" t="str">
        <x:v>1</x:v>
      </x:c>
      <x:c r="D35" s="117" t="str">
        <x:v>2846692824</x:v>
      </x:c>
      <x:c r="E35" s="117" t="str">
        <x:v>14978</x:v>
      </x:c>
      <x:c r="F35" s="117" t="str">
        <x:v>1</x:v>
      </x:c>
      <x:c r="G35" s="117" t="str">
        <x:v>200</x:v>
      </x:c>
      <x:c r="H35" s="117" t="str">
        <x:v>149.78</x:v>
      </x:c>
      <x:c r="I35" s="117" t="str">
        <x:v>0.7526633165829145</x:v>
      </x:c>
      <x:c r="J35" s="117" t="str">
        <x:v>5</x:v>
      </x:c>
      <x:c r="K35" s="117" t="str">
        <x:v>grid,circle,zoomed,ich</x:v>
      </x:c>
      <x:c r="L35" s="117" t="str">
        <x:v>historical baseline; not timed in this repair session</x:v>
      </x:c>
      <x:c r="M35" s="117" t="str">
        <x:v>64</x:v>
      </x:c>
      <x:c r="N35" s="117" t="str">
        <x:v>0.9302510999841616</x:v>
      </x:c>
      <x:c r="O35" s="117" t="str">
        <x:v>True</x:v>
      </x:c>
      <x:c r="P35" s="117" t="str">
        <x:v>57</x:v>
      </x:c>
      <x:c r="Q35" s="117" t="str">
        <x:v>True</x:v>
      </x:c>
      <x:c r="R35" s="117" t="str">
        <x:v>57</x:v>
      </x:c>
      <x:c r="S35" s="117" t="str">
        <x:v>57</x:v>
      </x:c>
      <x:c r="T35" s="117" t="str">
        <x:v>0.6993116999510676</x:v>
      </x:c>
      <x:c r="U35" s="117" t="str">
        <x:v>True</x:v>
      </x:c>
      <x:c r="V35" s="117" t="str">
        <x:v>True</x:v>
      </x:c>
      <x:c r="W35" s="117" t="str">
        <x:v>True</x:v>
      </x:c>
      <x:c r="X35" s="117" t="str">
        <x:v>0</x:v>
      </x:c>
      <x:c r="Y35" s="117" t="str">
        <x:v>0</x:v>
      </x:c>
      <x:c r="Z35" s="117" t="str"/>
      <x:c r="AA35" s="117" t="str">
        <x:v>0.005728200078010559</x:v>
      </x:c>
      <x:c r="AB35" s="117" t="str">
        <x:v>57</x:v>
      </x:c>
      <x:c r="AC35" s="117" t="str">
        <x:v>57</x:v>
      </x:c>
      <x:c r="AD35" s="117" t="str">
        <x:v>0.7050399000290781</x:v>
      </x:c>
      <x:c r="AE35" s="117" t="str">
        <x:v>True</x:v>
      </x:c>
      <x:c r="AF35" s="117" t="str">
        <x:v>0</x:v>
      </x:c>
      <x:c r="AG35" s="117" t="str">
        <x:v>0</x:v>
      </x:c>
      <x:c r="AH35" s="117" t="str">
        <x:v>0</x:v>
      </x:c>
      <x:c r="AI35" s="117" t="str">
        <x:v>74</x:v>
      </x:c>
      <x:c r="AJ35" s="117" t="str">
        <x:v>0.23388960002921522</x:v>
      </x:c>
      <x:c r="AK35" s="117" t="str">
        <x:v>True</x:v>
      </x:c>
      <x:c r="AL35" s="117" t="str">
        <x:v>74</x:v>
      </x:c>
      <x:c r="AM35" s="117" t="str">
        <x:v>True</x:v>
      </x:c>
      <x:c r="AN35" s="117" t="str">
        <x:v>170</x:v>
      </x:c>
      <x:c r="AO35" s="117" t="str">
        <x:v>74</x:v>
      </x:c>
      <x:c r="AP35" s="117" t="str">
        <x:v>0.2357099000364542</x:v>
      </x:c>
      <x:c r="AQ35" s="117" t="str">
        <x:v>True</x:v>
      </x:c>
      <x:c r="AR35" s="117" t="str">
        <x:v>True</x:v>
      </x:c>
      <x:c r="AS35" s="117" t="str">
        <x:v>True</x:v>
      </x:c>
      <x:c r="AT35" s="117" t="str">
        <x:v>0</x:v>
      </x:c>
      <x:c r="AU35" s="117" t="str">
        <x:v>0</x:v>
      </x:c>
      <x:c r="AV35" s="117" t="str"/>
      <x:c r="AW35" s="117" t="str">
        <x:v>0.010027099982835352</x:v>
      </x:c>
      <x:c r="AX35" s="117" t="str">
        <x:v>74</x:v>
      </x:c>
      <x:c r="AY35" s="117" t="str">
        <x:v>74</x:v>
      </x:c>
      <x:c r="AZ35" s="117" t="str">
        <x:v>0.24573700001928955</x:v>
      </x:c>
      <x:c r="BA35" s="117" t="str">
        <x:v>True</x:v>
      </x:c>
      <x:c r="BB35" s="117" t="str">
        <x:v>0</x:v>
      </x:c>
      <x:c r="BC35" s="117" t="str">
        <x:v>0</x:v>
      </x:c>
      <x:c r="BD35" s="117" t="str">
        <x:v>0</x:v>
      </x:c>
      <x:c r="BE35" s="117" t="str">
        <x:v>75</x:v>
      </x:c>
      <x:c r="BF35" s="117" t="str">
        <x:v>0.39204230008181185</x:v>
      </x:c>
      <x:c r="BG35" s="117" t="str">
        <x:v>True</x:v>
      </x:c>
      <x:c r="BH35" s="117" t="str">
        <x:v>72</x:v>
      </x:c>
      <x:c r="BI35" s="117" t="str">
        <x:v>True</x:v>
      </x:c>
      <x:c r="BJ35" s="117" t="str">
        <x:v>135</x:v>
      </x:c>
      <x:c r="BK35" s="117" t="str">
        <x:v>72</x:v>
      </x:c>
      <x:c r="BL35" s="117" t="str">
        <x:v>0.3998591999989003</x:v>
      </x:c>
      <x:c r="BM35" s="117" t="str">
        <x:v>True</x:v>
      </x:c>
      <x:c r="BN35" s="117" t="str">
        <x:v>True</x:v>
      </x:c>
      <x:c r="BO35" s="117" t="str">
        <x:v>True</x:v>
      </x:c>
      <x:c r="BP35" s="117" t="str">
        <x:v>0</x:v>
      </x:c>
      <x:c r="BQ35" s="117" t="str">
        <x:v>0</x:v>
      </x:c>
      <x:c r="BR35" s="117" t="str"/>
      <x:c r="BS35" s="117" t="str">
        <x:v>0.00818150001578033</x:v>
      </x:c>
      <x:c r="BT35" s="117" t="str">
        <x:v>72</x:v>
      </x:c>
      <x:c r="BU35" s="117" t="str">
        <x:v>72</x:v>
      </x:c>
      <x:c r="BV35" s="117" t="str">
        <x:v>0.4080407000146806</x:v>
      </x:c>
      <x:c r="BW35" s="117" t="str">
        <x:v>True</x:v>
      </x:c>
      <x:c r="BX35" s="117" t="str">
        <x:v>0</x:v>
      </x:c>
      <x:c r="BY35" s="117" t="str">
        <x:v>0</x:v>
      </x:c>
      <x:c r="BZ35" s="117" t="str">
        <x:v>0</x:v>
      </x:c>
      <x:c r="CA35" s="117" t="str">
        <x:v>61</x:v>
      </x:c>
      <x:c r="CB35" s="117" t="str">
        <x:v>1.6860307999886572</x:v>
      </x:c>
      <x:c r="CC35" s="117" t="str">
        <x:v>True</x:v>
      </x:c>
      <x:c r="CD35" s="117" t="str">
        <x:v>60</x:v>
      </x:c>
      <x:c r="CE35" s="117" t="str">
        <x:v>True</x:v>
      </x:c>
      <x:c r="CF35" s="117" t="str">
        <x:v>60</x:v>
      </x:c>
      <x:c r="CG35" s="117" t="str">
        <x:v>60</x:v>
      </x:c>
      <x:c r="CH35" s="117" t="str">
        <x:v>1.7042258000001311</x:v>
      </x:c>
      <x:c r="CI35" s="117" t="str">
        <x:v>True</x:v>
      </x:c>
      <x:c r="CJ35" s="117" t="str">
        <x:v>True</x:v>
      </x:c>
      <x:c r="CK35" s="117" t="str">
        <x:v>True</x:v>
      </x:c>
      <x:c r="CL35" s="117" t="str">
        <x:v>0</x:v>
      </x:c>
      <x:c r="CM35" s="117" t="str">
        <x:v>0</x:v>
      </x:c>
      <x:c r="CN35" s="117" t="str"/>
      <x:c r="CO35" s="117" t="str">
        <x:v>0.006244299933314323</x:v>
      </x:c>
      <x:c r="CP35" s="117" t="str">
        <x:v>60</x:v>
      </x:c>
      <x:c r="CQ35" s="117" t="str">
        <x:v>60</x:v>
      </x:c>
      <x:c r="CR35" s="117" t="str">
        <x:v>1.7104700999334455</x:v>
      </x:c>
      <x:c r="CS35" s="117" t="str">
        <x:v>True</x:v>
      </x:c>
      <x:c r="CT35" s="117" t="str">
        <x:v>0</x:v>
      </x:c>
      <x:c r="CU35" s="117" t="str">
        <x:v>0</x:v>
      </x:c>
      <x:c r="CV35" s="117" t="str">
        <x:v>0</x:v>
      </x:c>
    </x:row>
    <x:row r="36">
      <x:c r="A36" s="117" t="str">
        <x:v>200</x:v>
      </x:c>
      <x:c r="B36" s="117" t="str">
        <x:v>0.7</x:v>
      </x:c>
      <x:c r="C36" s="117" t="str">
        <x:v>2</x:v>
      </x:c>
      <x:c r="D36" s="117" t="str">
        <x:v>2777253374</x:v>
      </x:c>
      <x:c r="E36" s="117" t="str">
        <x:v>15264</x:v>
      </x:c>
      <x:c r="F36" s="117" t="str">
        <x:v>1</x:v>
      </x:c>
      <x:c r="G36" s="117" t="str">
        <x:v>200</x:v>
      </x:c>
      <x:c r="H36" s="117" t="str">
        <x:v>152.64</x:v>
      </x:c>
      <x:c r="I36" s="117" t="str">
        <x:v>0.767035175879397</x:v>
      </x:c>
      <x:c r="J36" s="117" t="str">
        <x:v>5</x:v>
      </x:c>
      <x:c r="K36" s="117" t="str">
        <x:v>circle,zoomed,ich,grid</x:v>
      </x:c>
      <x:c r="L36" s="117" t="str">
        <x:v>historical baseline; not timed in this repair session</x:v>
      </x:c>
      <x:c r="M36" s="117" t="str">
        <x:v>65</x:v>
      </x:c>
      <x:c r="N36" s="117" t="str">
        <x:v>0.9642201999668032</x:v>
      </x:c>
      <x:c r="O36" s="117" t="str">
        <x:v>True</x:v>
      </x:c>
      <x:c r="P36" s="117" t="str">
        <x:v>59</x:v>
      </x:c>
      <x:c r="Q36" s="117" t="str">
        <x:v>True</x:v>
      </x:c>
      <x:c r="R36" s="117" t="str">
        <x:v>63</x:v>
      </x:c>
      <x:c r="S36" s="117" t="str">
        <x:v>59</x:v>
      </x:c>
      <x:c r="T36" s="117" t="str">
        <x:v>0.7682135999202728</x:v>
      </x:c>
      <x:c r="U36" s="117" t="str">
        <x:v>True</x:v>
      </x:c>
      <x:c r="V36" s="117" t="str">
        <x:v>True</x:v>
      </x:c>
      <x:c r="W36" s="117" t="str">
        <x:v>True</x:v>
      </x:c>
      <x:c r="X36" s="117" t="str">
        <x:v>0</x:v>
      </x:c>
      <x:c r="Y36" s="117" t="str">
        <x:v>0</x:v>
      </x:c>
      <x:c r="Z36" s="117" t="str"/>
      <x:c r="AA36" s="117" t="str">
        <x:v>0.00540500006172806</x:v>
      </x:c>
      <x:c r="AB36" s="117" t="str">
        <x:v>59</x:v>
      </x:c>
      <x:c r="AC36" s="117" t="str">
        <x:v>59</x:v>
      </x:c>
      <x:c r="AD36" s="117" t="str">
        <x:v>0.7736185999820009</x:v>
      </x:c>
      <x:c r="AE36" s="117" t="str">
        <x:v>True</x:v>
      </x:c>
      <x:c r="AF36" s="117" t="str">
        <x:v>0</x:v>
      </x:c>
      <x:c r="AG36" s="117" t="str">
        <x:v>0</x:v>
      </x:c>
      <x:c r="AH36" s="117" t="str">
        <x:v>0</x:v>
      </x:c>
      <x:c r="AI36" s="117" t="str">
        <x:v>70</x:v>
      </x:c>
      <x:c r="AJ36" s="117" t="str">
        <x:v>0.3817505999468267</x:v>
      </x:c>
      <x:c r="AK36" s="117" t="str">
        <x:v>True</x:v>
      </x:c>
      <x:c r="AL36" s="117" t="str">
        <x:v>71</x:v>
      </x:c>
      <x:c r="AM36" s="117" t="str">
        <x:v>True</x:v>
      </x:c>
      <x:c r="AN36" s="117" t="str">
        <x:v>183</x:v>
      </x:c>
      <x:c r="AO36" s="117" t="str">
        <x:v>71</x:v>
      </x:c>
      <x:c r="AP36" s="117" t="str">
        <x:v>0.41277160006575286</x:v>
      </x:c>
      <x:c r="AQ36" s="117" t="str">
        <x:v>True</x:v>
      </x:c>
      <x:c r="AR36" s="117" t="str">
        <x:v>True</x:v>
      </x:c>
      <x:c r="AS36" s="117" t="str">
        <x:v>True</x:v>
      </x:c>
      <x:c r="AT36" s="117" t="str">
        <x:v>0</x:v>
      </x:c>
      <x:c r="AU36" s="117" t="str">
        <x:v>0</x:v>
      </x:c>
      <x:c r="AV36" s="117" t="str"/>
      <x:c r="AW36" s="117" t="str">
        <x:v>0.006309500080533326</x:v>
      </x:c>
      <x:c r="AX36" s="117" t="str">
        <x:v>71</x:v>
      </x:c>
      <x:c r="AY36" s="117" t="str">
        <x:v>71</x:v>
      </x:c>
      <x:c r="AZ36" s="117" t="str">
        <x:v>0.4190811001462862</x:v>
      </x:c>
      <x:c r="BA36" s="117" t="str">
        <x:v>True</x:v>
      </x:c>
      <x:c r="BB36" s="117" t="str">
        <x:v>0</x:v>
      </x:c>
      <x:c r="BC36" s="117" t="str">
        <x:v>0</x:v>
      </x:c>
      <x:c r="BD36" s="117" t="str">
        <x:v>0</x:v>
      </x:c>
      <x:c r="BE36" s="117" t="str">
        <x:v>64</x:v>
      </x:c>
      <x:c r="BF36" s="117" t="str">
        <x:v>0.4369277999503538</x:v>
      </x:c>
      <x:c r="BG36" s="117" t="str">
        <x:v>True</x:v>
      </x:c>
      <x:c r="BH36" s="117" t="str">
        <x:v>62</x:v>
      </x:c>
      <x:c r="BI36" s="117" t="str">
        <x:v>True</x:v>
      </x:c>
      <x:c r="BJ36" s="117" t="str">
        <x:v>122</x:v>
      </x:c>
      <x:c r="BK36" s="117" t="str">
        <x:v>62</x:v>
      </x:c>
      <x:c r="BL36" s="117" t="str">
        <x:v>0.4873519000830129</x:v>
      </x:c>
      <x:c r="BM36" s="117" t="str">
        <x:v>True</x:v>
      </x:c>
      <x:c r="BN36" s="117" t="str">
        <x:v>True</x:v>
      </x:c>
      <x:c r="BO36" s="117" t="str">
        <x:v>True</x:v>
      </x:c>
      <x:c r="BP36" s="117" t="str">
        <x:v>0</x:v>
      </x:c>
      <x:c r="BQ36" s="117" t="str">
        <x:v>0</x:v>
      </x:c>
      <x:c r="BR36" s="117" t="str"/>
      <x:c r="BS36" s="117" t="str">
        <x:v>0.005638500093482435</x:v>
      </x:c>
      <x:c r="BT36" s="117" t="str">
        <x:v>62</x:v>
      </x:c>
      <x:c r="BU36" s="117" t="str">
        <x:v>62</x:v>
      </x:c>
      <x:c r="BV36" s="117" t="str">
        <x:v>0.4929904001764953</x:v>
      </x:c>
      <x:c r="BW36" s="117" t="str">
        <x:v>True</x:v>
      </x:c>
      <x:c r="BX36" s="117" t="str">
        <x:v>0</x:v>
      </x:c>
      <x:c r="BY36" s="117" t="str">
        <x:v>0</x:v>
      </x:c>
      <x:c r="BZ36" s="117" t="str">
        <x:v>0</x:v>
      </x:c>
      <x:c r="CA36" s="117" t="str">
        <x:v>61</x:v>
      </x:c>
      <x:c r="CB36" s="117" t="str">
        <x:v>1.6047682000789791</x:v>
      </x:c>
      <x:c r="CC36" s="117" t="str">
        <x:v>True</x:v>
      </x:c>
      <x:c r="CD36" s="117" t="str">
        <x:v>62</x:v>
      </x:c>
      <x:c r="CE36" s="117" t="str">
        <x:v>True</x:v>
      </x:c>
      <x:c r="CF36" s="117" t="str">
        <x:v>62</x:v>
      </x:c>
      <x:c r="CG36" s="117" t="str">
        <x:v>62</x:v>
      </x:c>
      <x:c r="CH36" s="117" t="str">
        <x:v>1.5248523000627756</x:v>
      </x:c>
      <x:c r="CI36" s="117" t="str">
        <x:v>True</x:v>
      </x:c>
      <x:c r="CJ36" s="117" t="str">
        <x:v>True</x:v>
      </x:c>
      <x:c r="CK36" s="117" t="str">
        <x:v>True</x:v>
      </x:c>
      <x:c r="CL36" s="117" t="str">
        <x:v>0</x:v>
      </x:c>
      <x:c r="CM36" s="117" t="str">
        <x:v>0</x:v>
      </x:c>
      <x:c r="CN36" s="117" t="str"/>
      <x:c r="CO36" s="117" t="str">
        <x:v>0.0053088999120518565</x:v>
      </x:c>
      <x:c r="CP36" s="117" t="str">
        <x:v>62</x:v>
      </x:c>
      <x:c r="CQ36" s="117" t="str">
        <x:v>62</x:v>
      </x:c>
      <x:c r="CR36" s="117" t="str">
        <x:v>1.5301611999748275</x:v>
      </x:c>
      <x:c r="CS36" s="117" t="str">
        <x:v>True</x:v>
      </x:c>
      <x:c r="CT36" s="117" t="str">
        <x:v>0</x:v>
      </x:c>
      <x:c r="CU36" s="117" t="str">
        <x:v>0</x:v>
      </x:c>
      <x:c r="CV36" s="117" t="str">
        <x:v>0</x:v>
      </x:c>
    </x:row>
    <x:row r="37">
      <x:c r="A37" s="117" t="str">
        <x:v>200</x:v>
      </x:c>
      <x:c r="B37" s="117" t="str">
        <x:v>0.7</x:v>
      </x:c>
      <x:c r="C37" s="117" t="str">
        <x:v>3</x:v>
      </x:c>
      <x:c r="D37" s="117" t="str">
        <x:v>1341199423</x:v>
      </x:c>
      <x:c r="E37" s="117" t="str">
        <x:v>13628</x:v>
      </x:c>
      <x:c r="F37" s="117" t="str">
        <x:v>1</x:v>
      </x:c>
      <x:c r="G37" s="117" t="str">
        <x:v>200</x:v>
      </x:c>
      <x:c r="H37" s="117" t="str">
        <x:v>136.28</x:v>
      </x:c>
      <x:c r="I37" s="117" t="str">
        <x:v>0.6848241206030151</x:v>
      </x:c>
      <x:c r="J37" s="117" t="str">
        <x:v>5</x:v>
      </x:c>
      <x:c r="K37" s="117" t="str">
        <x:v>zoomed,ich,grid,circle</x:v>
      </x:c>
      <x:c r="L37" s="117" t="str">
        <x:v>historical baseline; not timed in this repair session</x:v>
      </x:c>
      <x:c r="M37" s="117" t="str">
        <x:v>54</x:v>
      </x:c>
      <x:c r="N37" s="117" t="str">
        <x:v>0.932438199990429</x:v>
      </x:c>
      <x:c r="O37" s="117" t="str">
        <x:v>True</x:v>
      </x:c>
      <x:c r="P37" s="117" t="str">
        <x:v>47</x:v>
      </x:c>
      <x:c r="Q37" s="117" t="str">
        <x:v>True</x:v>
      </x:c>
      <x:c r="R37" s="117" t="str">
        <x:v>47</x:v>
      </x:c>
      <x:c r="S37" s="117" t="str">
        <x:v>47</x:v>
      </x:c>
      <x:c r="T37" s="117" t="str">
        <x:v>0.6083920000819489</x:v>
      </x:c>
      <x:c r="U37" s="117" t="str">
        <x:v>True</x:v>
      </x:c>
      <x:c r="V37" s="117" t="str">
        <x:v>True</x:v>
      </x:c>
      <x:c r="W37" s="117" t="str">
        <x:v>True</x:v>
      </x:c>
      <x:c r="X37" s="117" t="str">
        <x:v>0</x:v>
      </x:c>
      <x:c r="Y37" s="117" t="str">
        <x:v>0</x:v>
      </x:c>
      <x:c r="Z37" s="117" t="str"/>
      <x:c r="AA37" s="117" t="str">
        <x:v>0.004568499978631735</x:v>
      </x:c>
      <x:c r="AB37" s="117" t="str">
        <x:v>47</x:v>
      </x:c>
      <x:c r="AC37" s="117" t="str">
        <x:v>47</x:v>
      </x:c>
      <x:c r="AD37" s="117" t="str">
        <x:v>0.6129605000605807</x:v>
      </x:c>
      <x:c r="AE37" s="117" t="str">
        <x:v>True</x:v>
      </x:c>
      <x:c r="AF37" s="117" t="str">
        <x:v>0</x:v>
      </x:c>
      <x:c r="AG37" s="117" t="str">
        <x:v>0</x:v>
      </x:c>
      <x:c r="AH37" s="117" t="str">
        <x:v>0</x:v>
      </x:c>
      <x:c r="AI37" s="117" t="str">
        <x:v>61</x:v>
      </x:c>
      <x:c r="AJ37" s="117" t="str">
        <x:v>0.2526017000200227</x:v>
      </x:c>
      <x:c r="AK37" s="117" t="str">
        <x:v>True</x:v>
      </x:c>
      <x:c r="AL37" s="117" t="str">
        <x:v>59</x:v>
      </x:c>
      <x:c r="AM37" s="117" t="str">
        <x:v>True</x:v>
      </x:c>
      <x:c r="AN37" s="117" t="str">
        <x:v>159</x:v>
      </x:c>
      <x:c r="AO37" s="117" t="str">
        <x:v>59</x:v>
      </x:c>
      <x:c r="AP37" s="117" t="str">
        <x:v>0.25578390003647655</x:v>
      </x:c>
      <x:c r="AQ37" s="117" t="str">
        <x:v>True</x:v>
      </x:c>
      <x:c r="AR37" s="117" t="str">
        <x:v>True</x:v>
      </x:c>
      <x:c r="AS37" s="117" t="str">
        <x:v>True</x:v>
      </x:c>
      <x:c r="AT37" s="117" t="str">
        <x:v>0</x:v>
      </x:c>
      <x:c r="AU37" s="117" t="str">
        <x:v>0</x:v>
      </x:c>
      <x:c r="AV37" s="117" t="str"/>
      <x:c r="AW37" s="117" t="str">
        <x:v>0.0059828000376001</x:v>
      </x:c>
      <x:c r="AX37" s="117" t="str">
        <x:v>59</x:v>
      </x:c>
      <x:c r="AY37" s="117" t="str">
        <x:v>59</x:v>
      </x:c>
      <x:c r="AZ37" s="117" t="str">
        <x:v>0.26176670007407665</x:v>
      </x:c>
      <x:c r="BA37" s="117" t="str">
        <x:v>True</x:v>
      </x:c>
      <x:c r="BB37" s="117" t="str">
        <x:v>0</x:v>
      </x:c>
      <x:c r="BC37" s="117" t="str">
        <x:v>0</x:v>
      </x:c>
      <x:c r="BD37" s="117" t="str">
        <x:v>0</x:v>
      </x:c>
      <x:c r="BE37" s="117" t="str">
        <x:v>57</x:v>
      </x:c>
      <x:c r="BF37" s="117" t="str">
        <x:v>0.5125522000016645</x:v>
      </x:c>
      <x:c r="BG37" s="117" t="str">
        <x:v>True</x:v>
      </x:c>
      <x:c r="BH37" s="117" t="str">
        <x:v>55</x:v>
      </x:c>
      <x:c r="BI37" s="117" t="str">
        <x:v>True</x:v>
      </x:c>
      <x:c r="BJ37" s="117" t="str">
        <x:v>88</x:v>
      </x:c>
      <x:c r="BK37" s="117" t="str">
        <x:v>55</x:v>
      </x:c>
      <x:c r="BL37" s="117" t="str">
        <x:v>0.4618202999699861</x:v>
      </x:c>
      <x:c r="BM37" s="117" t="str">
        <x:v>True</x:v>
      </x:c>
      <x:c r="BN37" s="117" t="str">
        <x:v>True</x:v>
      </x:c>
      <x:c r="BO37" s="117" t="str">
        <x:v>True</x:v>
      </x:c>
      <x:c r="BP37" s="117" t="str">
        <x:v>0</x:v>
      </x:c>
      <x:c r="BQ37" s="117" t="str">
        <x:v>0</x:v>
      </x:c>
      <x:c r="BR37" s="117" t="str"/>
      <x:c r="BS37" s="117" t="str">
        <x:v>0.004938600002788007</x:v>
      </x:c>
      <x:c r="BT37" s="117" t="str">
        <x:v>55</x:v>
      </x:c>
      <x:c r="BU37" s="117" t="str">
        <x:v>55</x:v>
      </x:c>
      <x:c r="BV37" s="117" t="str">
        <x:v>0.4667588999727741</x:v>
      </x:c>
      <x:c r="BW37" s="117" t="str">
        <x:v>True</x:v>
      </x:c>
      <x:c r="BX37" s="117" t="str">
        <x:v>0</x:v>
      </x:c>
      <x:c r="BY37" s="117" t="str">
        <x:v>0</x:v>
      </x:c>
      <x:c r="BZ37" s="117" t="str">
        <x:v>0</x:v>
      </x:c>
      <x:c r="CA37" s="117" t="str">
        <x:v>47</x:v>
      </x:c>
      <x:c r="CB37" s="117" t="str">
        <x:v>1.4095280999317765</x:v>
      </x:c>
      <x:c r="CC37" s="117" t="str">
        <x:v>True</x:v>
      </x:c>
      <x:c r="CD37" s="117" t="str">
        <x:v>50</x:v>
      </x:c>
      <x:c r="CE37" s="117" t="str">
        <x:v>True</x:v>
      </x:c>
      <x:c r="CF37" s="117" t="str">
        <x:v>50</x:v>
      </x:c>
      <x:c r="CG37" s="117" t="str">
        <x:v>50</x:v>
      </x:c>
      <x:c r="CH37" s="117" t="str">
        <x:v>1.4056405000155792</x:v>
      </x:c>
      <x:c r="CI37" s="117" t="str">
        <x:v>True</x:v>
      </x:c>
      <x:c r="CJ37" s="117" t="str">
        <x:v>True</x:v>
      </x:c>
      <x:c r="CK37" s="117" t="str">
        <x:v>True</x:v>
      </x:c>
      <x:c r="CL37" s="117" t="str">
        <x:v>0</x:v>
      </x:c>
      <x:c r="CM37" s="117" t="str">
        <x:v>0</x:v>
      </x:c>
      <x:c r="CN37" s="117" t="str"/>
      <x:c r="CO37" s="117" t="str">
        <x:v>0.007892599911428988</x:v>
      </x:c>
      <x:c r="CP37" s="117" t="str">
        <x:v>50</x:v>
      </x:c>
      <x:c r="CQ37" s="117" t="str">
        <x:v>50</x:v>
      </x:c>
      <x:c r="CR37" s="117" t="str">
        <x:v>1.4135330999270082</x:v>
      </x:c>
      <x:c r="CS37" s="117" t="str">
        <x:v>True</x:v>
      </x:c>
      <x:c r="CT37" s="117" t="str">
        <x:v>0</x:v>
      </x:c>
      <x:c r="CU37" s="117" t="str">
        <x:v>0</x:v>
      </x:c>
      <x:c r="CV37" s="117" t="str">
        <x:v>0</x:v>
      </x:c>
    </x:row>
    <x:row r="38">
      <x:c r="A38" s="117" t="str">
        <x:v>500</x:v>
      </x:c>
      <x:c r="B38" s="117" t="str">
        <x:v>0.1</x:v>
      </x:c>
      <x:c r="C38" s="117" t="str">
        <x:v>1</x:v>
      </x:c>
      <x:c r="D38" s="117" t="str">
        <x:v>3561489305</x:v>
      </x:c>
      <x:c r="E38" s="117" t="str">
        <x:v>3494</x:v>
      </x:c>
      <x:c r="F38" s="117" t="str">
        <x:v>1</x:v>
      </x:c>
      <x:c r="G38" s="117" t="str">
        <x:v>500</x:v>
      </x:c>
      <x:c r="H38" s="117" t="str">
        <x:v>13.976</x:v>
      </x:c>
      <x:c r="I38" s="117" t="str">
        <x:v>0.02800801603206413</x:v>
      </x:c>
      <x:c r="J38" s="117" t="str">
        <x:v>5</x:v>
      </x:c>
      <x:c r="K38" s="117" t="str">
        <x:v>grid,circle,zoomed,ich</x:v>
      </x:c>
      <x:c r="L38" s="117" t="str">
        <x:v>historical baseline; not timed in this repair session</x:v>
      </x:c>
      <x:c r="M38" s="117" t="str">
        <x:v>56</x:v>
      </x:c>
      <x:c r="N38" s="117" t="str">
        <x:v>0.7853285999735817</x:v>
      </x:c>
      <x:c r="O38" s="117" t="str">
        <x:v>True</x:v>
      </x:c>
      <x:c r="P38" s="117" t="str">
        <x:v>58</x:v>
      </x:c>
      <x:c r="Q38" s="117" t="str">
        <x:v>True</x:v>
      </x:c>
      <x:c r="R38" s="117" t="str">
        <x:v>180</x:v>
      </x:c>
      <x:c r="S38" s="117" t="str">
        <x:v>58</x:v>
      </x:c>
      <x:c r="T38" s="117" t="str">
        <x:v>0.5504365999950096</x:v>
      </x:c>
      <x:c r="U38" s="117" t="str">
        <x:v>True</x:v>
      </x:c>
      <x:c r="V38" s="117" t="str">
        <x:v>True</x:v>
      </x:c>
      <x:c r="W38" s="117" t="str">
        <x:v>True</x:v>
      </x:c>
      <x:c r="X38" s="117" t="str">
        <x:v>0</x:v>
      </x:c>
      <x:c r="Y38" s="117" t="str">
        <x:v>0</x:v>
      </x:c>
      <x:c r="Z38" s="117" t="str"/>
      <x:c r="AA38" s="117" t="str">
        <x:v>0.02138399996329099</x:v>
      </x:c>
      <x:c r="AB38" s="117" t="str">
        <x:v>58</x:v>
      </x:c>
      <x:c r="AC38" s="117" t="str">
        <x:v>58</x:v>
      </x:c>
      <x:c r="AD38" s="117" t="str">
        <x:v>0.5718205999583006</x:v>
      </x:c>
      <x:c r="AE38" s="117" t="str">
        <x:v>True</x:v>
      </x:c>
      <x:c r="AF38" s="117" t="str">
        <x:v>0</x:v>
      </x:c>
      <x:c r="AG38" s="117" t="str">
        <x:v>0</x:v>
      </x:c>
      <x:c r="AH38" s="117" t="str">
        <x:v>0</x:v>
      </x:c>
      <x:c r="AI38" s="117" t="str">
        <x:v>58</x:v>
      </x:c>
      <x:c r="AJ38" s="117" t="str">
        <x:v>0.9938068999908864</x:v>
      </x:c>
      <x:c r="AK38" s="117" t="str">
        <x:v>True</x:v>
      </x:c>
      <x:c r="AL38" s="117" t="str">
        <x:v>55</x:v>
      </x:c>
      <x:c r="AM38" s="117" t="str">
        <x:v>True</x:v>
      </x:c>
      <x:c r="AN38" s="117" t="str">
        <x:v>293</x:v>
      </x:c>
      <x:c r="AO38" s="117" t="str">
        <x:v>55</x:v>
      </x:c>
      <x:c r="AP38" s="117" t="str">
        <x:v>0.8537768999813125</x:v>
      </x:c>
      <x:c r="AQ38" s="117" t="str">
        <x:v>True</x:v>
      </x:c>
      <x:c r="AR38" s="117" t="str">
        <x:v>True</x:v>
      </x:c>
      <x:c r="AS38" s="117" t="str">
        <x:v>True</x:v>
      </x:c>
      <x:c r="AT38" s="117" t="str">
        <x:v>0</x:v>
      </x:c>
      <x:c r="AU38" s="117" t="str">
        <x:v>0</x:v>
      </x:c>
      <x:c r="AV38" s="117" t="str"/>
      <x:c r="AW38" s="117" t="str">
        <x:v>0.01824859995394945</x:v>
      </x:c>
      <x:c r="AX38" s="117" t="str">
        <x:v>55</x:v>
      </x:c>
      <x:c r="AY38" s="117" t="str">
        <x:v>55</x:v>
      </x:c>
      <x:c r="AZ38" s="117" t="str">
        <x:v>0.8720254999352619</x:v>
      </x:c>
      <x:c r="BA38" s="117" t="str">
        <x:v>True</x:v>
      </x:c>
      <x:c r="BB38" s="117" t="str">
        <x:v>0</x:v>
      </x:c>
      <x:c r="BC38" s="117" t="str">
        <x:v>0</x:v>
      </x:c>
      <x:c r="BD38" s="117" t="str">
        <x:v>0</x:v>
      </x:c>
      <x:c r="BE38" s="117" t="str">
        <x:v>57</x:v>
      </x:c>
      <x:c r="BF38" s="117" t="str">
        <x:v>0.8905953000066802</x:v>
      </x:c>
      <x:c r="BG38" s="117" t="str">
        <x:v>True</x:v>
      </x:c>
      <x:c r="BH38" s="117" t="str">
        <x:v>56</x:v>
      </x:c>
      <x:c r="BI38" s="117" t="str">
        <x:v>True</x:v>
      </x:c>
      <x:c r="BJ38" s="117" t="str">
        <x:v>270</x:v>
      </x:c>
      <x:c r="BK38" s="117" t="str">
        <x:v>56</x:v>
      </x:c>
      <x:c r="BL38" s="117" t="str">
        <x:v>0.8617533000651747</x:v>
      </x:c>
      <x:c r="BM38" s="117" t="str">
        <x:v>True</x:v>
      </x:c>
      <x:c r="BN38" s="117" t="str">
        <x:v>True</x:v>
      </x:c>
      <x:c r="BO38" s="117" t="str">
        <x:v>True</x:v>
      </x:c>
      <x:c r="BP38" s="117" t="str">
        <x:v>0</x:v>
      </x:c>
      <x:c r="BQ38" s="117" t="str">
        <x:v>0</x:v>
      </x:c>
      <x:c r="BR38" s="117" t="str"/>
      <x:c r="BS38" s="117" t="str">
        <x:v>0.01821479992941022</x:v>
      </x:c>
      <x:c r="BT38" s="117" t="str">
        <x:v>56</x:v>
      </x:c>
      <x:c r="BU38" s="117" t="str">
        <x:v>56</x:v>
      </x:c>
      <x:c r="BV38" s="117" t="str">
        <x:v>0.8799680999945849</x:v>
      </x:c>
      <x:c r="BW38" s="117" t="str">
        <x:v>True</x:v>
      </x:c>
      <x:c r="BX38" s="117" t="str">
        <x:v>0</x:v>
      </x:c>
      <x:c r="BY38" s="117" t="str">
        <x:v>0</x:v>
      </x:c>
      <x:c r="BZ38" s="117" t="str">
        <x:v>0</x:v>
      </x:c>
      <x:c r="CA38" s="117" t="str">
        <x:v>55</x:v>
      </x:c>
      <x:c r="CB38" s="117" t="str">
        <x:v>19.10659520002082</x:v>
      </x:c>
      <x:c r="CC38" s="117" t="str">
        <x:v>True</x:v>
      </x:c>
      <x:c r="CD38" s="117" t="str">
        <x:v>56</x:v>
      </x:c>
      <x:c r="CE38" s="117" t="str">
        <x:v>True</x:v>
      </x:c>
      <x:c r="CF38" s="117" t="str">
        <x:v>56</x:v>
      </x:c>
      <x:c r="CG38" s="117" t="str">
        <x:v>56</x:v>
      </x:c>
      <x:c r="CH38" s="117" t="str">
        <x:v>17.50390510004945</x:v>
      </x:c>
      <x:c r="CI38" s="117" t="str">
        <x:v>True</x:v>
      </x:c>
      <x:c r="CJ38" s="117" t="str">
        <x:v>True</x:v>
      </x:c>
      <x:c r="CK38" s="117" t="str">
        <x:v>True</x:v>
      </x:c>
      <x:c r="CL38" s="117" t="str">
        <x:v>0</x:v>
      </x:c>
      <x:c r="CM38" s="117" t="str">
        <x:v>0</x:v>
      </x:c>
      <x:c r="CN38" s="117" t="str"/>
      <x:c r="CO38" s="117" t="str">
        <x:v>0.017749099992215633</x:v>
      </x:c>
      <x:c r="CP38" s="117" t="str">
        <x:v>56</x:v>
      </x:c>
      <x:c r="CQ38" s="117" t="str">
        <x:v>56</x:v>
      </x:c>
      <x:c r="CR38" s="117" t="str">
        <x:v>17.521654200041667</x:v>
      </x:c>
      <x:c r="CS38" s="117" t="str">
        <x:v>True</x:v>
      </x:c>
      <x:c r="CT38" s="117" t="str">
        <x:v>0</x:v>
      </x:c>
      <x:c r="CU38" s="117" t="str">
        <x:v>0</x:v>
      </x:c>
      <x:c r="CV38" s="117" t="str">
        <x:v>0</x:v>
      </x:c>
    </x:row>
    <x:row r="39">
      <x:c r="A39" s="117" t="str">
        <x:v>500</x:v>
      </x:c>
      <x:c r="B39" s="117" t="str">
        <x:v>0.1</x:v>
      </x:c>
      <x:c r="C39" s="117" t="str">
        <x:v>2</x:v>
      </x:c>
      <x:c r="D39" s="117" t="str">
        <x:v>1763200285</x:v>
      </x:c>
      <x:c r="E39" s="117" t="str">
        <x:v>3612</x:v>
      </x:c>
      <x:c r="F39" s="117" t="str">
        <x:v>1</x:v>
      </x:c>
      <x:c r="G39" s="117" t="str">
        <x:v>500</x:v>
      </x:c>
      <x:c r="H39" s="117" t="str">
        <x:v>14.448</x:v>
      </x:c>
      <x:c r="I39" s="117" t="str">
        <x:v>0.02895390781563126</x:v>
      </x:c>
      <x:c r="J39" s="117" t="str">
        <x:v>5</x:v>
      </x:c>
      <x:c r="K39" s="117" t="str">
        <x:v>circle,zoomed,ich,grid</x:v>
      </x:c>
      <x:c r="L39" s="117" t="str">
        <x:v>historical baseline; not timed in this repair session</x:v>
      </x:c>
      <x:c r="M39" s="117" t="str">
        <x:v>61</x:v>
      </x:c>
      <x:c r="N39" s="117" t="str">
        <x:v>1.122770500020124</x:v>
      </x:c>
      <x:c r="O39" s="117" t="str">
        <x:v>True</x:v>
      </x:c>
      <x:c r="P39" s="117" t="str">
        <x:v>59</x:v>
      </x:c>
      <x:c r="Q39" s="117" t="str">
        <x:v>True</x:v>
      </x:c>
      <x:c r="R39" s="117" t="str">
        <x:v>185</x:v>
      </x:c>
      <x:c r="S39" s="117" t="str">
        <x:v>59</x:v>
      </x:c>
      <x:c r="T39" s="117" t="str">
        <x:v>0.5718751000240445</x:v>
      </x:c>
      <x:c r="U39" s="117" t="str">
        <x:v>True</x:v>
      </x:c>
      <x:c r="V39" s="117" t="str">
        <x:v>True</x:v>
      </x:c>
      <x:c r="W39" s="117" t="str">
        <x:v>True</x:v>
      </x:c>
      <x:c r="X39" s="117" t="str">
        <x:v>0</x:v>
      </x:c>
      <x:c r="Y39" s="117" t="str">
        <x:v>0</x:v>
      </x:c>
      <x:c r="Z39" s="117" t="str"/>
      <x:c r="AA39" s="117" t="str">
        <x:v>0.01989039999898523</x:v>
      </x:c>
      <x:c r="AB39" s="117" t="str">
        <x:v>59</x:v>
      </x:c>
      <x:c r="AC39" s="117" t="str">
        <x:v>59</x:v>
      </x:c>
      <x:c r="AD39" s="117" t="str">
        <x:v>0.5917655000230297</x:v>
      </x:c>
      <x:c r="AE39" s="117" t="str">
        <x:v>True</x:v>
      </x:c>
      <x:c r="AF39" s="117" t="str">
        <x:v>0</x:v>
      </x:c>
      <x:c r="AG39" s="117" t="str">
        <x:v>0</x:v>
      </x:c>
      <x:c r="AH39" s="117" t="str">
        <x:v>0</x:v>
      </x:c>
      <x:c r="AI39" s="117" t="str">
        <x:v>61</x:v>
      </x:c>
      <x:c r="AJ39" s="117" t="str">
        <x:v>0.8930303000379354</x:v>
      </x:c>
      <x:c r="AK39" s="117" t="str">
        <x:v>True</x:v>
      </x:c>
      <x:c r="AL39" s="117" t="str">
        <x:v>61</x:v>
      </x:c>
      <x:c r="AM39" s="117" t="str">
        <x:v>True</x:v>
      </x:c>
      <x:c r="AN39" s="117" t="str">
        <x:v>269</x:v>
      </x:c>
      <x:c r="AO39" s="117" t="str">
        <x:v>61</x:v>
      </x:c>
      <x:c r="AP39" s="117" t="str">
        <x:v>0.827664100099355</x:v>
      </x:c>
      <x:c r="AQ39" s="117" t="str">
        <x:v>True</x:v>
      </x:c>
      <x:c r="AR39" s="117" t="str">
        <x:v>True</x:v>
      </x:c>
      <x:c r="AS39" s="117" t="str">
        <x:v>True</x:v>
      </x:c>
      <x:c r="AT39" s="117" t="str">
        <x:v>0</x:v>
      </x:c>
      <x:c r="AU39" s="117" t="str">
        <x:v>0</x:v>
      </x:c>
      <x:c r="AV39" s="117" t="str"/>
      <x:c r="AW39" s="117" t="str">
        <x:v>0.022252999944612384</x:v>
      </x:c>
      <x:c r="AX39" s="117" t="str">
        <x:v>61</x:v>
      </x:c>
      <x:c r="AY39" s="117" t="str">
        <x:v>61</x:v>
      </x:c>
      <x:c r="AZ39" s="117" t="str">
        <x:v>0.8499171000439674</x:v>
      </x:c>
      <x:c r="BA39" s="117" t="str">
        <x:v>True</x:v>
      </x:c>
      <x:c r="BB39" s="117" t="str">
        <x:v>0</x:v>
      </x:c>
      <x:c r="BC39" s="117" t="str">
        <x:v>0</x:v>
      </x:c>
      <x:c r="BD39" s="117" t="str">
        <x:v>0</x:v>
      </x:c>
      <x:c r="BE39" s="117" t="str">
        <x:v>61</x:v>
      </x:c>
      <x:c r="BF39" s="117" t="str">
        <x:v>1.0702403000323102</x:v>
      </x:c>
      <x:c r="BG39" s="117" t="str">
        <x:v>True</x:v>
      </x:c>
      <x:c r="BH39" s="117" t="str">
        <x:v>63</x:v>
      </x:c>
      <x:c r="BI39" s="117" t="str">
        <x:v>True</x:v>
      </x:c>
      <x:c r="BJ39" s="117" t="str">
        <x:v>272</x:v>
      </x:c>
      <x:c r="BK39" s="117" t="str">
        <x:v>63</x:v>
      </x:c>
      <x:c r="BL39" s="117" t="str">
        <x:v>0.8660821000812575</x:v>
      </x:c>
      <x:c r="BM39" s="117" t="str">
        <x:v>True</x:v>
      </x:c>
      <x:c r="BN39" s="117" t="str">
        <x:v>True</x:v>
      </x:c>
      <x:c r="BO39" s="117" t="str">
        <x:v>True</x:v>
      </x:c>
      <x:c r="BP39" s="117" t="str">
        <x:v>0</x:v>
      </x:c>
      <x:c r="BQ39" s="117" t="str">
        <x:v>0</x:v>
      </x:c>
      <x:c r="BR39" s="117" t="str"/>
      <x:c r="BS39" s="117" t="str">
        <x:v>0.02028739999514073</x:v>
      </x:c>
      <x:c r="BT39" s="117" t="str">
        <x:v>63</x:v>
      </x:c>
      <x:c r="BU39" s="117" t="str">
        <x:v>63</x:v>
      </x:c>
      <x:c r="BV39" s="117" t="str">
        <x:v>0.8863695000763983</x:v>
      </x:c>
      <x:c r="BW39" s="117" t="str">
        <x:v>True</x:v>
      </x:c>
      <x:c r="BX39" s="117" t="str">
        <x:v>0</x:v>
      </x:c>
      <x:c r="BY39" s="117" t="str">
        <x:v>0</x:v>
      </x:c>
      <x:c r="BZ39" s="117" t="str">
        <x:v>0</x:v>
      </x:c>
      <x:c r="CA39" s="117" t="str">
        <x:v>63</x:v>
      </x:c>
      <x:c r="CB39" s="117" t="str">
        <x:v>21.22664899996016</x:v>
      </x:c>
      <x:c r="CC39" s="117" t="str">
        <x:v>True</x:v>
      </x:c>
      <x:c r="CD39" s="117" t="str">
        <x:v>62</x:v>
      </x:c>
      <x:c r="CE39" s="117" t="str">
        <x:v>True</x:v>
      </x:c>
      <x:c r="CF39" s="117" t="str">
        <x:v>62</x:v>
      </x:c>
      <x:c r="CG39" s="117" t="str">
        <x:v>62</x:v>
      </x:c>
      <x:c r="CH39" s="117" t="str">
        <x:v>18.41154809994623</x:v>
      </x:c>
      <x:c r="CI39" s="117" t="str">
        <x:v>True</x:v>
      </x:c>
      <x:c r="CJ39" s="117" t="str">
        <x:v>True</x:v>
      </x:c>
      <x:c r="CK39" s="117" t="str">
        <x:v>True</x:v>
      </x:c>
      <x:c r="CL39" s="117" t="str">
        <x:v>0</x:v>
      </x:c>
      <x:c r="CM39" s="117" t="str">
        <x:v>0</x:v>
      </x:c>
      <x:c r="CN39" s="117" t="str"/>
      <x:c r="CO39" s="117" t="str">
        <x:v>0.022279500029981136</x:v>
      </x:c>
      <x:c r="CP39" s="117" t="str">
        <x:v>62</x:v>
      </x:c>
      <x:c r="CQ39" s="117" t="str">
        <x:v>62</x:v>
      </x:c>
      <x:c r="CR39" s="117" t="str">
        <x:v>18.433827599976212</x:v>
      </x:c>
      <x:c r="CS39" s="117" t="str">
        <x:v>True</x:v>
      </x:c>
      <x:c r="CT39" s="117" t="str">
        <x:v>0</x:v>
      </x:c>
      <x:c r="CU39" s="117" t="str">
        <x:v>0</x:v>
      </x:c>
      <x:c r="CV39" s="117" t="str">
        <x:v>0</x:v>
      </x:c>
    </x:row>
    <x:row r="40">
      <x:c r="A40" s="117" t="str">
        <x:v>500</x:v>
      </x:c>
      <x:c r="B40" s="117" t="str">
        <x:v>0.1</x:v>
      </x:c>
      <x:c r="C40" s="117" t="str">
        <x:v>3</x:v>
      </x:c>
      <x:c r="D40" s="117" t="str">
        <x:v>3181236062</x:v>
      </x:c>
      <x:c r="E40" s="117" t="str">
        <x:v>3607</x:v>
      </x:c>
      <x:c r="F40" s="117" t="str">
        <x:v>1</x:v>
      </x:c>
      <x:c r="G40" s="117" t="str">
        <x:v>500</x:v>
      </x:c>
      <x:c r="H40" s="117" t="str">
        <x:v>14.428</x:v>
      </x:c>
      <x:c r="I40" s="117" t="str">
        <x:v>0.02891382765531062</x:v>
      </x:c>
      <x:c r="J40" s="117" t="str">
        <x:v>5</x:v>
      </x:c>
      <x:c r="K40" s="117" t="str">
        <x:v>zoomed,ich,grid,circle</x:v>
      </x:c>
      <x:c r="L40" s="117" t="str">
        <x:v>historical baseline; not timed in this repair session</x:v>
      </x:c>
      <x:c r="M40" s="117" t="str">
        <x:v>48</x:v>
      </x:c>
      <x:c r="N40" s="117" t="str">
        <x:v>0.7688188999891281</x:v>
      </x:c>
      <x:c r="O40" s="117" t="str">
        <x:v>True</x:v>
      </x:c>
      <x:c r="P40" s="117" t="str">
        <x:v>51</x:v>
      </x:c>
      <x:c r="Q40" s="117" t="str">
        <x:v>True</x:v>
      </x:c>
      <x:c r="R40" s="117" t="str">
        <x:v>192</x:v>
      </x:c>
      <x:c r="S40" s="117" t="str">
        <x:v>51</x:v>
      </x:c>
      <x:c r="T40" s="117" t="str">
        <x:v>0.5591194001026452</x:v>
      </x:c>
      <x:c r="U40" s="117" t="str">
        <x:v>True</x:v>
      </x:c>
      <x:c r="V40" s="117" t="str">
        <x:v>True</x:v>
      </x:c>
      <x:c r="W40" s="117" t="str">
        <x:v>True</x:v>
      </x:c>
      <x:c r="X40" s="117" t="str">
        <x:v>0</x:v>
      </x:c>
      <x:c r="Y40" s="117" t="str">
        <x:v>0</x:v>
      </x:c>
      <x:c r="Z40" s="117" t="str"/>
      <x:c r="AA40" s="117" t="str">
        <x:v>0.01684719999320805</x:v>
      </x:c>
      <x:c r="AB40" s="117" t="str">
        <x:v>51</x:v>
      </x:c>
      <x:c r="AC40" s="117" t="str">
        <x:v>51</x:v>
      </x:c>
      <x:c r="AD40" s="117" t="str">
        <x:v>0.5759666000958532</x:v>
      </x:c>
      <x:c r="AE40" s="117" t="str">
        <x:v>True</x:v>
      </x:c>
      <x:c r="AF40" s="117" t="str">
        <x:v>0</x:v>
      </x:c>
      <x:c r="AG40" s="117" t="str">
        <x:v>0</x:v>
      </x:c>
      <x:c r="AH40" s="117" t="str">
        <x:v>0</x:v>
      </x:c>
      <x:c r="AI40" s="117" t="str">
        <x:v>53</x:v>
      </x:c>
      <x:c r="AJ40" s="117" t="str">
        <x:v>0.788357499986887</x:v>
      </x:c>
      <x:c r="AK40" s="117" t="str">
        <x:v>True</x:v>
      </x:c>
      <x:c r="AL40" s="117" t="str">
        <x:v>52</x:v>
      </x:c>
      <x:c r="AM40" s="117" t="str">
        <x:v>True</x:v>
      </x:c>
      <x:c r="AN40" s="117" t="str">
        <x:v>266</x:v>
      </x:c>
      <x:c r="AO40" s="117" t="str">
        <x:v>52</x:v>
      </x:c>
      <x:c r="AP40" s="117" t="str">
        <x:v>0.6649963000090793</x:v>
      </x:c>
      <x:c r="AQ40" s="117" t="str">
        <x:v>True</x:v>
      </x:c>
      <x:c r="AR40" s="117" t="str">
        <x:v>True</x:v>
      </x:c>
      <x:c r="AS40" s="117" t="str">
        <x:v>True</x:v>
      </x:c>
      <x:c r="AT40" s="117" t="str">
        <x:v>0</x:v>
      </x:c>
      <x:c r="AU40" s="117" t="str">
        <x:v>0</x:v>
      </x:c>
      <x:c r="AV40" s="117" t="str"/>
      <x:c r="AW40" s="117" t="str">
        <x:v>0.018375899991951883</x:v>
      </x:c>
      <x:c r="AX40" s="117" t="str">
        <x:v>52</x:v>
      </x:c>
      <x:c r="AY40" s="117" t="str">
        <x:v>52</x:v>
      </x:c>
      <x:c r="AZ40" s="117" t="str">
        <x:v>0.6833722000010312</x:v>
      </x:c>
      <x:c r="BA40" s="117" t="str">
        <x:v>True</x:v>
      </x:c>
      <x:c r="BB40" s="117" t="str">
        <x:v>0</x:v>
      </x:c>
      <x:c r="BC40" s="117" t="str">
        <x:v>0</x:v>
      </x:c>
      <x:c r="BD40" s="117" t="str">
        <x:v>0</x:v>
      </x:c>
      <x:c r="BE40" s="117" t="str">
        <x:v>54</x:v>
      </x:c>
      <x:c r="BF40" s="117" t="str">
        <x:v>0.8148025000700727</x:v>
      </x:c>
      <x:c r="BG40" s="117" t="str">
        <x:v>True</x:v>
      </x:c>
      <x:c r="BH40" s="117" t="str">
        <x:v>50</x:v>
      </x:c>
      <x:c r="BI40" s="117" t="str">
        <x:v>True</x:v>
      </x:c>
      <x:c r="BJ40" s="117" t="str">
        <x:v>249</x:v>
      </x:c>
      <x:c r="BK40" s="117" t="str">
        <x:v>50</x:v>
      </x:c>
      <x:c r="BL40" s="117" t="str">
        <x:v>0.6572680999524891</x:v>
      </x:c>
      <x:c r="BM40" s="117" t="str">
        <x:v>True</x:v>
      </x:c>
      <x:c r="BN40" s="117" t="str">
        <x:v>True</x:v>
      </x:c>
      <x:c r="BO40" s="117" t="str">
        <x:v>True</x:v>
      </x:c>
      <x:c r="BP40" s="117" t="str">
        <x:v>0</x:v>
      </x:c>
      <x:c r="BQ40" s="117" t="str">
        <x:v>0</x:v>
      </x:c>
      <x:c r="BR40" s="117" t="str"/>
      <x:c r="BS40" s="117" t="str">
        <x:v>0.019596799975261092</x:v>
      </x:c>
      <x:c r="BT40" s="117" t="str">
        <x:v>50</x:v>
      </x:c>
      <x:c r="BU40" s="117" t="str">
        <x:v>50</x:v>
      </x:c>
      <x:c r="BV40" s="117" t="str">
        <x:v>0.6768648999277502</x:v>
      </x:c>
      <x:c r="BW40" s="117" t="str">
        <x:v>True</x:v>
      </x:c>
      <x:c r="BX40" s="117" t="str">
        <x:v>0</x:v>
      </x:c>
      <x:c r="BY40" s="117" t="str">
        <x:v>0</x:v>
      </x:c>
      <x:c r="BZ40" s="117" t="str">
        <x:v>0</x:v>
      </x:c>
      <x:c r="CA40" s="117" t="str">
        <x:v>49</x:v>
      </x:c>
      <x:c r="CB40" s="117" t="str">
        <x:v>17.94523339997977</x:v>
      </x:c>
      <x:c r="CC40" s="117" t="str">
        <x:v>True</x:v>
      </x:c>
      <x:c r="CD40" s="117" t="str">
        <x:v>52</x:v>
      </x:c>
      <x:c r="CE40" s="117" t="str">
        <x:v>True</x:v>
      </x:c>
      <x:c r="CF40" s="117" t="str">
        <x:v>52</x:v>
      </x:c>
      <x:c r="CG40" s="117" t="str">
        <x:v>52</x:v>
      </x:c>
      <x:c r="CH40" s="117" t="str">
        <x:v>17.272724600043148</x:v>
      </x:c>
      <x:c r="CI40" s="117" t="str">
        <x:v>True</x:v>
      </x:c>
      <x:c r="CJ40" s="117" t="str">
        <x:v>True</x:v>
      </x:c>
      <x:c r="CK40" s="117" t="str">
        <x:v>True</x:v>
      </x:c>
      <x:c r="CL40" s="117" t="str">
        <x:v>0</x:v>
      </x:c>
      <x:c r="CM40" s="117" t="str">
        <x:v>0</x:v>
      </x:c>
      <x:c r="CN40" s="117" t="str"/>
      <x:c r="CO40" s="117" t="str">
        <x:v>0.017002200009301305</x:v>
      </x:c>
      <x:c r="CP40" s="117" t="str">
        <x:v>52</x:v>
      </x:c>
      <x:c r="CQ40" s="117" t="str">
        <x:v>52</x:v>
      </x:c>
      <x:c r="CR40" s="117" t="str">
        <x:v>17.28972680005245</x:v>
      </x:c>
      <x:c r="CS40" s="117" t="str">
        <x:v>True</x:v>
      </x:c>
      <x:c r="CT40" s="117" t="str">
        <x:v>0</x:v>
      </x:c>
      <x:c r="CU40" s="117" t="str">
        <x:v>0</x:v>
      </x:c>
      <x:c r="CV40" s="117" t="str">
        <x:v>0</x:v>
      </x:c>
    </x:row>
    <x:row r="41">
      <x:c r="A41" s="117" t="str">
        <x:v>500</x:v>
      </x:c>
      <x:c r="B41" s="117" t="str">
        <x:v>0.3</x:v>
      </x:c>
      <x:c r="C41" s="117" t="str">
        <x:v>1</x:v>
      </x:c>
      <x:c r="D41" s="117" t="str">
        <x:v>824905171</x:v>
      </x:c>
      <x:c r="E41" s="117" t="str">
        <x:v>27162</x:v>
      </x:c>
      <x:c r="F41" s="117" t="str">
        <x:v>1</x:v>
      </x:c>
      <x:c r="G41" s="117" t="str">
        <x:v>500</x:v>
      </x:c>
      <x:c r="H41" s="117" t="str">
        <x:v>108.648</x:v>
      </x:c>
      <x:c r="I41" s="117" t="str">
        <x:v>0.21773146292585172</x:v>
      </x:c>
      <x:c r="J41" s="117" t="str">
        <x:v>5</x:v>
      </x:c>
      <x:c r="K41" s="117" t="str">
        <x:v>grid,circle,zoomed,ich</x:v>
      </x:c>
      <x:c r="L41" s="117" t="str">
        <x:v>historical baseline; not timed in this repair session</x:v>
      </x:c>
      <x:c r="M41" s="117" t="str">
        <x:v>58</x:v>
      </x:c>
      <x:c r="N41" s="117" t="str">
        <x:v>1.5176848000846803</x:v>
      </x:c>
      <x:c r="O41" s="117" t="str">
        <x:v>True</x:v>
      </x:c>
      <x:c r="P41" s="117" t="str">
        <x:v>56</x:v>
      </x:c>
      <x:c r="Q41" s="117" t="str">
        <x:v>True</x:v>
      </x:c>
      <x:c r="R41" s="117" t="str">
        <x:v>137</x:v>
      </x:c>
      <x:c r="S41" s="117" t="str">
        <x:v>56</x:v>
      </x:c>
      <x:c r="T41" s="117" t="str">
        <x:v>1.0212782000890002</x:v>
      </x:c>
      <x:c r="U41" s="117" t="str">
        <x:v>True</x:v>
      </x:c>
      <x:c r="V41" s="117" t="str">
        <x:v>True</x:v>
      </x:c>
      <x:c r="W41" s="117" t="str">
        <x:v>True</x:v>
      </x:c>
      <x:c r="X41" s="117" t="str">
        <x:v>0</x:v>
      </x:c>
      <x:c r="Y41" s="117" t="str">
        <x:v>0</x:v>
      </x:c>
      <x:c r="Z41" s="117" t="str"/>
      <x:c r="AA41" s="117" t="str">
        <x:v>0.01835280004888773</x:v>
      </x:c>
      <x:c r="AB41" s="117" t="str">
        <x:v>56</x:v>
      </x:c>
      <x:c r="AC41" s="117" t="str">
        <x:v>56</x:v>
      </x:c>
      <x:c r="AD41" s="117" t="str">
        <x:v>1.039631000137888</x:v>
      </x:c>
      <x:c r="AE41" s="117" t="str">
        <x:v>True</x:v>
      </x:c>
      <x:c r="AF41" s="117" t="str">
        <x:v>0</x:v>
      </x:c>
      <x:c r="AG41" s="117" t="str">
        <x:v>0</x:v>
      </x:c>
      <x:c r="AH41" s="117" t="str">
        <x:v>0</x:v>
      </x:c>
      <x:c r="AI41" s="117" t="str">
        <x:v>62</x:v>
      </x:c>
      <x:c r="AJ41" s="117" t="str">
        <x:v>0.8682428000029176</x:v>
      </x:c>
      <x:c r="AK41" s="117" t="str">
        <x:v>True</x:v>
      </x:c>
      <x:c r="AL41" s="117" t="str">
        <x:v>57</x:v>
      </x:c>
      <x:c r="AM41" s="117" t="str">
        <x:v>True</x:v>
      </x:c>
      <x:c r="AN41" s="117" t="str">
        <x:v>394</x:v>
      </x:c>
      <x:c r="AO41" s="117" t="str">
        <x:v>57</x:v>
      </x:c>
      <x:c r="AP41" s="117" t="str">
        <x:v>0.8135351999662817</x:v>
      </x:c>
      <x:c r="AQ41" s="117" t="str">
        <x:v>True</x:v>
      </x:c>
      <x:c r="AR41" s="117" t="str">
        <x:v>True</x:v>
      </x:c>
      <x:c r="AS41" s="117" t="str">
        <x:v>True</x:v>
      </x:c>
      <x:c r="AT41" s="117" t="str">
        <x:v>0</x:v>
      </x:c>
      <x:c r="AU41" s="117" t="str">
        <x:v>0</x:v>
      </x:c>
      <x:c r="AV41" s="117" t="str"/>
      <x:c r="AW41" s="117" t="str">
        <x:v>0.017883799970149994</x:v>
      </x:c>
      <x:c r="AX41" s="117" t="str">
        <x:v>57</x:v>
      </x:c>
      <x:c r="AY41" s="117" t="str">
        <x:v>57</x:v>
      </x:c>
      <x:c r="AZ41" s="117" t="str">
        <x:v>0.8314189999364316</x:v>
      </x:c>
      <x:c r="BA41" s="117" t="str">
        <x:v>True</x:v>
      </x:c>
      <x:c r="BB41" s="117" t="str">
        <x:v>0</x:v>
      </x:c>
      <x:c r="BC41" s="117" t="str">
        <x:v>0</x:v>
      </x:c>
      <x:c r="BD41" s="117" t="str">
        <x:v>0</x:v>
      </x:c>
      <x:c r="BE41" s="117" t="str">
        <x:v>63</x:v>
      </x:c>
      <x:c r="BF41" s="117" t="str">
        <x:v>1.2662631999701262</x:v>
      </x:c>
      <x:c r="BG41" s="117" t="str">
        <x:v>True</x:v>
      </x:c>
      <x:c r="BH41" s="117" t="str">
        <x:v>57</x:v>
      </x:c>
      <x:c r="BI41" s="117" t="str">
        <x:v>True</x:v>
      </x:c>
      <x:c r="BJ41" s="117" t="str">
        <x:v>185</x:v>
      </x:c>
      <x:c r="BK41" s="117" t="str">
        <x:v>57</x:v>
      </x:c>
      <x:c r="BL41" s="117" t="str">
        <x:v>0.9042363000335172</x:v>
      </x:c>
      <x:c r="BM41" s="117" t="str">
        <x:v>True</x:v>
      </x:c>
      <x:c r="BN41" s="117" t="str">
        <x:v>True</x:v>
      </x:c>
      <x:c r="BO41" s="117" t="str">
        <x:v>True</x:v>
      </x:c>
      <x:c r="BP41" s="117" t="str">
        <x:v>0</x:v>
      </x:c>
      <x:c r="BQ41" s="117" t="str">
        <x:v>0</x:v>
      </x:c>
      <x:c r="BR41" s="117" t="str"/>
      <x:c r="BS41" s="117" t="str">
        <x:v>0.01997060002759099</x:v>
      </x:c>
      <x:c r="BT41" s="117" t="str">
        <x:v>57</x:v>
      </x:c>
      <x:c r="BU41" s="117" t="str">
        <x:v>57</x:v>
      </x:c>
      <x:c r="BV41" s="117" t="str">
        <x:v>0.9242069000611082</x:v>
      </x:c>
      <x:c r="BW41" s="117" t="str">
        <x:v>True</x:v>
      </x:c>
      <x:c r="BX41" s="117" t="str">
        <x:v>0</x:v>
      </x:c>
      <x:c r="BY41" s="117" t="str">
        <x:v>0</x:v>
      </x:c>
      <x:c r="BZ41" s="117" t="str">
        <x:v>0</x:v>
      </x:c>
      <x:c r="CA41" s="117" t="str">
        <x:v>57</x:v>
      </x:c>
      <x:c r="CB41" s="117" t="str">
        <x:v>17.91342400002759</x:v>
      </x:c>
      <x:c r="CC41" s="117" t="str">
        <x:v>True</x:v>
      </x:c>
      <x:c r="CD41" s="117" t="str">
        <x:v>55</x:v>
      </x:c>
      <x:c r="CE41" s="117" t="str">
        <x:v>True</x:v>
      </x:c>
      <x:c r="CF41" s="117" t="str">
        <x:v>55</x:v>
      </x:c>
      <x:c r="CG41" s="117" t="str">
        <x:v>55</x:v>
      </x:c>
      <x:c r="CH41" s="117" t="str">
        <x:v>19.214831999968737</x:v>
      </x:c>
      <x:c r="CI41" s="117" t="str">
        <x:v>True</x:v>
      </x:c>
      <x:c r="CJ41" s="117" t="str">
        <x:v>True</x:v>
      </x:c>
      <x:c r="CK41" s="117" t="str">
        <x:v>True</x:v>
      </x:c>
      <x:c r="CL41" s="117" t="str">
        <x:v>0</x:v>
      </x:c>
      <x:c r="CM41" s="117" t="str">
        <x:v>0</x:v>
      </x:c>
      <x:c r="CN41" s="117" t="str"/>
      <x:c r="CO41" s="117" t="str">
        <x:v>0.019710200023837388</x:v>
      </x:c>
      <x:c r="CP41" s="117" t="str">
        <x:v>55</x:v>
      </x:c>
      <x:c r="CQ41" s="117" t="str">
        <x:v>55</x:v>
      </x:c>
      <x:c r="CR41" s="117" t="str">
        <x:v>19.234542199992575</x:v>
      </x:c>
      <x:c r="CS41" s="117" t="str">
        <x:v>True</x:v>
      </x:c>
      <x:c r="CT41" s="117" t="str">
        <x:v>0</x:v>
      </x:c>
      <x:c r="CU41" s="117" t="str">
        <x:v>0</x:v>
      </x:c>
      <x:c r="CV41" s="117" t="str">
        <x:v>0</x:v>
      </x:c>
    </x:row>
    <x:row r="42">
      <x:c r="A42" s="117" t="str">
        <x:v>500</x:v>
      </x:c>
      <x:c r="B42" s="117" t="str">
        <x:v>0.3</x:v>
      </x:c>
      <x:c r="C42" s="117" t="str">
        <x:v>2</x:v>
      </x:c>
      <x:c r="D42" s="117" t="str">
        <x:v>3448118686</x:v>
      </x:c>
      <x:c r="E42" s="117" t="str">
        <x:v>27695</x:v>
      </x:c>
      <x:c r="F42" s="117" t="str">
        <x:v>1</x:v>
      </x:c>
      <x:c r="G42" s="117" t="str">
        <x:v>500</x:v>
      </x:c>
      <x:c r="H42" s="117" t="str">
        <x:v>110.78</x:v>
      </x:c>
      <x:c r="I42" s="117" t="str">
        <x:v>0.22200400801603207</x:v>
      </x:c>
      <x:c r="J42" s="117" t="str">
        <x:v>5</x:v>
      </x:c>
      <x:c r="K42" s="117" t="str">
        <x:v>circle,zoomed,ich,grid</x:v>
      </x:c>
      <x:c r="L42" s="117" t="str">
        <x:v>historical baseline; not timed in this repair session</x:v>
      </x:c>
      <x:c r="M42" s="117" t="str">
        <x:v>55</x:v>
      </x:c>
      <x:c r="N42" s="117" t="str">
        <x:v>1.5560884999576956</x:v>
      </x:c>
      <x:c r="O42" s="117" t="str">
        <x:v>True</x:v>
      </x:c>
      <x:c r="P42" s="117" t="str">
        <x:v>59</x:v>
      </x:c>
      <x:c r="Q42" s="117" t="str">
        <x:v>True</x:v>
      </x:c>
      <x:c r="R42" s="117" t="str">
        <x:v>135</x:v>
      </x:c>
      <x:c r="S42" s="117" t="str">
        <x:v>59</x:v>
      </x:c>
      <x:c r="T42" s="117" t="str">
        <x:v>1.036930299946107</x:v>
      </x:c>
      <x:c r="U42" s="117" t="str">
        <x:v>True</x:v>
      </x:c>
      <x:c r="V42" s="117" t="str">
        <x:v>True</x:v>
      </x:c>
      <x:c r="W42" s="117" t="str">
        <x:v>True</x:v>
      </x:c>
      <x:c r="X42" s="117" t="str">
        <x:v>0</x:v>
      </x:c>
      <x:c r="Y42" s="117" t="str">
        <x:v>0</x:v>
      </x:c>
      <x:c r="Z42" s="117" t="str"/>
      <x:c r="AA42" s="117" t="str">
        <x:v>0.02060040005017072</x:v>
      </x:c>
      <x:c r="AB42" s="117" t="str">
        <x:v>59</x:v>
      </x:c>
      <x:c r="AC42" s="117" t="str">
        <x:v>59</x:v>
      </x:c>
      <x:c r="AD42" s="117" t="str">
        <x:v>1.0575306999962777</x:v>
      </x:c>
      <x:c r="AE42" s="117" t="str">
        <x:v>True</x:v>
      </x:c>
      <x:c r="AF42" s="117" t="str">
        <x:v>0</x:v>
      </x:c>
      <x:c r="AG42" s="117" t="str">
        <x:v>0</x:v>
      </x:c>
      <x:c r="AH42" s="117" t="str">
        <x:v>0</x:v>
      </x:c>
      <x:c r="AI42" s="117" t="str">
        <x:v>62</x:v>
      </x:c>
      <x:c r="AJ42" s="117" t="str">
        <x:v>0.9691353000234812</x:v>
      </x:c>
      <x:c r="AK42" s="117" t="str">
        <x:v>True</x:v>
      </x:c>
      <x:c r="AL42" s="117" t="str">
        <x:v>63</x:v>
      </x:c>
      <x:c r="AM42" s="117" t="str">
        <x:v>True</x:v>
      </x:c>
      <x:c r="AN42" s="117" t="str">
        <x:v>400</x:v>
      </x:c>
      <x:c r="AO42" s="117" t="str">
        <x:v>63</x:v>
      </x:c>
      <x:c r="AP42" s="117" t="str">
        <x:v>1.1647560000419617</x:v>
      </x:c>
      <x:c r="AQ42" s="117" t="str">
        <x:v>True</x:v>
      </x:c>
      <x:c r="AR42" s="117" t="str">
        <x:v>True</x:v>
      </x:c>
      <x:c r="AS42" s="117" t="str">
        <x:v>True</x:v>
      </x:c>
      <x:c r="AT42" s="117" t="str">
        <x:v>0</x:v>
      </x:c>
      <x:c r="AU42" s="117" t="str">
        <x:v>0</x:v>
      </x:c>
      <x:c r="AV42" s="117" t="str"/>
      <x:c r="AW42" s="117" t="str">
        <x:v>0.02304749994073063</x:v>
      </x:c>
      <x:c r="AX42" s="117" t="str">
        <x:v>63</x:v>
      </x:c>
      <x:c r="AY42" s="117" t="str">
        <x:v>63</x:v>
      </x:c>
      <x:c r="AZ42" s="117" t="str">
        <x:v>1.1878034999826923</x:v>
      </x:c>
      <x:c r="BA42" s="117" t="str">
        <x:v>True</x:v>
      </x:c>
      <x:c r="BB42" s="117" t="str">
        <x:v>0</x:v>
      </x:c>
      <x:c r="BC42" s="117" t="str">
        <x:v>0</x:v>
      </x:c>
      <x:c r="BD42" s="117" t="str">
        <x:v>0</x:v>
      </x:c>
      <x:c r="BE42" s="117" t="str">
        <x:v>57</x:v>
      </x:c>
      <x:c r="BF42" s="117" t="str">
        <x:v>1.3931240000529215</x:v>
      </x:c>
      <x:c r="BG42" s="117" t="str">
        <x:v>True</x:v>
      </x:c>
      <x:c r="BH42" s="117" t="str">
        <x:v>61</x:v>
      </x:c>
      <x:c r="BI42" s="117" t="str">
        <x:v>True</x:v>
      </x:c>
      <x:c r="BJ42" s="117" t="str">
        <x:v>247</x:v>
      </x:c>
      <x:c r="BK42" s="117" t="str">
        <x:v>61</x:v>
      </x:c>
      <x:c r="BL42" s="117" t="str">
        <x:v>1.379039999912493</x:v>
      </x:c>
      <x:c r="BM42" s="117" t="str">
        <x:v>True</x:v>
      </x:c>
      <x:c r="BN42" s="117" t="str">
        <x:v>True</x:v>
      </x:c>
      <x:c r="BO42" s="117" t="str">
        <x:v>True</x:v>
      </x:c>
      <x:c r="BP42" s="117" t="str">
        <x:v>0</x:v>
      </x:c>
      <x:c r="BQ42" s="117" t="str">
        <x:v>0</x:v>
      </x:c>
      <x:c r="BR42" s="117" t="str"/>
      <x:c r="BS42" s="117" t="str">
        <x:v>0.02707179996650666</x:v>
      </x:c>
      <x:c r="BT42" s="117" t="str">
        <x:v>61</x:v>
      </x:c>
      <x:c r="BU42" s="117" t="str">
        <x:v>61</x:v>
      </x:c>
      <x:c r="BV42" s="117" t="str">
        <x:v>1.4061117998789996</x:v>
      </x:c>
      <x:c r="BW42" s="117" t="str">
        <x:v>True</x:v>
      </x:c>
      <x:c r="BX42" s="117" t="str">
        <x:v>0</x:v>
      </x:c>
      <x:c r="BY42" s="117" t="str">
        <x:v>0</x:v>
      </x:c>
      <x:c r="BZ42" s="117" t="str">
        <x:v>0</x:v>
      </x:c>
      <x:c r="CA42" s="117" t="str">
        <x:v>54</x:v>
      </x:c>
      <x:c r="CB42" s="117" t="str">
        <x:v>17.740393999964</x:v>
      </x:c>
      <x:c r="CC42" s="117" t="str">
        <x:v>True</x:v>
      </x:c>
      <x:c r="CD42" s="117" t="str">
        <x:v>57</x:v>
      </x:c>
      <x:c r="CE42" s="117" t="str">
        <x:v>True</x:v>
      </x:c>
      <x:c r="CF42" s="117" t="str">
        <x:v>57</x:v>
      </x:c>
      <x:c r="CG42" s="117" t="str">
        <x:v>57</x:v>
      </x:c>
      <x:c r="CH42" s="117" t="str">
        <x:v>19.357958799926564</x:v>
      </x:c>
      <x:c r="CI42" s="117" t="str">
        <x:v>True</x:v>
      </x:c>
      <x:c r="CJ42" s="117" t="str">
        <x:v>True</x:v>
      </x:c>
      <x:c r="CK42" s="117" t="str">
        <x:v>True</x:v>
      </x:c>
      <x:c r="CL42" s="117" t="str">
        <x:v>0</x:v>
      </x:c>
      <x:c r="CM42" s="117" t="str">
        <x:v>0</x:v>
      </x:c>
      <x:c r="CN42" s="117" t="str"/>
      <x:c r="CO42" s="117" t="str">
        <x:v>0.019972299924120307</x:v>
      </x:c>
      <x:c r="CP42" s="117" t="str">
        <x:v>57</x:v>
      </x:c>
      <x:c r="CQ42" s="117" t="str">
        <x:v>57</x:v>
      </x:c>
      <x:c r="CR42" s="117" t="str">
        <x:v>19.377931099850684</x:v>
      </x:c>
      <x:c r="CS42" s="117" t="str">
        <x:v>True</x:v>
      </x:c>
      <x:c r="CT42" s="117" t="str">
        <x:v>0</x:v>
      </x:c>
      <x:c r="CU42" s="117" t="str">
        <x:v>0</x:v>
      </x:c>
      <x:c r="CV42" s="117" t="str">
        <x:v>0</x:v>
      </x:c>
    </x:row>
    <x:row r="43">
      <x:c r="A43" s="117" t="str">
        <x:v>500</x:v>
      </x:c>
      <x:c r="B43" s="117" t="str">
        <x:v>0.3</x:v>
      </x:c>
      <x:c r="C43" s="117" t="str">
        <x:v>3</x:v>
      </x:c>
      <x:c r="D43" s="117" t="str">
        <x:v>2826867522</x:v>
      </x:c>
      <x:c r="E43" s="117" t="str">
        <x:v>27885</x:v>
      </x:c>
      <x:c r="F43" s="117" t="str">
        <x:v>1</x:v>
      </x:c>
      <x:c r="G43" s="117" t="str">
        <x:v>500</x:v>
      </x:c>
      <x:c r="H43" s="117" t="str">
        <x:v>111.54</x:v>
      </x:c>
      <x:c r="I43" s="117" t="str">
        <x:v>0.22352705410821644</x:v>
      </x:c>
      <x:c r="J43" s="117" t="str">
        <x:v>5</x:v>
      </x:c>
      <x:c r="K43" s="117" t="str">
        <x:v>zoomed,ich,grid,circle</x:v>
      </x:c>
      <x:c r="L43" s="117" t="str">
        <x:v>historical baseline; not timed in this repair session</x:v>
      </x:c>
      <x:c r="M43" s="117" t="str">
        <x:v>65</x:v>
      </x:c>
      <x:c r="N43" s="117" t="str">
        <x:v>1.690092399949208</x:v>
      </x:c>
      <x:c r="O43" s="117" t="str">
        <x:v>True</x:v>
      </x:c>
      <x:c r="P43" s="117" t="str">
        <x:v>67</x:v>
      </x:c>
      <x:c r="Q43" s="117" t="str">
        <x:v>True</x:v>
      </x:c>
      <x:c r="R43" s="117" t="str">
        <x:v>132</x:v>
      </x:c>
      <x:c r="S43" s="117" t="str">
        <x:v>67</x:v>
      </x:c>
      <x:c r="T43" s="117" t="str">
        <x:v>1.0461113000055775</x:v>
      </x:c>
      <x:c r="U43" s="117" t="str">
        <x:v>True</x:v>
      </x:c>
      <x:c r="V43" s="117" t="str">
        <x:v>True</x:v>
      </x:c>
      <x:c r="W43" s="117" t="str">
        <x:v>True</x:v>
      </x:c>
      <x:c r="X43" s="117" t="str">
        <x:v>0</x:v>
      </x:c>
      <x:c r="Y43" s="117" t="str">
        <x:v>0</x:v>
      </x:c>
      <x:c r="Z43" s="117" t="str"/>
      <x:c r="AA43" s="117" t="str">
        <x:v>0.03180339990649372</x:v>
      </x:c>
      <x:c r="AB43" s="117" t="str">
        <x:v>67</x:v>
      </x:c>
      <x:c r="AC43" s="117" t="str">
        <x:v>67</x:v>
      </x:c>
      <x:c r="AD43" s="117" t="str">
        <x:v>1.0779146999120712</x:v>
      </x:c>
      <x:c r="AE43" s="117" t="str">
        <x:v>True</x:v>
      </x:c>
      <x:c r="AF43" s="117" t="str">
        <x:v>0</x:v>
      </x:c>
      <x:c r="AG43" s="117" t="str">
        <x:v>0</x:v>
      </x:c>
      <x:c r="AH43" s="117" t="str">
        <x:v>0</x:v>
      </x:c>
      <x:c r="AI43" s="117" t="str">
        <x:v>69</x:v>
      </x:c>
      <x:c r="AJ43" s="117" t="str">
        <x:v>1.1643258000258356</x:v>
      </x:c>
      <x:c r="AK43" s="117" t="str">
        <x:v>True</x:v>
      </x:c>
      <x:c r="AL43" s="117" t="str">
        <x:v>72</x:v>
      </x:c>
      <x:c r="AM43" s="117" t="str">
        <x:v>True</x:v>
      </x:c>
      <x:c r="AN43" s="117" t="str">
        <x:v>431</x:v>
      </x:c>
      <x:c r="AO43" s="117" t="str">
        <x:v>72</x:v>
      </x:c>
      <x:c r="AP43" s="117" t="str">
        <x:v>1.0342629000078887</x:v>
      </x:c>
      <x:c r="AQ43" s="117" t="str">
        <x:v>True</x:v>
      </x:c>
      <x:c r="AR43" s="117" t="str">
        <x:v>True</x:v>
      </x:c>
      <x:c r="AS43" s="117" t="str">
        <x:v>True</x:v>
      </x:c>
      <x:c r="AT43" s="117" t="str">
        <x:v>0</x:v>
      </x:c>
      <x:c r="AU43" s="117" t="str">
        <x:v>0</x:v>
      </x:c>
      <x:c r="AV43" s="117" t="str"/>
      <x:c r="AW43" s="117" t="str">
        <x:v>0.020775599987246096</x:v>
      </x:c>
      <x:c r="AX43" s="117" t="str">
        <x:v>72</x:v>
      </x:c>
      <x:c r="AY43" s="117" t="str">
        <x:v>72</x:v>
      </x:c>
      <x:c r="AZ43" s="117" t="str">
        <x:v>1.0550384999951348</x:v>
      </x:c>
      <x:c r="BA43" s="117" t="str">
        <x:v>True</x:v>
      </x:c>
      <x:c r="BB43" s="117" t="str">
        <x:v>0</x:v>
      </x:c>
      <x:c r="BC43" s="117" t="str">
        <x:v>0</x:v>
      </x:c>
      <x:c r="BD43" s="117" t="str">
        <x:v>0</x:v>
      </x:c>
      <x:c r="BE43" s="117" t="str">
        <x:v>67</x:v>
      </x:c>
      <x:c r="BF43" s="117" t="str">
        <x:v>1.2304163000080734</x:v>
      </x:c>
      <x:c r="BG43" s="117" t="str">
        <x:v>True</x:v>
      </x:c>
      <x:c r="BH43" s="117" t="str">
        <x:v>66</x:v>
      </x:c>
      <x:c r="BI43" s="117" t="str">
        <x:v>True</x:v>
      </x:c>
      <x:c r="BJ43" s="117" t="str">
        <x:v>244</x:v>
      </x:c>
      <x:c r="BK43" s="117" t="str">
        <x:v>66</x:v>
      </x:c>
      <x:c r="BL43" s="117" t="str">
        <x:v>1.0067734000040218</x:v>
      </x:c>
      <x:c r="BM43" s="117" t="str">
        <x:v>True</x:v>
      </x:c>
      <x:c r="BN43" s="117" t="str">
        <x:v>True</x:v>
      </x:c>
      <x:c r="BO43" s="117" t="str">
        <x:v>True</x:v>
      </x:c>
      <x:c r="BP43" s="117" t="str">
        <x:v>0</x:v>
      </x:c>
      <x:c r="BQ43" s="117" t="str">
        <x:v>0</x:v>
      </x:c>
      <x:c r="BR43" s="117" t="str"/>
      <x:c r="BS43" s="117" t="str">
        <x:v>0.019617400015704334</x:v>
      </x:c>
      <x:c r="BT43" s="117" t="str">
        <x:v>66</x:v>
      </x:c>
      <x:c r="BU43" s="117" t="str">
        <x:v>66</x:v>
      </x:c>
      <x:c r="BV43" s="117" t="str">
        <x:v>1.0263908000197262</x:v>
      </x:c>
      <x:c r="BW43" s="117" t="str">
        <x:v>True</x:v>
      </x:c>
      <x:c r="BX43" s="117" t="str">
        <x:v>0</x:v>
      </x:c>
      <x:c r="BY43" s="117" t="str">
        <x:v>0</x:v>
      </x:c>
      <x:c r="BZ43" s="117" t="str">
        <x:v>0</x:v>
      </x:c>
      <x:c r="CA43" s="117" t="str">
        <x:v>62</x:v>
      </x:c>
      <x:c r="CB43" s="117" t="str">
        <x:v>18.49954559991602</x:v>
      </x:c>
      <x:c r="CC43" s="117" t="str">
        <x:v>True</x:v>
      </x:c>
      <x:c r="CD43" s="117" t="str">
        <x:v>60</x:v>
      </x:c>
      <x:c r="CE43" s="117" t="str">
        <x:v>True</x:v>
      </x:c>
      <x:c r="CF43" s="117" t="str">
        <x:v>60</x:v>
      </x:c>
      <x:c r="CG43" s="117" t="str">
        <x:v>60</x:v>
      </x:c>
      <x:c r="CH43" s="117" t="str">
        <x:v>18.02867479994893</x:v>
      </x:c>
      <x:c r="CI43" s="117" t="str">
        <x:v>True</x:v>
      </x:c>
      <x:c r="CJ43" s="117" t="str">
        <x:v>True</x:v>
      </x:c>
      <x:c r="CK43" s="117" t="str">
        <x:v>True</x:v>
      </x:c>
      <x:c r="CL43" s="117" t="str">
        <x:v>0</x:v>
      </x:c>
      <x:c r="CM43" s="117" t="str">
        <x:v>0</x:v>
      </x:c>
      <x:c r="CN43" s="117" t="str"/>
      <x:c r="CO43" s="117" t="str">
        <x:v>0.021497300011105835</x:v>
      </x:c>
      <x:c r="CP43" s="117" t="str">
        <x:v>60</x:v>
      </x:c>
      <x:c r="CQ43" s="117" t="str">
        <x:v>60</x:v>
      </x:c>
      <x:c r="CR43" s="117" t="str">
        <x:v>18.050172099960037</x:v>
      </x:c>
      <x:c r="CS43" s="117" t="str">
        <x:v>True</x:v>
      </x:c>
      <x:c r="CT43" s="117" t="str">
        <x:v>0</x:v>
      </x:c>
      <x:c r="CU43" s="117" t="str">
        <x:v>0</x:v>
      </x:c>
      <x:c r="CV43" s="117" t="str">
        <x:v>0</x:v>
      </x:c>
    </x:row>
    <x:row r="44">
      <x:c r="A44" s="117" t="str">
        <x:v>500</x:v>
      </x:c>
      <x:c r="B44" s="117" t="str">
        <x:v>0.5</x:v>
      </x:c>
      <x:c r="C44" s="117" t="str">
        <x:v>1</x:v>
      </x:c>
      <x:c r="D44" s="117" t="str">
        <x:v>1879133715</x:v>
      </x:c>
      <x:c r="E44" s="117" t="str">
        <x:v>59689</x:v>
      </x:c>
      <x:c r="F44" s="117" t="str">
        <x:v>1</x:v>
      </x:c>
      <x:c r="G44" s="117" t="str">
        <x:v>500</x:v>
      </x:c>
      <x:c r="H44" s="117" t="str">
        <x:v>238.756</x:v>
      </x:c>
      <x:c r="I44" s="117" t="str">
        <x:v>0.4784689378757515</x:v>
      </x:c>
      <x:c r="J44" s="117" t="str">
        <x:v>5</x:v>
      </x:c>
      <x:c r="K44" s="117" t="str">
        <x:v>grid,circle,zoomed,ich</x:v>
      </x:c>
      <x:c r="L44" s="117" t="str">
        <x:v>historical baseline; not timed in this repair session</x:v>
      </x:c>
      <x:c r="M44" s="117" t="str">
        <x:v>91</x:v>
      </x:c>
      <x:c r="N44" s="117" t="str">
        <x:v>15.650507100042887</x:v>
      </x:c>
      <x:c r="O44" s="117" t="str">
        <x:v>True</x:v>
      </x:c>
      <x:c r="P44" s="117" t="str">
        <x:v>74</x:v>
      </x:c>
      <x:c r="Q44" s="117" t="str">
        <x:v>True</x:v>
      </x:c>
      <x:c r="R44" s="117" t="str">
        <x:v>78</x:v>
      </x:c>
      <x:c r="S44" s="117" t="str">
        <x:v>74</x:v>
      </x:c>
      <x:c r="T44" s="117" t="str">
        <x:v>7.540375699987635</x:v>
      </x:c>
      <x:c r="U44" s="117" t="str">
        <x:v>True</x:v>
      </x:c>
      <x:c r="V44" s="117" t="str">
        <x:v>True</x:v>
      </x:c>
      <x:c r="W44" s="117" t="str">
        <x:v>True</x:v>
      </x:c>
      <x:c r="X44" s="117" t="str">
        <x:v>0</x:v>
      </x:c>
      <x:c r="Y44" s="117" t="str">
        <x:v>0</x:v>
      </x:c>
      <x:c r="Z44" s="117" t="str"/>
      <x:c r="AA44" s="117" t="str">
        <x:v>0.02294600009918213</x:v>
      </x:c>
      <x:c r="AB44" s="117" t="str">
        <x:v>74</x:v>
      </x:c>
      <x:c r="AC44" s="117" t="str">
        <x:v>74</x:v>
      </x:c>
      <x:c r="AD44" s="117" t="str">
        <x:v>7.563321700086817</x:v>
      </x:c>
      <x:c r="AE44" s="117" t="str">
        <x:v>True</x:v>
      </x:c>
      <x:c r="AF44" s="117" t="str">
        <x:v>0</x:v>
      </x:c>
      <x:c r="AG44" s="117" t="str">
        <x:v>0</x:v>
      </x:c>
      <x:c r="AH44" s="117" t="str">
        <x:v>0</x:v>
      </x:c>
      <x:c r="AI44" s="117" t="str">
        <x:v>90</x:v>
      </x:c>
      <x:c r="AJ44" s="117" t="str">
        <x:v>4.161137500079349</x:v>
      </x:c>
      <x:c r="AK44" s="117" t="str">
        <x:v>True</x:v>
      </x:c>
      <x:c r="AL44" s="117" t="str">
        <x:v>91</x:v>
      </x:c>
      <x:c r="AM44" s="117" t="str">
        <x:v>True</x:v>
      </x:c>
      <x:c r="AN44" s="117" t="str">
        <x:v>451</x:v>
      </x:c>
      <x:c r="AO44" s="117" t="str">
        <x:v>91</x:v>
      </x:c>
      <x:c r="AP44" s="117" t="str">
        <x:v>3.3513152000959963</x:v>
      </x:c>
      <x:c r="AQ44" s="117" t="str">
        <x:v>True</x:v>
      </x:c>
      <x:c r="AR44" s="117" t="str">
        <x:v>True</x:v>
      </x:c>
      <x:c r="AS44" s="117" t="str">
        <x:v>True</x:v>
      </x:c>
      <x:c r="AT44" s="117" t="str">
        <x:v>0</x:v>
      </x:c>
      <x:c r="AU44" s="117" t="str">
        <x:v>0</x:v>
      </x:c>
      <x:c r="AV44" s="117" t="str"/>
      <x:c r="AW44" s="117" t="str">
        <x:v>0.02709119999781251</x:v>
      </x:c>
      <x:c r="AX44" s="117" t="str">
        <x:v>91</x:v>
      </x:c>
      <x:c r="AY44" s="117" t="str">
        <x:v>91</x:v>
      </x:c>
      <x:c r="AZ44" s="117" t="str">
        <x:v>3.3784064000938088</x:v>
      </x:c>
      <x:c r="BA44" s="117" t="str">
        <x:v>True</x:v>
      </x:c>
      <x:c r="BB44" s="117" t="str">
        <x:v>0</x:v>
      </x:c>
      <x:c r="BC44" s="117" t="str">
        <x:v>0</x:v>
      </x:c>
      <x:c r="BD44" s="117" t="str">
        <x:v>0</x:v>
      </x:c>
      <x:c r="BE44" s="117" t="str">
        <x:v>86</x:v>
      </x:c>
      <x:c r="BF44" s="117" t="str">
        <x:v>5.665584099944681</x:v>
      </x:c>
      <x:c r="BG44" s="117" t="str">
        <x:v>True</x:v>
      </x:c>
      <x:c r="BH44" s="117" t="str">
        <x:v>86</x:v>
      </x:c>
      <x:c r="BI44" s="117" t="str">
        <x:v>True</x:v>
      </x:c>
      <x:c r="BJ44" s="117" t="str">
        <x:v>177</x:v>
      </x:c>
      <x:c r="BK44" s="117" t="str">
        <x:v>86</x:v>
      </x:c>
      <x:c r="BL44" s="117" t="str">
        <x:v>3.9400068999966606</x:v>
      </x:c>
      <x:c r="BM44" s="117" t="str">
        <x:v>True</x:v>
      </x:c>
      <x:c r="BN44" s="117" t="str">
        <x:v>True</x:v>
      </x:c>
      <x:c r="BO44" s="117" t="str">
        <x:v>True</x:v>
      </x:c>
      <x:c r="BP44" s="117" t="str">
        <x:v>0</x:v>
      </x:c>
      <x:c r="BQ44" s="117" t="str">
        <x:v>0</x:v>
      </x:c>
      <x:c r="BR44" s="117" t="str"/>
      <x:c r="BS44" s="117" t="str">
        <x:v>0.023574099992401898</x:v>
      </x:c>
      <x:c r="BT44" s="117" t="str">
        <x:v>86</x:v>
      </x:c>
      <x:c r="BU44" s="117" t="str">
        <x:v>86</x:v>
      </x:c>
      <x:c r="BV44" s="117" t="str">
        <x:v>3.9635809999890625</x:v>
      </x:c>
      <x:c r="BW44" s="117" t="str">
        <x:v>True</x:v>
      </x:c>
      <x:c r="BX44" s="117" t="str">
        <x:v>0</x:v>
      </x:c>
      <x:c r="BY44" s="117" t="str">
        <x:v>0</x:v>
      </x:c>
      <x:c r="BZ44" s="117" t="str">
        <x:v>0</x:v>
      </x:c>
      <x:c r="CA44" s="117" t="str">
        <x:v>79</x:v>
      </x:c>
      <x:c r="CB44" s="117" t="str">
        <x:v>20.44820390001405</x:v>
      </x:c>
      <x:c r="CC44" s="117" t="str">
        <x:v>True</x:v>
      </x:c>
      <x:c r="CD44" s="117" t="str">
        <x:v>79</x:v>
      </x:c>
      <x:c r="CE44" s="117" t="str">
        <x:v>True</x:v>
      </x:c>
      <x:c r="CF44" s="117" t="str">
        <x:v>79</x:v>
      </x:c>
      <x:c r="CG44" s="117" t="str">
        <x:v>79</x:v>
      </x:c>
      <x:c r="CH44" s="117" t="str">
        <x:v>19.250944899977185</x:v>
      </x:c>
      <x:c r="CI44" s="117" t="str">
        <x:v>True</x:v>
      </x:c>
      <x:c r="CJ44" s="117" t="str">
        <x:v>True</x:v>
      </x:c>
      <x:c r="CK44" s="117" t="str">
        <x:v>True</x:v>
      </x:c>
      <x:c r="CL44" s="117" t="str">
        <x:v>0</x:v>
      </x:c>
      <x:c r="CM44" s="117" t="str">
        <x:v>0</x:v>
      </x:c>
      <x:c r="CN44" s="117" t="str"/>
      <x:c r="CO44" s="117" t="str">
        <x:v>0.023314799997024238</x:v>
      </x:c>
      <x:c r="CP44" s="117" t="str">
        <x:v>79</x:v>
      </x:c>
      <x:c r="CQ44" s="117" t="str">
        <x:v>79</x:v>
      </x:c>
      <x:c r="CR44" s="117" t="str">
        <x:v>19.27425969997421</x:v>
      </x:c>
      <x:c r="CS44" s="117" t="str">
        <x:v>True</x:v>
      </x:c>
      <x:c r="CT44" s="117" t="str">
        <x:v>0</x:v>
      </x:c>
      <x:c r="CU44" s="117" t="str">
        <x:v>0</x:v>
      </x:c>
      <x:c r="CV44" s="117" t="str">
        <x:v>0</x:v>
      </x:c>
    </x:row>
    <x:row r="45">
      <x:c r="A45" s="117" t="str">
        <x:v>500</x:v>
      </x:c>
      <x:c r="B45" s="117" t="str">
        <x:v>0.5</x:v>
      </x:c>
      <x:c r="C45" s="117" t="str">
        <x:v>2</x:v>
      </x:c>
      <x:c r="D45" s="117" t="str">
        <x:v>1473547513</x:v>
      </x:c>
      <x:c r="E45" s="117" t="str">
        <x:v>60769</x:v>
      </x:c>
      <x:c r="F45" s="117" t="str">
        <x:v>1</x:v>
      </x:c>
      <x:c r="G45" s="117" t="str">
        <x:v>500</x:v>
      </x:c>
      <x:c r="H45" s="117" t="str">
        <x:v>243.076</x:v>
      </x:c>
      <x:c r="I45" s="117" t="str">
        <x:v>0.48712625250501</x:v>
      </x:c>
      <x:c r="J45" s="117" t="str">
        <x:v>5</x:v>
      </x:c>
      <x:c r="K45" s="117" t="str">
        <x:v>circle,zoomed,ich,grid</x:v>
      </x:c>
      <x:c r="L45" s="117" t="str">
        <x:v>historical baseline; not timed in this repair session</x:v>
      </x:c>
      <x:c r="M45" s="117" t="str">
        <x:v>87</x:v>
      </x:c>
      <x:c r="N45" s="117" t="str">
        <x:v>15.976107000024058</x:v>
      </x:c>
      <x:c r="O45" s="117" t="str">
        <x:v>True</x:v>
      </x:c>
      <x:c r="P45" s="117" t="str">
        <x:v>72</x:v>
      </x:c>
      <x:c r="Q45" s="117" t="str">
        <x:v>True</x:v>
      </x:c>
      <x:c r="R45" s="117" t="str">
        <x:v>74</x:v>
      </x:c>
      <x:c r="S45" s="117" t="str">
        <x:v>72</x:v>
      </x:c>
      <x:c r="T45" s="117" t="str">
        <x:v>7.117834400036372</x:v>
      </x:c>
      <x:c r="U45" s="117" t="str">
        <x:v>True</x:v>
      </x:c>
      <x:c r="V45" s="117" t="str">
        <x:v>True</x:v>
      </x:c>
      <x:c r="W45" s="117" t="str">
        <x:v>True</x:v>
      </x:c>
      <x:c r="X45" s="117" t="str">
        <x:v>0</x:v>
      </x:c>
      <x:c r="Y45" s="117" t="str">
        <x:v>0</x:v>
      </x:c>
      <x:c r="Z45" s="117" t="str"/>
      <x:c r="AA45" s="117" t="str">
        <x:v>0.021371799986809492</x:v>
      </x:c>
      <x:c r="AB45" s="117" t="str">
        <x:v>72</x:v>
      </x:c>
      <x:c r="AC45" s="117" t="str">
        <x:v>72</x:v>
      </x:c>
      <x:c r="AD45" s="117" t="str">
        <x:v>7.139206200023182</x:v>
      </x:c>
      <x:c r="AE45" s="117" t="str">
        <x:v>True</x:v>
      </x:c>
      <x:c r="AF45" s="117" t="str">
        <x:v>0</x:v>
      </x:c>
      <x:c r="AG45" s="117" t="str">
        <x:v>0</x:v>
      </x:c>
      <x:c r="AH45" s="117" t="str">
        <x:v>0</x:v>
      </x:c>
      <x:c r="AI45" s="117" t="str">
        <x:v>83</x:v>
      </x:c>
      <x:c r="AJ45" s="117" t="str">
        <x:v>1.3761670000385493</x:v>
      </x:c>
      <x:c r="AK45" s="117" t="str">
        <x:v>True</x:v>
      </x:c>
      <x:c r="AL45" s="117" t="str">
        <x:v>86</x:v>
      </x:c>
      <x:c r="AM45" s="117" t="str">
        <x:v>True</x:v>
      </x:c>
      <x:c r="AN45" s="117" t="str">
        <x:v>466</x:v>
      </x:c>
      <x:c r="AO45" s="117" t="str">
        <x:v>86</x:v>
      </x:c>
      <x:c r="AP45" s="117" t="str">
        <x:v>1.2540463000768796</x:v>
      </x:c>
      <x:c r="AQ45" s="117" t="str">
        <x:v>True</x:v>
      </x:c>
      <x:c r="AR45" s="117" t="str">
        <x:v>True</x:v>
      </x:c>
      <x:c r="AS45" s="117" t="str">
        <x:v>True</x:v>
      </x:c>
      <x:c r="AT45" s="117" t="str">
        <x:v>0</x:v>
      </x:c>
      <x:c r="AU45" s="117" t="str">
        <x:v>0</x:v>
      </x:c>
      <x:c r="AV45" s="117" t="str"/>
      <x:c r="AW45" s="117" t="str">
        <x:v>0.03570080001372844</x:v>
      </x:c>
      <x:c r="AX45" s="117" t="str">
        <x:v>86</x:v>
      </x:c>
      <x:c r="AY45" s="117" t="str">
        <x:v>86</x:v>
      </x:c>
      <x:c r="AZ45" s="117" t="str">
        <x:v>1.289747100090608</x:v>
      </x:c>
      <x:c r="BA45" s="117" t="str">
        <x:v>True</x:v>
      </x:c>
      <x:c r="BB45" s="117" t="str">
        <x:v>0</x:v>
      </x:c>
      <x:c r="BC45" s="117" t="str">
        <x:v>0</x:v>
      </x:c>
      <x:c r="BD45" s="117" t="str">
        <x:v>0</x:v>
      </x:c>
      <x:c r="BE45" s="117" t="str">
        <x:v>86</x:v>
      </x:c>
      <x:c r="BF45" s="117" t="str">
        <x:v>3.588400400010869</x:v>
      </x:c>
      <x:c r="BG45" s="117" t="str">
        <x:v>True</x:v>
      </x:c>
      <x:c r="BH45" s="117" t="str">
        <x:v>89</x:v>
      </x:c>
      <x:c r="BI45" s="117" t="str">
        <x:v>True</x:v>
      </x:c>
      <x:c r="BJ45" s="117" t="str">
        <x:v>243</x:v>
      </x:c>
      <x:c r="BK45" s="117" t="str">
        <x:v>89</x:v>
      </x:c>
      <x:c r="BL45" s="117" t="str">
        <x:v>2.7864682000363246</x:v>
      </x:c>
      <x:c r="BM45" s="117" t="str">
        <x:v>True</x:v>
      </x:c>
      <x:c r="BN45" s="117" t="str">
        <x:v>True</x:v>
      </x:c>
      <x:c r="BO45" s="117" t="str">
        <x:v>True</x:v>
      </x:c>
      <x:c r="BP45" s="117" t="str">
        <x:v>0</x:v>
      </x:c>
      <x:c r="BQ45" s="117" t="str">
        <x:v>0</x:v>
      </x:c>
      <x:c r="BR45" s="117" t="str"/>
      <x:c r="BS45" s="117" t="str">
        <x:v>0.02316749992314726</x:v>
      </x:c>
      <x:c r="BT45" s="117" t="str">
        <x:v>89</x:v>
      </x:c>
      <x:c r="BU45" s="117" t="str">
        <x:v>89</x:v>
      </x:c>
      <x:c r="BV45" s="117" t="str">
        <x:v>2.809635699959472</x:v>
      </x:c>
      <x:c r="BW45" s="117" t="str">
        <x:v>True</x:v>
      </x:c>
      <x:c r="BX45" s="117" t="str">
        <x:v>0</x:v>
      </x:c>
      <x:c r="BY45" s="117" t="str">
        <x:v>0</x:v>
      </x:c>
      <x:c r="BZ45" s="117" t="str">
        <x:v>0</x:v>
      </x:c>
      <x:c r="CA45" s="117" t="str">
        <x:v>76</x:v>
      </x:c>
      <x:c r="CB45" s="117" t="str">
        <x:v>22.083660000003874</x:v>
      </x:c>
      <x:c r="CC45" s="117" t="str">
        <x:v>True</x:v>
      </x:c>
      <x:c r="CD45" s="117" t="str">
        <x:v>73</x:v>
      </x:c>
      <x:c r="CE45" s="117" t="str">
        <x:v>True</x:v>
      </x:c>
      <x:c r="CF45" s="117" t="str">
        <x:v>73</x:v>
      </x:c>
      <x:c r="CG45" s="117" t="str">
        <x:v>73</x:v>
      </x:c>
      <x:c r="CH45" s="117" t="str">
        <x:v>18.957186099956743</x:v>
      </x:c>
      <x:c r="CI45" s="117" t="str">
        <x:v>True</x:v>
      </x:c>
      <x:c r="CJ45" s="117" t="str">
        <x:v>True</x:v>
      </x:c>
      <x:c r="CK45" s="117" t="str">
        <x:v>True</x:v>
      </x:c>
      <x:c r="CL45" s="117" t="str">
        <x:v>0</x:v>
      </x:c>
      <x:c r="CM45" s="117" t="str">
        <x:v>0</x:v>
      </x:c>
      <x:c r="CN45" s="117" t="str"/>
      <x:c r="CO45" s="117" t="str">
        <x:v>0.025656500016339123</x:v>
      </x:c>
      <x:c r="CP45" s="117" t="str">
        <x:v>73</x:v>
      </x:c>
      <x:c r="CQ45" s="117" t="str">
        <x:v>73</x:v>
      </x:c>
      <x:c r="CR45" s="117" t="str">
        <x:v>18.982842599973083</x:v>
      </x:c>
      <x:c r="CS45" s="117" t="str">
        <x:v>True</x:v>
      </x:c>
      <x:c r="CT45" s="117" t="str">
        <x:v>0</x:v>
      </x:c>
      <x:c r="CU45" s="117" t="str">
        <x:v>0</x:v>
      </x:c>
      <x:c r="CV45" s="117" t="str">
        <x:v>0</x:v>
      </x:c>
    </x:row>
    <x:row r="46">
      <x:c r="A46" s="117" t="str">
        <x:v>500</x:v>
      </x:c>
      <x:c r="B46" s="117" t="str">
        <x:v>0.5</x:v>
      </x:c>
      <x:c r="C46" s="117" t="str">
        <x:v>3</x:v>
      </x:c>
      <x:c r="D46" s="117" t="str">
        <x:v>1909608427</x:v>
      </x:c>
      <x:c r="E46" s="117" t="str">
        <x:v>59407</x:v>
      </x:c>
      <x:c r="F46" s="117" t="str">
        <x:v>1</x:v>
      </x:c>
      <x:c r="G46" s="117" t="str">
        <x:v>500</x:v>
      </x:c>
      <x:c r="H46" s="117" t="str">
        <x:v>237.628</x:v>
      </x:c>
      <x:c r="I46" s="117" t="str">
        <x:v>0.4762084168336673</x:v>
      </x:c>
      <x:c r="J46" s="117" t="str">
        <x:v>5</x:v>
      </x:c>
      <x:c r="K46" s="117" t="str">
        <x:v>zoomed,ich,grid,circle</x:v>
      </x:c>
      <x:c r="L46" s="117" t="str">
        <x:v>historical baseline; not timed in this repair session</x:v>
      </x:c>
      <x:c r="M46" s="117" t="str">
        <x:v>96</x:v>
      </x:c>
      <x:c r="N46" s="117" t="str">
        <x:v>17.361648000078276</x:v>
      </x:c>
      <x:c r="O46" s="117" t="str">
        <x:v>True</x:v>
      </x:c>
      <x:c r="P46" s="117" t="str">
        <x:v>78</x:v>
      </x:c>
      <x:c r="Q46" s="117" t="str">
        <x:v>True</x:v>
      </x:c>
      <x:c r="R46" s="117" t="str">
        <x:v>79</x:v>
      </x:c>
      <x:c r="S46" s="117" t="str">
        <x:v>78</x:v>
      </x:c>
      <x:c r="T46" s="117" t="str">
        <x:v>7.644569199997932</x:v>
      </x:c>
      <x:c r="U46" s="117" t="str">
        <x:v>True</x:v>
      </x:c>
      <x:c r="V46" s="117" t="str">
        <x:v>True</x:v>
      </x:c>
      <x:c r="W46" s="117" t="str">
        <x:v>True</x:v>
      </x:c>
      <x:c r="X46" s="117" t="str">
        <x:v>0</x:v>
      </x:c>
      <x:c r="Y46" s="117" t="str">
        <x:v>0</x:v>
      </x:c>
      <x:c r="Z46" s="117" t="str"/>
      <x:c r="AA46" s="117" t="str">
        <x:v>0.020397800020873547</x:v>
      </x:c>
      <x:c r="AB46" s="117" t="str">
        <x:v>78</x:v>
      </x:c>
      <x:c r="AC46" s="117" t="str">
        <x:v>78</x:v>
      </x:c>
      <x:c r="AD46" s="117" t="str">
        <x:v>7.664967000018805</x:v>
      </x:c>
      <x:c r="AE46" s="117" t="str">
        <x:v>True</x:v>
      </x:c>
      <x:c r="AF46" s="117" t="str">
        <x:v>0</x:v>
      </x:c>
      <x:c r="AG46" s="117" t="str">
        <x:v>0</x:v>
      </x:c>
      <x:c r="AH46" s="117" t="str">
        <x:v>0</x:v>
      </x:c>
      <x:c r="AI46" s="117" t="str">
        <x:v>93</x:v>
      </x:c>
      <x:c r="AJ46" s="117" t="str">
        <x:v>3.026524499990046</x:v>
      </x:c>
      <x:c r="AK46" s="117" t="str">
        <x:v>True</x:v>
      </x:c>
      <x:c r="AL46" s="117" t="str">
        <x:v>93</x:v>
      </x:c>
      <x:c r="AM46" s="117" t="str">
        <x:v>True</x:v>
      </x:c>
      <x:c r="AN46" s="117" t="str">
        <x:v>476</x:v>
      </x:c>
      <x:c r="AO46" s="117" t="str">
        <x:v>93</x:v>
      </x:c>
      <x:c r="AP46" s="117" t="str">
        <x:v>2.5312977000139654</x:v>
      </x:c>
      <x:c r="AQ46" s="117" t="str">
        <x:v>True</x:v>
      </x:c>
      <x:c r="AR46" s="117" t="str">
        <x:v>True</x:v>
      </x:c>
      <x:c r="AS46" s="117" t="str">
        <x:v>True</x:v>
      </x:c>
      <x:c r="AT46" s="117" t="str">
        <x:v>0</x:v>
      </x:c>
      <x:c r="AU46" s="117" t="str">
        <x:v>0</x:v>
      </x:c>
      <x:c r="AV46" s="117" t="str"/>
      <x:c r="AW46" s="117" t="str">
        <x:v>0.02603790001012385</x:v>
      </x:c>
      <x:c r="AX46" s="117" t="str">
        <x:v>93</x:v>
      </x:c>
      <x:c r="AY46" s="117" t="str">
        <x:v>93</x:v>
      </x:c>
      <x:c r="AZ46" s="117" t="str">
        <x:v>2.557335600024089</x:v>
      </x:c>
      <x:c r="BA46" s="117" t="str">
        <x:v>True</x:v>
      </x:c>
      <x:c r="BB46" s="117" t="str">
        <x:v>0</x:v>
      </x:c>
      <x:c r="BC46" s="117" t="str">
        <x:v>0</x:v>
      </x:c>
      <x:c r="BD46" s="117" t="str">
        <x:v>0</x:v>
      </x:c>
      <x:c r="BE46" s="117" t="str">
        <x:v>90</x:v>
      </x:c>
      <x:c r="BF46" s="117" t="str">
        <x:v>4.255862500052899</x:v>
      </x:c>
      <x:c r="BG46" s="117" t="str">
        <x:v>True</x:v>
      </x:c>
      <x:c r="BH46" s="117" t="str">
        <x:v>92</x:v>
      </x:c>
      <x:c r="BI46" s="117" t="str">
        <x:v>True</x:v>
      </x:c>
      <x:c r="BJ46" s="117" t="str">
        <x:v>218</x:v>
      </x:c>
      <x:c r="BK46" s="117" t="str">
        <x:v>92</x:v>
      </x:c>
      <x:c r="BL46" s="117" t="str">
        <x:v>2.9143025999655947</x:v>
      </x:c>
      <x:c r="BM46" s="117" t="str">
        <x:v>True</x:v>
      </x:c>
      <x:c r="BN46" s="117" t="str">
        <x:v>True</x:v>
      </x:c>
      <x:c r="BO46" s="117" t="str">
        <x:v>True</x:v>
      </x:c>
      <x:c r="BP46" s="117" t="str">
        <x:v>0</x:v>
      </x:c>
      <x:c r="BQ46" s="117" t="str">
        <x:v>0</x:v>
      </x:c>
      <x:c r="BR46" s="117" t="str"/>
      <x:c r="BS46" s="117" t="str">
        <x:v>0.028907899977639318</x:v>
      </x:c>
      <x:c r="BT46" s="117" t="str">
        <x:v>92</x:v>
      </x:c>
      <x:c r="BU46" s="117" t="str">
        <x:v>92</x:v>
      </x:c>
      <x:c r="BV46" s="117" t="str">
        <x:v>2.943210499943234</x:v>
      </x:c>
      <x:c r="BW46" s="117" t="str">
        <x:v>True</x:v>
      </x:c>
      <x:c r="BX46" s="117" t="str">
        <x:v>0</x:v>
      </x:c>
      <x:c r="BY46" s="117" t="str">
        <x:v>0</x:v>
      </x:c>
      <x:c r="BZ46" s="117" t="str">
        <x:v>0</x:v>
      </x:c>
      <x:c r="CA46" s="117" t="str">
        <x:v>82</x:v>
      </x:c>
      <x:c r="CB46" s="117" t="str">
        <x:v>22.38441719999537</x:v>
      </x:c>
      <x:c r="CC46" s="117" t="str">
        <x:v>True</x:v>
      </x:c>
      <x:c r="CD46" s="117" t="str">
        <x:v>81</x:v>
      </x:c>
      <x:c r="CE46" s="117" t="str">
        <x:v>True</x:v>
      </x:c>
      <x:c r="CF46" s="117" t="str">
        <x:v>81</x:v>
      </x:c>
      <x:c r="CG46" s="117" t="str">
        <x:v>81</x:v>
      </x:c>
      <x:c r="CH46" s="117" t="str">
        <x:v>19.026843899977393</x:v>
      </x:c>
      <x:c r="CI46" s="117" t="str">
        <x:v>True</x:v>
      </x:c>
      <x:c r="CJ46" s="117" t="str">
        <x:v>True</x:v>
      </x:c>
      <x:c r="CK46" s="117" t="str">
        <x:v>True</x:v>
      </x:c>
      <x:c r="CL46" s="117" t="str">
        <x:v>0</x:v>
      </x:c>
      <x:c r="CM46" s="117" t="str">
        <x:v>0</x:v>
      </x:c>
      <x:c r="CN46" s="117" t="str"/>
      <x:c r="CO46" s="117" t="str">
        <x:v>0.02266250003594905</x:v>
      </x:c>
      <x:c r="CP46" s="117" t="str">
        <x:v>81</x:v>
      </x:c>
      <x:c r="CQ46" s="117" t="str">
        <x:v>81</x:v>
      </x:c>
      <x:c r="CR46" s="117" t="str">
        <x:v>19.049506400013342</x:v>
      </x:c>
      <x:c r="CS46" s="117" t="str">
        <x:v>True</x:v>
      </x:c>
      <x:c r="CT46" s="117" t="str">
        <x:v>0</x:v>
      </x:c>
      <x:c r="CU46" s="117" t="str">
        <x:v>0</x:v>
      </x:c>
      <x:c r="CV46" s="117" t="str">
        <x:v>0</x:v>
      </x:c>
    </x:row>
    <x:row r="47">
      <x:c r="A47" s="117" t="str">
        <x:v>500</x:v>
      </x:c>
      <x:c r="B47" s="117" t="str">
        <x:v>0.7</x:v>
      </x:c>
      <x:c r="C47" s="117" t="str">
        <x:v>1</x:v>
      </x:c>
      <x:c r="D47" s="117" t="str">
        <x:v>4260616327</x:v>
      </x:c>
      <x:c r="E47" s="117" t="str">
        <x:v>93645</x:v>
      </x:c>
      <x:c r="F47" s="117" t="str">
        <x:v>1</x:v>
      </x:c>
      <x:c r="G47" s="117" t="str">
        <x:v>500</x:v>
      </x:c>
      <x:c r="H47" s="117" t="str">
        <x:v>374.58</x:v>
      </x:c>
      <x:c r="I47" s="117" t="str">
        <x:v>0.7506613226452906</x:v>
      </x:c>
      <x:c r="J47" s="117" t="str">
        <x:v>5</x:v>
      </x:c>
      <x:c r="K47" s="117" t="str">
        <x:v>grid,circle,zoomed,ich</x:v>
      </x:c>
      <x:c r="L47" s="117" t="str">
        <x:v>historical baseline; not timed in this repair session</x:v>
      </x:c>
      <x:c r="M47" s="117" t="str">
        <x:v>112</x:v>
      </x:c>
      <x:c r="N47" s="117" t="str">
        <x:v>14.815197599935345</x:v>
      </x:c>
      <x:c r="O47" s="117" t="str">
        <x:v>True</x:v>
      </x:c>
      <x:c r="P47" s="117" t="str">
        <x:v>97</x:v>
      </x:c>
      <x:c r="Q47" s="117" t="str">
        <x:v>True</x:v>
      </x:c>
      <x:c r="R47" s="117" t="str">
        <x:v>100</x:v>
      </x:c>
      <x:c r="S47" s="117" t="str">
        <x:v>97</x:v>
      </x:c>
      <x:c r="T47" s="117" t="str">
        <x:v>9.263589999987744</x:v>
      </x:c>
      <x:c r="U47" s="117" t="str">
        <x:v>True</x:v>
      </x:c>
      <x:c r="V47" s="117" t="str">
        <x:v>True</x:v>
      </x:c>
      <x:c r="W47" s="117" t="str">
        <x:v>True</x:v>
      </x:c>
      <x:c r="X47" s="117" t="str">
        <x:v>0</x:v>
      </x:c>
      <x:c r="Y47" s="117" t="str">
        <x:v>0</x:v>
      </x:c>
      <x:c r="Z47" s="117" t="str"/>
      <x:c r="AA47" s="117" t="str">
        <x:v>0.02857850003056228</x:v>
      </x:c>
      <x:c r="AB47" s="117" t="str">
        <x:v>97</x:v>
      </x:c>
      <x:c r="AC47" s="117" t="str">
        <x:v>97</x:v>
      </x:c>
      <x:c r="AD47" s="117" t="str">
        <x:v>9.292168500018306</x:v>
      </x:c>
      <x:c r="AE47" s="117" t="str">
        <x:v>True</x:v>
      </x:c>
      <x:c r="AF47" s="117" t="str">
        <x:v>0</x:v>
      </x:c>
      <x:c r="AG47" s="117" t="str">
        <x:v>0</x:v>
      </x:c>
      <x:c r="AH47" s="117" t="str">
        <x:v>0</x:v>
      </x:c>
      <x:c r="AI47" s="117" t="str">
        <x:v>120</x:v>
      </x:c>
      <x:c r="AJ47" s="117" t="str">
        <x:v>2.9643443999812007</x:v>
      </x:c>
      <x:c r="AK47" s="117" t="str">
        <x:v>True</x:v>
      </x:c>
      <x:c r="AL47" s="117" t="str">
        <x:v>120</x:v>
      </x:c>
      <x:c r="AM47" s="117" t="str">
        <x:v>True</x:v>
      </x:c>
      <x:c r="AN47" s="117" t="str">
        <x:v>466</x:v>
      </x:c>
      <x:c r="AO47" s="117" t="str">
        <x:v>120</x:v>
      </x:c>
      <x:c r="AP47" s="117" t="str">
        <x:v>2.701156900031492</x:v>
      </x:c>
      <x:c r="AQ47" s="117" t="str">
        <x:v>True</x:v>
      </x:c>
      <x:c r="AR47" s="117" t="str">
        <x:v>True</x:v>
      </x:c>
      <x:c r="AS47" s="117" t="str">
        <x:v>True</x:v>
      </x:c>
      <x:c r="AT47" s="117" t="str">
        <x:v>0</x:v>
      </x:c>
      <x:c r="AU47" s="117" t="str">
        <x:v>0</x:v>
      </x:c>
      <x:c r="AV47" s="117" t="str"/>
      <x:c r="AW47" s="117" t="str">
        <x:v>0.030382900033146143</x:v>
      </x:c>
      <x:c r="AX47" s="117" t="str">
        <x:v>120</x:v>
      </x:c>
      <x:c r="AY47" s="117" t="str">
        <x:v>120</x:v>
      </x:c>
      <x:c r="AZ47" s="117" t="str">
        <x:v>2.7315398000646383</x:v>
      </x:c>
      <x:c r="BA47" s="117" t="str">
        <x:v>True</x:v>
      </x:c>
      <x:c r="BB47" s="117" t="str">
        <x:v>0</x:v>
      </x:c>
      <x:c r="BC47" s="117" t="str">
        <x:v>0</x:v>
      </x:c>
      <x:c r="BD47" s="117" t="str">
        <x:v>0</x:v>
      </x:c>
      <x:c r="BE47" s="117" t="str">
        <x:v>126</x:v>
      </x:c>
      <x:c r="BF47" s="117" t="str">
        <x:v>9.462062300066464</x:v>
      </x:c>
      <x:c r="BG47" s="117" t="str">
        <x:v>True</x:v>
      </x:c>
      <x:c r="BH47" s="117" t="str">
        <x:v>246</x:v>
      </x:c>
      <x:c r="BI47" s="117" t="str">
        <x:v>False</x:v>
      </x:c>
      <x:c r="BJ47" s="117" t="str">
        <x:v>246</x:v>
      </x:c>
      <x:c r="BK47" s="117" t="str">
        <x:v>246</x:v>
      </x:c>
      <x:c r="BL47" s="117" t="str">
        <x:v>6.635951100033708</x:v>
      </x:c>
      <x:c r="BM47" s="117" t="str">
        <x:v>False</x:v>
      </x:c>
      <x:c r="BN47" s="117" t="str">
        <x:v>True</x:v>
      </x:c>
      <x:c r="BO47" s="117" t="str">
        <x:v>True</x:v>
      </x:c>
      <x:c r="BP47" s="117" t="str">
        <x:v>1</x:v>
      </x:c>
      <x:c r="BQ47" s="117" t="str">
        <x:v>1</x:v>
      </x:c>
      <x:c r="BR47" s="117" t="str">
        <x:v>1</x:v>
      </x:c>
      <x:c r="BS47" s="117" t="str">
        <x:v>1.0473935999907553</x:v>
      </x:c>
      <x:c r="BT47" s="117" t="str">
        <x:v>247</x:v>
      </x:c>
      <x:c r="BU47" s="117" t="str">
        <x:v>108</x:v>
      </x:c>
      <x:c r="BV47" s="117" t="str">
        <x:v>7.683344700024463</x:v>
      </x:c>
      <x:c r="BW47" s="117" t="str">
        <x:v>True</x:v>
      </x:c>
      <x:c r="BX47" s="117" t="str">
        <x:v>0</x:v>
      </x:c>
      <x:c r="BY47" s="117" t="str">
        <x:v>139</x:v>
      </x:c>
      <x:c r="BZ47" s="117" t="str">
        <x:v>-138</x:v>
      </x:c>
      <x:c r="CA47" s="117" t="str">
        <x:v>100</x:v>
      </x:c>
      <x:c r="CB47" s="117" t="str">
        <x:v>23.210552100092173</x:v>
      </x:c>
      <x:c r="CC47" s="117" t="str">
        <x:v>True</x:v>
      </x:c>
      <x:c r="CD47" s="117" t="str">
        <x:v>99</x:v>
      </x:c>
      <x:c r="CE47" s="117" t="str">
        <x:v>True</x:v>
      </x:c>
      <x:c r="CF47" s="117" t="str">
        <x:v>99</x:v>
      </x:c>
      <x:c r="CG47" s="117" t="str">
        <x:v>99</x:v>
      </x:c>
      <x:c r="CH47" s="117" t="str">
        <x:v>20.98659400001634</x:v>
      </x:c>
      <x:c r="CI47" s="117" t="str">
        <x:v>True</x:v>
      </x:c>
      <x:c r="CJ47" s="117" t="str">
        <x:v>True</x:v>
      </x:c>
      <x:c r="CK47" s="117" t="str">
        <x:v>True</x:v>
      </x:c>
      <x:c r="CL47" s="117" t="str">
        <x:v>0</x:v>
      </x:c>
      <x:c r="CM47" s="117" t="str">
        <x:v>0</x:v>
      </x:c>
      <x:c r="CN47" s="117" t="str"/>
      <x:c r="CO47" s="117" t="str">
        <x:v>0.02790470002219081</x:v>
      </x:c>
      <x:c r="CP47" s="117" t="str">
        <x:v>99</x:v>
      </x:c>
      <x:c r="CQ47" s="117" t="str">
        <x:v>99</x:v>
      </x:c>
      <x:c r="CR47" s="117" t="str">
        <x:v>21.01449870003853</x:v>
      </x:c>
      <x:c r="CS47" s="117" t="str">
        <x:v>True</x:v>
      </x:c>
      <x:c r="CT47" s="117" t="str">
        <x:v>0</x:v>
      </x:c>
      <x:c r="CU47" s="117" t="str">
        <x:v>0</x:v>
      </x:c>
      <x:c r="CV47" s="117" t="str">
        <x:v>0</x:v>
      </x:c>
    </x:row>
    <x:row r="48">
      <x:c r="A48" s="117" t="str">
        <x:v>500</x:v>
      </x:c>
      <x:c r="B48" s="117" t="str">
        <x:v>0.7</x:v>
      </x:c>
      <x:c r="C48" s="117" t="str">
        <x:v>2</x:v>
      </x:c>
      <x:c r="D48" s="117" t="str">
        <x:v>896421585</x:v>
      </x:c>
      <x:c r="E48" s="117" t="str">
        <x:v>94487</x:v>
      </x:c>
      <x:c r="F48" s="117" t="str">
        <x:v>1</x:v>
      </x:c>
      <x:c r="G48" s="117" t="str">
        <x:v>500</x:v>
      </x:c>
      <x:c r="H48" s="117" t="str">
        <x:v>377.948</x:v>
      </x:c>
      <x:c r="I48" s="117" t="str">
        <x:v>0.7574108216432865</x:v>
      </x:c>
      <x:c r="J48" s="117" t="str">
        <x:v>5</x:v>
      </x:c>
      <x:c r="K48" s="117" t="str">
        <x:v>circle,zoomed,ich,grid</x:v>
      </x:c>
      <x:c r="L48" s="117" t="str">
        <x:v>historical baseline; not timed in this repair session</x:v>
      </x:c>
      <x:c r="M48" s="117" t="str">
        <x:v>117</x:v>
      </x:c>
      <x:c r="N48" s="117" t="str">
        <x:v>14.452629399951547</x:v>
      </x:c>
      <x:c r="O48" s="117" t="str">
        <x:v>True</x:v>
      </x:c>
      <x:c r="P48" s="117" t="str">
        <x:v>97</x:v>
      </x:c>
      <x:c r="Q48" s="117" t="str">
        <x:v>True</x:v>
      </x:c>
      <x:c r="R48" s="117" t="str">
        <x:v>99</x:v>
      </x:c>
      <x:c r="S48" s="117" t="str">
        <x:v>97</x:v>
      </x:c>
      <x:c r="T48" s="117" t="str">
        <x:v>9.050842500058934</x:v>
      </x:c>
      <x:c r="U48" s="117" t="str">
        <x:v>True</x:v>
      </x:c>
      <x:c r="V48" s="117" t="str">
        <x:v>True</x:v>
      </x:c>
      <x:c r="W48" s="117" t="str">
        <x:v>True</x:v>
      </x:c>
      <x:c r="X48" s="117" t="str">
        <x:v>0</x:v>
      </x:c>
      <x:c r="Y48" s="117" t="str">
        <x:v>0</x:v>
      </x:c>
      <x:c r="Z48" s="117" t="str"/>
      <x:c r="AA48" s="117" t="str">
        <x:v>0.03243999998085201</x:v>
      </x:c>
      <x:c r="AB48" s="117" t="str">
        <x:v>97</x:v>
      </x:c>
      <x:c r="AC48" s="117" t="str">
        <x:v>97</x:v>
      </x:c>
      <x:c r="AD48" s="117" t="str">
        <x:v>9.083282500039786</x:v>
      </x:c>
      <x:c r="AE48" s="117" t="str">
        <x:v>True</x:v>
      </x:c>
      <x:c r="AF48" s="117" t="str">
        <x:v>0</x:v>
      </x:c>
      <x:c r="AG48" s="117" t="str">
        <x:v>0</x:v>
      </x:c>
      <x:c r="AH48" s="117" t="str">
        <x:v>0</x:v>
      </x:c>
      <x:c r="AI48" s="117" t="str">
        <x:v>144</x:v>
      </x:c>
      <x:c r="AJ48" s="117" t="str">
        <x:v>3.0488606999861076</x:v>
      </x:c>
      <x:c r="AK48" s="117" t="str">
        <x:v>True</x:v>
      </x:c>
      <x:c r="AL48" s="117" t="str">
        <x:v>144</x:v>
      </x:c>
      <x:c r="AM48" s="117" t="str">
        <x:v>True</x:v>
      </x:c>
      <x:c r="AN48" s="117" t="str">
        <x:v>440</x:v>
      </x:c>
      <x:c r="AO48" s="117" t="str">
        <x:v>144</x:v>
      </x:c>
      <x:c r="AP48" s="117" t="str">
        <x:v>3.021812599967234</x:v>
      </x:c>
      <x:c r="AQ48" s="117" t="str">
        <x:v>True</x:v>
      </x:c>
      <x:c r="AR48" s="117" t="str">
        <x:v>True</x:v>
      </x:c>
      <x:c r="AS48" s="117" t="str">
        <x:v>True</x:v>
      </x:c>
      <x:c r="AT48" s="117" t="str">
        <x:v>0</x:v>
      </x:c>
      <x:c r="AU48" s="117" t="str">
        <x:v>0</x:v>
      </x:c>
      <x:c r="AV48" s="117" t="str"/>
      <x:c r="AW48" s="117" t="str">
        <x:v>0.03704920003656298</x:v>
      </x:c>
      <x:c r="AX48" s="117" t="str">
        <x:v>144</x:v>
      </x:c>
      <x:c r="AY48" s="117" t="str">
        <x:v>144</x:v>
      </x:c>
      <x:c r="AZ48" s="117" t="str">
        <x:v>3.058861800003797</x:v>
      </x:c>
      <x:c r="BA48" s="117" t="str">
        <x:v>True</x:v>
      </x:c>
      <x:c r="BB48" s="117" t="str">
        <x:v>0</x:v>
      </x:c>
      <x:c r="BC48" s="117" t="str">
        <x:v>0</x:v>
      </x:c>
      <x:c r="BD48" s="117" t="str">
        <x:v>0</x:v>
      </x:c>
      <x:c r="BE48" s="117" t="str">
        <x:v>142</x:v>
      </x:c>
      <x:c r="BF48" s="117" t="str">
        <x:v>6.6005553000140935</x:v>
      </x:c>
      <x:c r="BG48" s="117" t="str">
        <x:v>True</x:v>
      </x:c>
      <x:c r="BH48" s="117" t="str">
        <x:v>112</x:v>
      </x:c>
      <x:c r="BI48" s="117" t="str">
        <x:v>True</x:v>
      </x:c>
      <x:c r="BJ48" s="117" t="str">
        <x:v>275</x:v>
      </x:c>
      <x:c r="BK48" s="117" t="str">
        <x:v>112</x:v>
      </x:c>
      <x:c r="BL48" s="117" t="str">
        <x:v>6.5719569000648335</x:v>
      </x:c>
      <x:c r="BM48" s="117" t="str">
        <x:v>True</x:v>
      </x:c>
      <x:c r="BN48" s="117" t="str">
        <x:v>True</x:v>
      </x:c>
      <x:c r="BO48" s="117" t="str">
        <x:v>True</x:v>
      </x:c>
      <x:c r="BP48" s="117" t="str">
        <x:v>0</x:v>
      </x:c>
      <x:c r="BQ48" s="117" t="str">
        <x:v>0</x:v>
      </x:c>
      <x:c r="BR48" s="117" t="str"/>
      <x:c r="BS48" s="117" t="str">
        <x:v>0.03055949998088181</x:v>
      </x:c>
      <x:c r="BT48" s="117" t="str">
        <x:v>112</x:v>
      </x:c>
      <x:c r="BU48" s="117" t="str">
        <x:v>112</x:v>
      </x:c>
      <x:c r="BV48" s="117" t="str">
        <x:v>6.602516400045715</x:v>
      </x:c>
      <x:c r="BW48" s="117" t="str">
        <x:v>True</x:v>
      </x:c>
      <x:c r="BX48" s="117" t="str">
        <x:v>0</x:v>
      </x:c>
      <x:c r="BY48" s="117" t="str">
        <x:v>0</x:v>
      </x:c>
      <x:c r="BZ48" s="117" t="str">
        <x:v>0</x:v>
      </x:c>
      <x:c r="CA48" s="117" t="str">
        <x:v>99</x:v>
      </x:c>
      <x:c r="CB48" s="117" t="str">
        <x:v>22.502508000005037</x:v>
      </x:c>
      <x:c r="CC48" s="117" t="str">
        <x:v>True</x:v>
      </x:c>
      <x:c r="CD48" s="117" t="str">
        <x:v>101</x:v>
      </x:c>
      <x:c r="CE48" s="117" t="str">
        <x:v>True</x:v>
      </x:c>
      <x:c r="CF48" s="117" t="str">
        <x:v>101</x:v>
      </x:c>
      <x:c r="CG48" s="117" t="str">
        <x:v>101</x:v>
      </x:c>
      <x:c r="CH48" s="117" t="str">
        <x:v>21.1569011999527</x:v>
      </x:c>
      <x:c r="CI48" s="117" t="str">
        <x:v>True</x:v>
      </x:c>
      <x:c r="CJ48" s="117" t="str">
        <x:v>True</x:v>
      </x:c>
      <x:c r="CK48" s="117" t="str">
        <x:v>True</x:v>
      </x:c>
      <x:c r="CL48" s="117" t="str">
        <x:v>0</x:v>
      </x:c>
      <x:c r="CM48" s="117" t="str">
        <x:v>0</x:v>
      </x:c>
      <x:c r="CN48" s="117" t="str"/>
      <x:c r="CO48" s="117" t="str">
        <x:v>0.03175919991917908</x:v>
      </x:c>
      <x:c r="CP48" s="117" t="str">
        <x:v>101</x:v>
      </x:c>
      <x:c r="CQ48" s="117" t="str">
        <x:v>101</x:v>
      </x:c>
      <x:c r="CR48" s="117" t="str">
        <x:v>21.18866039987188</x:v>
      </x:c>
      <x:c r="CS48" s="117" t="str">
        <x:v>True</x:v>
      </x:c>
      <x:c r="CT48" s="117" t="str">
        <x:v>0</x:v>
      </x:c>
      <x:c r="CU48" s="117" t="str">
        <x:v>0</x:v>
      </x:c>
      <x:c r="CV48" s="117" t="str">
        <x:v>0</x:v>
      </x:c>
    </x:row>
    <x:row r="49">
      <x:c r="A49" s="118" t="str">
        <x:v>500</x:v>
      </x:c>
      <x:c r="B49" s="118" t="str">
        <x:v>0.7</x:v>
      </x:c>
      <x:c r="C49" s="118" t="str">
        <x:v>3</x:v>
      </x:c>
      <x:c r="D49" s="118" t="str">
        <x:v>1929132124</x:v>
      </x:c>
      <x:c r="E49" s="118" t="str">
        <x:v>88948</x:v>
      </x:c>
      <x:c r="F49" s="118" t="str">
        <x:v>1</x:v>
      </x:c>
      <x:c r="G49" s="118" t="str">
        <x:v>500</x:v>
      </x:c>
      <x:c r="H49" s="118" t="str">
        <x:v>355.792</x:v>
      </x:c>
      <x:c r="I49" s="118" t="str">
        <x:v>0.7130100200400802</x:v>
      </x:c>
      <x:c r="J49" s="118" t="str">
        <x:v>5</x:v>
      </x:c>
      <x:c r="K49" s="118" t="str">
        <x:v>zoomed,ich,grid,circle</x:v>
      </x:c>
      <x:c r="L49" s="118" t="str">
        <x:v>historical baseline; not timed in this repair session</x:v>
      </x:c>
      <x:c r="M49" s="118" t="str">
        <x:v>111</x:v>
      </x:c>
      <x:c r="N49" s="118" t="str">
        <x:v>14.215119799948297</x:v>
      </x:c>
      <x:c r="O49" s="118" t="str">
        <x:v>True</x:v>
      </x:c>
      <x:c r="P49" s="118" t="str">
        <x:v>94</x:v>
      </x:c>
      <x:c r="Q49" s="118" t="str">
        <x:v>True</x:v>
      </x:c>
      <x:c r="R49" s="118" t="str">
        <x:v>99</x:v>
      </x:c>
      <x:c r="S49" s="118" t="str">
        <x:v>94</x:v>
      </x:c>
      <x:c r="T49" s="118" t="str">
        <x:v>10.176588600035757</x:v>
      </x:c>
      <x:c r="U49" s="118" t="str">
        <x:v>True</x:v>
      </x:c>
      <x:c r="V49" s="118" t="str">
        <x:v>True</x:v>
      </x:c>
      <x:c r="W49" s="118" t="str">
        <x:v>True</x:v>
      </x:c>
      <x:c r="X49" s="118" t="str">
        <x:v>0</x:v>
      </x:c>
      <x:c r="Y49" s="118" t="str">
        <x:v>0</x:v>
      </x:c>
      <x:c r="Z49" s="118" t="str"/>
      <x:c r="AA49" s="118" t="str">
        <x:v>0.02600499999243766</x:v>
      </x:c>
      <x:c r="AB49" s="118" t="str">
        <x:v>94</x:v>
      </x:c>
      <x:c r="AC49" s="118" t="str">
        <x:v>94</x:v>
      </x:c>
      <x:c r="AD49" s="118" t="str">
        <x:v>10.202593600028194</x:v>
      </x:c>
      <x:c r="AE49" s="118" t="str">
        <x:v>True</x:v>
      </x:c>
      <x:c r="AF49" s="118" t="str">
        <x:v>0</x:v>
      </x:c>
      <x:c r="AG49" s="118" t="str">
        <x:v>0</x:v>
      </x:c>
      <x:c r="AH49" s="118" t="str">
        <x:v>0</x:v>
      </x:c>
      <x:c r="AI49" s="118" t="str">
        <x:v>147</x:v>
      </x:c>
      <x:c r="AJ49" s="118" t="str">
        <x:v>3.1712197000160813</x:v>
      </x:c>
      <x:c r="AK49" s="118" t="str">
        <x:v>True</x:v>
      </x:c>
      <x:c r="AL49" s="118" t="str">
        <x:v>153</x:v>
      </x:c>
      <x:c r="AM49" s="118" t="str">
        <x:v>True</x:v>
      </x:c>
      <x:c r="AN49" s="118" t="str">
        <x:v>309</x:v>
      </x:c>
      <x:c r="AO49" s="118" t="str">
        <x:v>153</x:v>
      </x:c>
      <x:c r="AP49" s="118" t="str">
        <x:v>3.3637101999484003</x:v>
      </x:c>
      <x:c r="AQ49" s="118" t="str">
        <x:v>True</x:v>
      </x:c>
      <x:c r="AR49" s="118" t="str">
        <x:v>True</x:v>
      </x:c>
      <x:c r="AS49" s="118" t="str">
        <x:v>True</x:v>
      </x:c>
      <x:c r="AT49" s="118" t="str">
        <x:v>0</x:v>
      </x:c>
      <x:c r="AU49" s="118" t="str">
        <x:v>0</x:v>
      </x:c>
      <x:c r="AV49" s="118" t="str"/>
      <x:c r="AW49" s="118" t="str">
        <x:v>0.04561400006059557</x:v>
      </x:c>
      <x:c r="AX49" s="118" t="str">
        <x:v>153</x:v>
      </x:c>
      <x:c r="AY49" s="118" t="str">
        <x:v>153</x:v>
      </x:c>
      <x:c r="AZ49" s="118" t="str">
        <x:v>3.409324200008996</x:v>
      </x:c>
      <x:c r="BA49" s="118" t="str">
        <x:v>True</x:v>
      </x:c>
      <x:c r="BB49" s="118" t="str">
        <x:v>0</x:v>
      </x:c>
      <x:c r="BC49" s="118" t="str">
        <x:v>0</x:v>
      </x:c>
      <x:c r="BD49" s="118" t="str">
        <x:v>0</x:v>
      </x:c>
      <x:c r="BE49" s="118" t="str">
        <x:v>115</x:v>
      </x:c>
      <x:c r="BF49" s="118" t="str">
        <x:v>6.171383599983528</x:v>
      </x:c>
      <x:c r="BG49" s="118" t="str">
        <x:v>True</x:v>
      </x:c>
      <x:c r="BH49" s="118" t="str">
        <x:v>107</x:v>
      </x:c>
      <x:c r="BI49" s="118" t="str">
        <x:v>True</x:v>
      </x:c>
      <x:c r="BJ49" s="118" t="str">
        <x:v>214</x:v>
      </x:c>
      <x:c r="BK49" s="118" t="str">
        <x:v>107</x:v>
      </x:c>
      <x:c r="BL49" s="118" t="str">
        <x:v>5.691346499952488</x:v>
      </x:c>
      <x:c r="BM49" s="118" t="str">
        <x:v>True</x:v>
      </x:c>
      <x:c r="BN49" s="118" t="str">
        <x:v>True</x:v>
      </x:c>
      <x:c r="BO49" s="118" t="str">
        <x:v>True</x:v>
      </x:c>
      <x:c r="BP49" s="118" t="str">
        <x:v>0</x:v>
      </x:c>
      <x:c r="BQ49" s="118" t="str">
        <x:v>0</x:v>
      </x:c>
      <x:c r="BR49" s="118" t="str"/>
      <x:c r="BS49" s="118" t="str">
        <x:v>0.027852099970914423</x:v>
      </x:c>
      <x:c r="BT49" s="118" t="str">
        <x:v>107</x:v>
      </x:c>
      <x:c r="BU49" s="118" t="str">
        <x:v>107</x:v>
      </x:c>
      <x:c r="BV49" s="118" t="str">
        <x:v>5.719198599923402</x:v>
      </x:c>
      <x:c r="BW49" s="118" t="str">
        <x:v>True</x:v>
      </x:c>
      <x:c r="BX49" s="118" t="str">
        <x:v>0</x:v>
      </x:c>
      <x:c r="BY49" s="118" t="str">
        <x:v>0</x:v>
      </x:c>
      <x:c r="BZ49" s="118" t="str">
        <x:v>0</x:v>
      </x:c>
      <x:c r="CA49" s="118" t="str">
        <x:v>93</x:v>
      </x:c>
      <x:c r="CB49" s="118" t="str">
        <x:v>21.147465600050054</x:v>
      </x:c>
      <x:c r="CC49" s="118" t="str">
        <x:v>True</x:v>
      </x:c>
      <x:c r="CD49" s="118" t="str">
        <x:v>90</x:v>
      </x:c>
      <x:c r="CE49" s="118" t="str">
        <x:v>True</x:v>
      </x:c>
      <x:c r="CF49" s="118" t="str">
        <x:v>90</x:v>
      </x:c>
      <x:c r="CG49" s="118" t="str">
        <x:v>90</x:v>
      </x:c>
      <x:c r="CH49" s="118" t="str">
        <x:v>19.920574900112115</x:v>
      </x:c>
      <x:c r="CI49" s="118" t="str">
        <x:v>True</x:v>
      </x:c>
      <x:c r="CJ49" s="118" t="str">
        <x:v>True</x:v>
      </x:c>
      <x:c r="CK49" s="118" t="str">
        <x:v>True</x:v>
      </x:c>
      <x:c r="CL49" s="118" t="str">
        <x:v>0</x:v>
      </x:c>
      <x:c r="CM49" s="118" t="str">
        <x:v>0</x:v>
      </x:c>
      <x:c r="CN49" s="118" t="str"/>
      <x:c r="CO49" s="118" t="str">
        <x:v>0.024705300107598305</x:v>
      </x:c>
      <x:c r="CP49" s="118" t="str">
        <x:v>90</x:v>
      </x:c>
      <x:c r="CQ49" s="118" t="str">
        <x:v>90</x:v>
      </x:c>
      <x:c r="CR49" s="118" t="str">
        <x:v>19.945280200219713</x:v>
      </x:c>
      <x:c r="CS49" s="118" t="str">
        <x:v>True</x:v>
      </x:c>
      <x:c r="CT49" s="118" t="str">
        <x:v>0</x:v>
      </x:c>
      <x:c r="CU49" s="118" t="str">
        <x:v>0</x:v>
      </x:c>
      <x:c r="CV49" s="118" t="str">
        <x:v>0</x:v>
      </x:c>
    </x:row>
  </x:sheetData>
  <x:pageMargins left="0.7" right="0.7" top="0.75" bottom="0.75" header="0.3" footer="0.3"/>
  <x:tableParts count="1">
    <x:tablePart xmlns:r="http://schemas.openxmlformats.org/officeDocument/2006/relationships" r:id="R148d48d04f44401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ht="36" customHeight="1">
      <x:c r="A1" s="24" t="str">
        <x:v>Global Collision Repair: Entropy vs. Original vs. Repaired Collision</x:v>
      </x:c>
      <x:c r="B1" s="24"/>
      <x:c r="C1" s="24"/>
      <x:c r="D1" s="24"/>
      <x:c r="E1" s="24"/>
      <x:c r="F1" s="24"/>
      <x:c r="G1" s="24"/>
      <x:c r="H1" s="24"/>
      <x:c r="I1" s="24"/>
      <x:c r="J1" s="24"/>
      <x:c r="K1" s="24"/>
      <x:c r="L1" s="24"/>
      <x:c r="M1" s="24"/>
      <x:c r="N1" s="24"/>
      <x:c r="O1" s="24"/>
    </x:row>
    <x:row r="2" ht="26" customHeight="1">
      <x:c r="A2" s="30" t="str">
        <x:v>48 shared graphs and 192 method comparisons. Original collision outputs were reproduced exactly; repaired sizes are compared with Entropy only when Entropy is valid.</x:v>
      </x:c>
      <x:c r="B2" s="30"/>
      <x:c r="C2" s="30"/>
      <x:c r="D2" s="30"/>
      <x:c r="E2" s="30"/>
      <x:c r="F2" s="30"/>
      <x:c r="G2" s="30"/>
      <x:c r="H2" s="30"/>
      <x:c r="I2" s="30"/>
      <x:c r="J2" s="30"/>
      <x:c r="K2" s="30"/>
      <x:c r="L2" s="30"/>
      <x:c r="M2" s="30"/>
      <x:c r="N2" s="30"/>
      <x:c r="O2" s="30"/>
    </x:row>
    <x:row r="3">
      <x:c r="A3" s="38" t="str">
        <x:v>Shared graphs</x:v>
      </x:c>
      <x:c r="B3" s="38"/>
      <x:c r="C3" s="38"/>
      <x:c r="D3" s="38" t="str">
        <x:v>Method comparisons</x:v>
      </x:c>
      <x:c r="E3" s="38"/>
      <x:c r="F3" s="38"/>
      <x:c r="G3" s="38" t="str">
        <x:v>Repaired valid</x:v>
      </x:c>
      <x:c r="H3" s="38"/>
      <x:c r="I3" s="38"/>
      <x:c r="J3" s="38" t="str">
        <x:v>Rows repaired</x:v>
      </x:c>
      <x:c r="K3" s="38"/>
      <x:c r="L3" s="38"/>
      <x:c r="M3" s="38" t="str">
        <x:v>Repair probes added</x:v>
      </x:c>
      <x:c r="N3" s="38"/>
      <x:c r="O3" s="38"/>
    </x:row>
    <x:row r="4">
      <x:c r="A4" s="46" t="n">
        <x:f>COUNTA('Raw Results'!$A$2:$A$49)</x:f>
        <x:v>48</x:v>
      </x:c>
      <x:c r="B4" s="46"/>
      <x:c r="C4" s="46"/>
      <x:c r="D4" s="46" t="n">
        <x:f>COUNTA('Pair Results'!$A$2:$A$193)</x:f>
        <x:v>192</x:v>
      </x:c>
      <x:c r="E4" s="46"/>
      <x:c r="F4" s="46"/>
      <x:c r="G4" s="46" t="n">
        <x:f>SUM('Pair Results'!$Q$2:$Q$193)</x:f>
        <x:v>192</x:v>
      </x:c>
      <x:c r="H4" s="46"/>
      <x:c r="I4" s="46"/>
      <x:c r="J4" s="46" t="n">
        <x:f>SUM('Pair Results'!$Z$2:$Z$193)</x:f>
        <x:v>13</x:v>
      </x:c>
      <x:c r="K4" s="46"/>
      <x:c r="L4" s="46"/>
      <x:c r="M4" s="46" t="n">
        <x:f>SUM('Pair Results'!$L$2:$L$193)</x:f>
        <x:v>42</x:v>
      </x:c>
      <x:c r="N4" s="46"/>
      <x:c r="O4" s="46"/>
    </x:row>
    <x:row r="7" ht="34" customHeight="1">
      <x:c r="A7" s="8" t="str">
        <x:v>Family</x:v>
      </x:c>
      <x:c r="B7" s="8" t="str">
        <x:v>Entropy valid</x:v>
      </x:c>
      <x:c r="C7" s="8" t="str">
        <x:v>Original C valid</x:v>
      </x:c>
      <x:c r="D7" s="8" t="str">
        <x:v>Repaired C valid</x:v>
      </x:c>
      <x:c r="E7" s="8" t="str">
        <x:v>Repair rows</x:v>
      </x:c>
      <x:c r="F7" s="8" t="str">
        <x:v>Total probes</x:v>
      </x:c>
      <x:c r="G7" s="8" t="str">
        <x:v>Max probes</x:v>
      </x:c>
      <x:c r="H7" s="8" t="str">
        <x:v>Entropy avg size</x:v>
      </x:c>
      <x:c r="I7" s="8" t="str">
        <x:v>Original C avg size (valid)</x:v>
      </x:c>
      <x:c r="J7" s="8" t="str">
        <x:v>Repaired avg size</x:v>
      </x:c>
      <x:c r="K7" s="8" t="str">
        <x:v>Repaired - Entropy</x:v>
      </x:c>
      <x:c r="L7" s="8" t="str">
        <x:v>Repaired wins</x:v>
      </x:c>
      <x:c r="M7" s="8" t="str">
        <x:v>Entropy wins</x:v>
      </x:c>
      <x:c r="N7" s="8" t="str">
        <x:v>Ties</x:v>
      </x:c>
      <x:c r="O7" s="8" t="str">
        <x:v>Avg repair overhead (ms)</x:v>
      </x:c>
    </x:row>
    <x:row r="8">
      <x:c r="A8" s="50" t="str">
        <x:v>Grid</x:v>
      </x:c>
      <x:c r="B8" s="50" t="n">
        <x:f>COUNTIFS('Pair Results'!$A$2:$A$193,$A8,'Pair Results'!$G$2:$G$193,1)</x:f>
        <x:v>40</x:v>
      </x:c>
      <x:c r="C8" s="50" t="n">
        <x:f>COUNTIFS('Pair Results'!$A$2:$A$193,$A8,'Pair Results'!$J$2:$J$193,1)</x:f>
        <x:v>36</x:v>
      </x:c>
      <x:c r="D8" s="50" t="n">
        <x:f>COUNTIFS('Pair Results'!$A$2:$A$193,$A8,'Pair Results'!$Q$2:$Q$193,1)</x:f>
        <x:v>48</x:v>
      </x:c>
      <x:c r="E8" s="50" t="n">
        <x:f>COUNTIFS('Pair Results'!$A$2:$A$193,$A8,'Pair Results'!$Z$2:$Z$193,1)</x:f>
        <x:v>12</x:v>
      </x:c>
      <x:c r="F8" s="50" t="n">
        <x:f>SUMIFS('Pair Results'!$L$2:$L$193,'Pair Results'!$A$2:$A$193,$A8)</x:f>
        <x:v>41</x:v>
      </x:c>
      <x:c r="G8" s="50" t="n">
        <x:f>MAXIFS('Pair Results'!$L$2:$L$193,'Pair Results'!$A$2:$A$193,$A8)</x:f>
        <x:v>8</x:v>
      </x:c>
      <x:c r="H8" s="52" t="n">
        <x:f>AVERAGEIFS('Pair Results'!$F$2:$F$193,'Pair Results'!$A$2:$A$193,$A8,'Pair Results'!$W$2:$W$193,1)</x:f>
        <x:v>45.1</x:v>
      </x:c>
      <x:c r="I8" s="52" t="n">
        <x:f>AVERAGEIFS('Pair Results'!$I$2:$I$193,'Pair Results'!$A$2:$A$193,$A8,'Pair Results'!$J$2:$J$193,1)</x:f>
        <x:v>42.75</x:v>
      </x:c>
      <x:c r="J8" s="52" t="n">
        <x:f>AVERAGEIFS('Pair Results'!$P$2:$P$193,'Pair Results'!$A$2:$A$193,$A8,'Pair Results'!$W$2:$W$193,1)</x:f>
        <x:v>41.15</x:v>
      </x:c>
      <x:c r="K8" s="52" t="n">
        <x:f>J8-H8</x:f>
        <x:v>-3.950000000000003</x:v>
      </x:c>
      <x:c r="L8" s="50" t="n">
        <x:f>COUNTIFS('Pair Results'!$A$2:$A$193,$A8,'Pair Results'!$Y$2:$Y$193,"repaired")</x:f>
        <x:v>26</x:v>
      </x:c>
      <x:c r="M8" s="50" t="n">
        <x:f>COUNTIFS('Pair Results'!$A$2:$A$193,$A8,'Pair Results'!$Y$2:$Y$193,"entropy")</x:f>
        <x:v>10</x:v>
      </x:c>
      <x:c r="N8" s="50" t="n">
        <x:f>COUNTIFS('Pair Results'!$A$2:$A$193,$A8,'Pair Results'!$Y$2:$Y$193,"tie")</x:f>
        <x:v>4</x:v>
      </x:c>
      <x:c r="O8" s="52" t="n">
        <x:f>1000*AVERAGEIFS('Pair Results'!$N$2:$N$193,'Pair Results'!$A$2:$A$193,$A8)</x:f>
        <x:v>15.541254169268845</x:v>
      </x:c>
    </x:row>
    <x:row r="9">
      <x:c r="A9" s="50" t="str">
        <x:v>Circle</x:v>
      </x:c>
      <x:c r="B9" s="50" t="n">
        <x:f>COUNTIFS('Pair Results'!$A$2:$A$193,$A9,'Pair Results'!$G$2:$G$193,1)</x:f>
        <x:v>48</x:v>
      </x:c>
      <x:c r="C9" s="50" t="n">
        <x:f>COUNTIFS('Pair Results'!$A$2:$A$193,$A9,'Pair Results'!$J$2:$J$193,1)</x:f>
        <x:v>48</x:v>
      </x:c>
      <x:c r="D9" s="50" t="n">
        <x:f>COUNTIFS('Pair Results'!$A$2:$A$193,$A9,'Pair Results'!$Q$2:$Q$193,1)</x:f>
        <x:v>48</x:v>
      </x:c>
      <x:c r="E9" s="50" t="n">
        <x:f>COUNTIFS('Pair Results'!$A$2:$A$193,$A9,'Pair Results'!$Z$2:$Z$193,1)</x:f>
        <x:v>0</x:v>
      </x:c>
      <x:c r="F9" s="50" t="n">
        <x:f>SUMIFS('Pair Results'!$L$2:$L$193,'Pair Results'!$A$2:$A$193,$A9)</x:f>
        <x:v>0</x:v>
      </x:c>
      <x:c r="G9" s="50" t="n">
        <x:f>MAXIFS('Pair Results'!$L$2:$L$193,'Pair Results'!$A$2:$A$193,$A9)</x:f>
        <x:v>0</x:v>
      </x:c>
      <x:c r="H9" s="52" t="n">
        <x:f>AVERAGEIFS('Pair Results'!$F$2:$F$193,'Pair Results'!$A$2:$A$193,$A9,'Pair Results'!$W$2:$W$193,1)</x:f>
        <x:v>46.083333333333336</x:v>
      </x:c>
      <x:c r="I9" s="52" t="n">
        <x:f>AVERAGEIFS('Pair Results'!$I$2:$I$193,'Pair Results'!$A$2:$A$193,$A9,'Pair Results'!$J$2:$J$193,1)</x:f>
        <x:v>46.354166666666664</x:v>
      </x:c>
      <x:c r="J9" s="52" t="n">
        <x:f>AVERAGEIFS('Pair Results'!$P$2:$P$193,'Pair Results'!$A$2:$A$193,$A9,'Pair Results'!$W$2:$W$193,1)</x:f>
        <x:v>46.354166666666664</x:v>
      </x:c>
      <x:c r="K9" s="52" t="n">
        <x:f>J9-H9</x:f>
        <x:v>0.2708333333333286</x:v>
      </x:c>
      <x:c r="L9" s="50" t="n">
        <x:f>COUNTIFS('Pair Results'!$A$2:$A$193,$A9,'Pair Results'!$Y$2:$Y$193,"repaired")</x:f>
        <x:v>12</x:v>
      </x:c>
      <x:c r="M9" s="50" t="n">
        <x:f>COUNTIFS('Pair Results'!$A$2:$A$193,$A9,'Pair Results'!$Y$2:$Y$193,"entropy")</x:f>
        <x:v>16</x:v>
      </x:c>
      <x:c r="N9" s="50" t="n">
        <x:f>COUNTIFS('Pair Results'!$A$2:$A$193,$A9,'Pair Results'!$Y$2:$Y$193,"tie")</x:f>
        <x:v>20</x:v>
      </x:c>
      <x:c r="O9" s="52" t="n">
        <x:f>1000*AVERAGEIFS('Pair Results'!$N$2:$N$193,'Pair Results'!$A$2:$A$193,$A9)</x:f>
        <x:v>8.68368541947954</x:v>
      </x:c>
    </x:row>
    <x:row r="10">
      <x:c r="A10" s="50" t="str">
        <x:v>Zoomed Square</x:v>
      </x:c>
      <x:c r="B10" s="50" t="n">
        <x:f>COUNTIFS('Pair Results'!$A$2:$A$193,$A10,'Pair Results'!$G$2:$G$193,1)</x:f>
        <x:v>48</x:v>
      </x:c>
      <x:c r="C10" s="50" t="n">
        <x:f>COUNTIFS('Pair Results'!$A$2:$A$193,$A10,'Pair Results'!$J$2:$J$193,1)</x:f>
        <x:v>47</x:v>
      </x:c>
      <x:c r="D10" s="50" t="n">
        <x:f>COUNTIFS('Pair Results'!$A$2:$A$193,$A10,'Pair Results'!$Q$2:$Q$193,1)</x:f>
        <x:v>48</x:v>
      </x:c>
      <x:c r="E10" s="50" t="n">
        <x:f>COUNTIFS('Pair Results'!$A$2:$A$193,$A10,'Pair Results'!$Z$2:$Z$193,1)</x:f>
        <x:v>1</x:v>
      </x:c>
      <x:c r="F10" s="50" t="n">
        <x:f>SUMIFS('Pair Results'!$L$2:$L$193,'Pair Results'!$A$2:$A$193,$A10)</x:f>
        <x:v>1</x:v>
      </x:c>
      <x:c r="G10" s="50" t="n">
        <x:f>MAXIFS('Pair Results'!$L$2:$L$193,'Pair Results'!$A$2:$A$193,$A10)</x:f>
        <x:v>1</x:v>
      </x:c>
      <x:c r="H10" s="52" t="n">
        <x:f>AVERAGEIFS('Pair Results'!$F$2:$F$193,'Pair Results'!$A$2:$A$193,$A10,'Pair Results'!$W$2:$W$193,1)</x:f>
        <x:v>45.125</x:v>
      </x:c>
      <x:c r="I10" s="52" t="n">
        <x:f>AVERAGEIFS('Pair Results'!$I$2:$I$193,'Pair Results'!$A$2:$A$193,$A10,'Pair Results'!$J$2:$J$193,1)</x:f>
        <x:v>41.829787234042556</x:v>
      </x:c>
      <x:c r="J10" s="52" t="n">
        <x:f>AVERAGEIFS('Pair Results'!$P$2:$P$193,'Pair Results'!$A$2:$A$193,$A10,'Pair Results'!$W$2:$W$193,1)</x:f>
        <x:v>43.208333333333336</x:v>
      </x:c>
      <x:c r="K10" s="52" t="n">
        <x:f>J10-H10</x:f>
        <x:v>-1.9166666666666643</x:v>
      </x:c>
      <x:c r="L10" s="50" t="n">
        <x:f>COUNTIFS('Pair Results'!$A$2:$A$193,$A10,'Pair Results'!$Y$2:$Y$193,"repaired")</x:f>
        <x:v>24</x:v>
      </x:c>
      <x:c r="M10" s="50" t="n">
        <x:f>COUNTIFS('Pair Results'!$A$2:$A$193,$A10,'Pair Results'!$Y$2:$Y$193,"entropy")</x:f>
        <x:v>8</x:v>
      </x:c>
      <x:c r="N10" s="50" t="n">
        <x:f>COUNTIFS('Pair Results'!$A$2:$A$193,$A10,'Pair Results'!$Y$2:$Y$193,"tie")</x:f>
        <x:v>16</x:v>
      </x:c>
      <x:c r="O10" s="52" t="n">
        <x:f>1000*AVERAGEIFS('Pair Results'!$N$2:$N$193,'Pair Results'!$A$2:$A$193,$A10)</x:f>
        <x:v>29.06825208143952</x:v>
      </x:c>
    </x:row>
    <x:row r="11">
      <x:c r="A11" s="50" t="str">
        <x:v>ICH</x:v>
      </x:c>
      <x:c r="B11" s="50" t="n">
        <x:f>COUNTIFS('Pair Results'!$A$2:$A$193,$A11,'Pair Results'!$G$2:$G$193,1)</x:f>
        <x:v>48</x:v>
      </x:c>
      <x:c r="C11" s="50" t="n">
        <x:f>COUNTIFS('Pair Results'!$A$2:$A$193,$A11,'Pair Results'!$J$2:$J$193,1)</x:f>
        <x:v>48</x:v>
      </x:c>
      <x:c r="D11" s="50" t="n">
        <x:f>COUNTIFS('Pair Results'!$A$2:$A$193,$A11,'Pair Results'!$Q$2:$Q$193,1)</x:f>
        <x:v>48</x:v>
      </x:c>
      <x:c r="E11" s="50" t="n">
        <x:f>COUNTIFS('Pair Results'!$A$2:$A$193,$A11,'Pair Results'!$Z$2:$Z$193,1)</x:f>
        <x:v>0</x:v>
      </x:c>
      <x:c r="F11" s="50" t="n">
        <x:f>SUMIFS('Pair Results'!$L$2:$L$193,'Pair Results'!$A$2:$A$193,$A11)</x:f>
        <x:v>0</x:v>
      </x:c>
      <x:c r="G11" s="50" t="n">
        <x:f>MAXIFS('Pair Results'!$L$2:$L$193,'Pair Results'!$A$2:$A$193,$A11)</x:f>
        <x:v>0</x:v>
      </x:c>
      <x:c r="H11" s="52" t="n">
        <x:f>AVERAGEIFS('Pair Results'!$F$2:$F$193,'Pair Results'!$A$2:$A$193,$A11,'Pair Results'!$W$2:$W$193,1)</x:f>
        <x:v>40.479166666666664</x:v>
      </x:c>
      <x:c r="I11" s="52" t="n">
        <x:f>AVERAGEIFS('Pair Results'!$I$2:$I$193,'Pair Results'!$A$2:$A$193,$A11,'Pair Results'!$J$2:$J$193,1)</x:f>
        <x:v>40.354166666666664</x:v>
      </x:c>
      <x:c r="J11" s="52" t="n">
        <x:f>AVERAGEIFS('Pair Results'!$P$2:$P$193,'Pair Results'!$A$2:$A$193,$A11,'Pair Results'!$W$2:$W$193,1)</x:f>
        <x:v>40.354166666666664</x:v>
      </x:c>
      <x:c r="K11" s="52" t="n">
        <x:f>J11-H11</x:f>
        <x:v>-0.125</x:v>
      </x:c>
      <x:c r="L11" s="50" t="n">
        <x:f>COUNTIFS('Pair Results'!$A$2:$A$193,$A11,'Pair Results'!$Y$2:$Y$193,"repaired")</x:f>
        <x:v>17</x:v>
      </x:c>
      <x:c r="M11" s="50" t="n">
        <x:f>COUNTIFS('Pair Results'!$A$2:$A$193,$A11,'Pair Results'!$Y$2:$Y$193,"entropy")</x:f>
        <x:v>11</x:v>
      </x:c>
      <x:c r="N11" s="50" t="n">
        <x:f>COUNTIFS('Pair Results'!$A$2:$A$193,$A11,'Pair Results'!$Y$2:$Y$193,"tie")</x:f>
        <x:v>20</x:v>
      </x:c>
      <x:c r="O11" s="52" t="n">
        <x:f>1000*AVERAGEIFS('Pair Results'!$N$2:$N$193,'Pair Results'!$A$2:$A$193,$A11)</x:f>
        <x:v>7.491062506839323</x:v>
      </x:c>
    </x:row>
    <x:row r="13" ht="42" customHeight="1">
      <x:c r="A13" s="60" t="str">
        <x:v>Result: global repair restored validity in all 13 failed collision rows. Repaired Collision is valid in all 192 comparisons and, on the 184 rows with valid Entropy outputs, wins 79, loses 45, and ties 60.</x:v>
      </x:c>
      <x:c r="B13" s="60"/>
      <x:c r="C13" s="60"/>
      <x:c r="D13" s="60"/>
      <x:c r="E13" s="60"/>
      <x:c r="F13" s="60"/>
      <x:c r="G13" s="60"/>
      <x:c r="H13" s="60"/>
      <x:c r="I13" s="60"/>
      <x:c r="J13" s="60"/>
      <x:c r="K13" s="60"/>
      <x:c r="L13" s="60"/>
      <x:c r="M13" s="60"/>
      <x:c r="N13" s="60"/>
      <x:c r="O13" s="60"/>
    </x:row>
  </x:sheetData>
  <x:mergeCells>
    <x:mergeCell ref="A1:O1"/>
    <x:mergeCell ref="A2:O2"/>
    <x:mergeCell ref="A3:C3"/>
    <x:mergeCell ref="A4:C4"/>
    <x:mergeCell ref="D3:F3"/>
    <x:mergeCell ref="D4:F4"/>
    <x:mergeCell ref="G3:I3"/>
    <x:mergeCell ref="G4:I4"/>
    <x:mergeCell ref="J3:L3"/>
    <x:mergeCell ref="J4:L4"/>
    <x:mergeCell ref="M3:O3"/>
    <x:mergeCell ref="M4:O4"/>
    <x:mergeCell ref="A13:O13"/>
  </x:mergeCells>
  <x:conditionalFormatting sqref="K8:K11">
    <x:cfRule type="cellIs" dxfId="2" priority="1" operator="lessThan">
      <x:formula>0</x:formula>
    </x:cfRule>
    <x:cfRule type="cellIs" dxfId="3" priority="2" operator="greaterThan">
      <x:formula>0</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6" hidden="0" customWidth="1"/>
    <x:col min="11" max="11" width="16" hidden="0" customWidth="1"/>
    <x:col min="12" max="12" width="16" hidden="0" customWidth="1"/>
    <x:col min="13" max="13" width="16" hidden="0" customWidth="1"/>
    <x:col min="14" max="14" width="12" hidden="0" customWidth="1"/>
    <x:col min="15" max="15" width="12" hidden="0" customWidth="1"/>
    <x:col min="16" max="16" width="12" hidden="0" customWidth="1"/>
    <x:col min="17" max="17" width="12" hidden="0" customWidth="1"/>
  </x:cols>
  <x:sheetData>
    <x:row r="1" ht="36" customHeight="1">
      <x:c r="A1" s="24" t="str">
        <x:v>Repair Results by Method and Graph Configuration</x:v>
      </x:c>
      <x:c r="B1" s="24"/>
      <x:c r="C1" s="24"/>
      <x:c r="D1" s="24"/>
      <x:c r="E1" s="24"/>
      <x:c r="F1" s="24"/>
      <x:c r="G1" s="24"/>
      <x:c r="H1" s="24"/>
      <x:c r="I1" s="24"/>
      <x:c r="J1" s="24"/>
      <x:c r="K1" s="24"/>
      <x:c r="L1" s="24"/>
      <x:c r="M1" s="24"/>
      <x:c r="N1" s="24"/>
      <x:c r="O1" s="24"/>
      <x:c r="P1" s="24"/>
      <x:c r="Q1" s="24"/>
    </x:row>
    <x:row r="2" ht="26" customHeight="1">
      <x:c r="A2" s="30" t="str">
        <x:v>Three graphs per (n, radius). Size comparisons use only rows where both Entropy and Repaired Collision are valid; repair timing is post-processing overhead only.</x:v>
      </x:c>
      <x:c r="B2" s="30"/>
      <x:c r="C2" s="30"/>
      <x:c r="D2" s="30"/>
      <x:c r="E2" s="30"/>
      <x:c r="F2" s="30"/>
      <x:c r="G2" s="30"/>
      <x:c r="H2" s="30"/>
      <x:c r="I2" s="30"/>
      <x:c r="J2" s="30"/>
      <x:c r="K2" s="30"/>
      <x:c r="L2" s="30"/>
      <x:c r="M2" s="30"/>
      <x:c r="N2" s="30"/>
      <x:c r="O2" s="30"/>
      <x:c r="P2" s="30"/>
      <x:c r="Q2" s="30"/>
    </x:row>
    <x:row r="5" ht="34" customHeight="1">
      <x:c r="A5" s="8" t="str">
        <x:v>Family</x:v>
      </x:c>
      <x:c r="B5" s="8" t="str">
        <x:v>n</x:v>
      </x:c>
      <x:c r="C5" s="8" t="str">
        <x:v>radius</x:v>
      </x:c>
      <x:c r="D5" s="8" t="str">
        <x:v>runs</x:v>
      </x:c>
      <x:c r="E5" s="8" t="str">
        <x:v>Entropy valid</x:v>
      </x:c>
      <x:c r="F5" s="8" t="str">
        <x:v>Original C valid</x:v>
      </x:c>
      <x:c r="G5" s="8" t="str">
        <x:v>Repaired C valid</x:v>
      </x:c>
      <x:c r="H5" s="8" t="str">
        <x:v>Repair rows</x:v>
      </x:c>
      <x:c r="I5" s="8" t="str">
        <x:v>Repair probes</x:v>
      </x:c>
      <x:c r="J5" s="8" t="str">
        <x:v>Avg repair (ms)</x:v>
      </x:c>
      <x:c r="K5" s="8" t="str">
        <x:v>Entropy avg size</x:v>
      </x:c>
      <x:c r="L5" s="8" t="str">
        <x:v>Repaired avg size</x:v>
      </x:c>
      <x:c r="M5" s="8" t="str">
        <x:v>Repaired - Entropy</x:v>
      </x:c>
      <x:c r="N5" s="8" t="str">
        <x:v>Repaired wins</x:v>
      </x:c>
      <x:c r="O5" s="8" t="str">
        <x:v>Entropy wins</x:v>
      </x:c>
      <x:c r="P5" s="8" t="str">
        <x:v>ties</x:v>
      </x:c>
      <x:c r="Q5" s="8" t="str">
        <x:v>Max probes</x:v>
      </x:c>
    </x:row>
    <x:row r="6">
      <x:c r="A6" s="10" t="str">
        <x:v>Grid</x:v>
      </x:c>
      <x:c r="B6" s="12" t="n">
        <x:v>50</x:v>
      </x:c>
      <x:c r="C6" s="14" t="n">
        <x:v>0.1</x:v>
      </x:c>
      <x:c r="D6" s="12" t="n">
        <x:f>COUNTIFS('Pair Results'!$A$2:$A$193,$A6,'Pair Results'!$B$2:$B$193,$B6,'Pair Results'!$C$2:$C$193,$C6)</x:f>
        <x:v>3</x:v>
      </x:c>
      <x:c r="E6" s="12" t="n">
        <x:f>COUNTIFS('Pair Results'!$A$2:$A$193,$A6,'Pair Results'!$B$2:$B$193,$B6,'Pair Results'!$C$2:$C$193,$C6,'Pair Results'!$G$2:$G$193,1)</x:f>
        <x:v>0</x:v>
      </x:c>
      <x:c r="F6" s="12" t="n">
        <x:f>COUNTIFS('Pair Results'!$A$2:$A$193,$A6,'Pair Results'!$B$2:$B$193,$B6,'Pair Results'!$C$2:$C$193,$C6,'Pair Results'!$J$2:$J$193,1)</x:f>
        <x:v>0</x:v>
      </x:c>
      <x:c r="G6" s="12" t="n">
        <x:f>COUNTIFS('Pair Results'!$A$2:$A$193,$A6,'Pair Results'!$B$2:$B$193,$B6,'Pair Results'!$C$2:$C$193,$C6,'Pair Results'!$Q$2:$Q$193,1)</x:f>
        <x:v>3</x:v>
      </x:c>
      <x:c r="H6" s="12" t="n">
        <x:f>COUNTIFS('Pair Results'!$A$2:$A$193,$A6,'Pair Results'!$B$2:$B$193,$B6,'Pair Results'!$C$2:$C$193,$C6,'Pair Results'!$Z$2:$Z$193,1)</x:f>
        <x:v>3</x:v>
      </x:c>
      <x:c r="I6" s="12" t="n">
        <x:f>SUMIFS('Pair Results'!$L$2:$L$193,'Pair Results'!$A$2:$A$193,$A6,'Pair Results'!$B$2:$B$193,$B6,'Pair Results'!$C$2:$C$193,$C6)</x:f>
        <x:v>14</x:v>
      </x:c>
      <x:c r="J6" s="90" t="n">
        <x:f>1000*AVERAGEIFS('Pair Results'!$N$2:$N$193,'Pair Results'!$A$2:$A$193,$A6,'Pair Results'!$B$2:$B$193,$B6,'Pair Results'!$C$2:$C$193,$C6)</x:f>
        <x:v>4.206666645283501</x:v>
      </x:c>
      <x:c r="K6" s="90" t="str">
        <x:f>IFERROR(AVERAGEIFS('Pair Results'!$F$2:$F$193,'Pair Results'!$A$2:$A$193,$A6,'Pair Results'!$B$2:$B$193,$B6,'Pair Results'!$C$2:$C$193,$C6,'Pair Results'!$W$2:$W$193,1),"")</x:f>
      </x:c>
      <x:c r="L6" s="90" t="str">
        <x:f>IFERROR(AVERAGEIFS('Pair Results'!$P$2:$P$193,'Pair Results'!$A$2:$A$193,$A6,'Pair Results'!$B$2:$B$193,$B6,'Pair Results'!$C$2:$C$193,$C6,'Pair Results'!$W$2:$W$193,1),"")</x:f>
      </x:c>
      <x:c r="M6" s="90" t="str">
        <x:f>IF(OR(K6="",L6=""),"",L6-K6)</x:f>
      </x:c>
      <x:c r="N6" s="12" t="n">
        <x:f>COUNTIFS('Pair Results'!$A$2:$A$193,$A6,'Pair Results'!$B$2:$B$193,$B6,'Pair Results'!$C$2:$C$193,$C6,'Pair Results'!$Y$2:$Y$193,"repaired")</x:f>
        <x:v>0</x:v>
      </x:c>
      <x:c r="O6" s="12" t="n">
        <x:f>COUNTIFS('Pair Results'!$A$2:$A$193,$A6,'Pair Results'!$B$2:$B$193,$B6,'Pair Results'!$C$2:$C$193,$C6,'Pair Results'!$Y$2:$Y$193,"entropy")</x:f>
        <x:v>0</x:v>
      </x:c>
      <x:c r="P6" s="12" t="n">
        <x:f>COUNTIFS('Pair Results'!$A$2:$A$193,$A6,'Pair Results'!$B$2:$B$193,$B6,'Pair Results'!$C$2:$C$193,$C6,'Pair Results'!$Y$2:$Y$193,"tie")</x:f>
        <x:v>0</x:v>
      </x:c>
      <x:c r="Q6" s="12" t="n">
        <x:f>MAXIFS('Pair Results'!$L$2:$L$193,'Pair Results'!$A$2:$A$193,$A6,'Pair Results'!$B$2:$B$193,$B6,'Pair Results'!$C$2:$C$193,$C6)</x:f>
        <x:v>6</x:v>
      </x:c>
    </x:row>
    <x:row r="7">
      <x:c r="A7" s="10" t="str">
        <x:v>Grid</x:v>
      </x:c>
      <x:c r="B7" s="12" t="n">
        <x:v>50</x:v>
      </x:c>
      <x:c r="C7" s="14" t="n">
        <x:v>0.3</x:v>
      </x:c>
      <x:c r="D7" s="12" t="n">
        <x:f>COUNTIFS('Pair Results'!$A$2:$A$193,$A7,'Pair Results'!$B$2:$B$193,$B7,'Pair Results'!$C$2:$C$193,$C7)</x:f>
        <x:v>3</x:v>
      </x:c>
      <x:c r="E7" s="12" t="n">
        <x:f>COUNTIFS('Pair Results'!$A$2:$A$193,$A7,'Pair Results'!$B$2:$B$193,$B7,'Pair Results'!$C$2:$C$193,$C7,'Pair Results'!$G$2:$G$193,1)</x:f>
        <x:v>3</x:v>
      </x:c>
      <x:c r="F7" s="12" t="n">
        <x:f>COUNTIFS('Pair Results'!$A$2:$A$193,$A7,'Pair Results'!$B$2:$B$193,$B7,'Pair Results'!$C$2:$C$193,$C7,'Pair Results'!$J$2:$J$193,1)</x:f>
        <x:v>2</x:v>
      </x:c>
      <x:c r="G7" s="12" t="n">
        <x:f>COUNTIFS('Pair Results'!$A$2:$A$193,$A7,'Pair Results'!$B$2:$B$193,$B7,'Pair Results'!$C$2:$C$193,$C7,'Pair Results'!$Q$2:$Q$193,1)</x:f>
        <x:v>3</x:v>
      </x:c>
      <x:c r="H7" s="12" t="n">
        <x:f>COUNTIFS('Pair Results'!$A$2:$A$193,$A7,'Pair Results'!$B$2:$B$193,$B7,'Pair Results'!$C$2:$C$193,$C7,'Pair Results'!$Z$2:$Z$193,1)</x:f>
        <x:v>1</x:v>
      </x:c>
      <x:c r="I7" s="12" t="n">
        <x:f>SUMIFS('Pair Results'!$L$2:$L$193,'Pair Results'!$A$2:$A$193,$A7,'Pair Results'!$B$2:$B$193,$B7,'Pair Results'!$C$2:$C$193,$C7)</x:f>
        <x:v>1</x:v>
      </x:c>
      <x:c r="J7" s="90" t="n">
        <x:f>1000*AVERAGEIFS('Pair Results'!$N$2:$N$193,'Pair Results'!$A$2:$A$193,$A7,'Pair Results'!$B$2:$B$193,$B7,'Pair Results'!$C$2:$C$193,$C7)</x:f>
        <x:v>1.2619666910419862</x:v>
      </x:c>
      <x:c r="K7" s="90" t="n">
        <x:f>IFERROR(AVERAGEIFS('Pair Results'!$F$2:$F$193,'Pair Results'!$A$2:$A$193,$A7,'Pair Results'!$B$2:$B$193,$B7,'Pair Results'!$C$2:$C$193,$C7,'Pair Results'!$W$2:$W$193,1),"")</x:f>
        <x:v>11.333333333333334</x:v>
      </x:c>
      <x:c r="L7" s="90" t="n">
        <x:f>IFERROR(AVERAGEIFS('Pair Results'!$P$2:$P$193,'Pair Results'!$A$2:$A$193,$A7,'Pair Results'!$B$2:$B$193,$B7,'Pair Results'!$C$2:$C$193,$C7,'Pair Results'!$W$2:$W$193,1),"")</x:f>
        <x:v>12</x:v>
      </x:c>
      <x:c r="M7" s="90" t="n">
        <x:f>IF(OR(K7="",L7=""),"",L7-K7)</x:f>
        <x:v>0.6666666666666661</x:v>
      </x:c>
      <x:c r="N7" s="12" t="n">
        <x:f>COUNTIFS('Pair Results'!$A$2:$A$193,$A7,'Pair Results'!$B$2:$B$193,$B7,'Pair Results'!$C$2:$C$193,$C7,'Pair Results'!$Y$2:$Y$193,"repaired")</x:f>
        <x:v>0</x:v>
      </x:c>
      <x:c r="O7" s="12" t="n">
        <x:f>COUNTIFS('Pair Results'!$A$2:$A$193,$A7,'Pair Results'!$B$2:$B$193,$B7,'Pair Results'!$C$2:$C$193,$C7,'Pair Results'!$Y$2:$Y$193,"entropy")</x:f>
        <x:v>2</x:v>
      </x:c>
      <x:c r="P7" s="12" t="n">
        <x:f>COUNTIFS('Pair Results'!$A$2:$A$193,$A7,'Pair Results'!$B$2:$B$193,$B7,'Pair Results'!$C$2:$C$193,$C7,'Pair Results'!$Y$2:$Y$193,"tie")</x:f>
        <x:v>1</x:v>
      </x:c>
      <x:c r="Q7" s="12" t="n">
        <x:f>MAXIFS('Pair Results'!$L$2:$L$193,'Pair Results'!$A$2:$A$193,$A7,'Pair Results'!$B$2:$B$193,$B7,'Pair Results'!$C$2:$C$193,$C7)</x:f>
        <x:v>1</x:v>
      </x:c>
    </x:row>
    <x:row r="8">
      <x:c r="A8" s="10" t="str">
        <x:v>Grid</x:v>
      </x:c>
      <x:c r="B8" s="12" t="n">
        <x:v>50</x:v>
      </x:c>
      <x:c r="C8" s="14" t="n">
        <x:v>0.5</x:v>
      </x:c>
      <x:c r="D8" s="12" t="n">
        <x:f>COUNTIFS('Pair Results'!$A$2:$A$193,$A8,'Pair Results'!$B$2:$B$193,$B8,'Pair Results'!$C$2:$C$193,$C8)</x:f>
        <x:v>3</x:v>
      </x:c>
      <x:c r="E8" s="12" t="n">
        <x:f>COUNTIFS('Pair Results'!$A$2:$A$193,$A8,'Pair Results'!$B$2:$B$193,$B8,'Pair Results'!$C$2:$C$193,$C8,'Pair Results'!$G$2:$G$193,1)</x:f>
        <x:v>3</x:v>
      </x:c>
      <x:c r="F8" s="12" t="n">
        <x:f>COUNTIFS('Pair Results'!$A$2:$A$193,$A8,'Pair Results'!$B$2:$B$193,$B8,'Pair Results'!$C$2:$C$193,$C8,'Pair Results'!$J$2:$J$193,1)</x:f>
        <x:v>3</x:v>
      </x:c>
      <x:c r="G8" s="12" t="n">
        <x:f>COUNTIFS('Pair Results'!$A$2:$A$193,$A8,'Pair Results'!$B$2:$B$193,$B8,'Pair Results'!$C$2:$C$193,$C8,'Pair Results'!$Q$2:$Q$193,1)</x:f>
        <x:v>3</x:v>
      </x:c>
      <x:c r="H8" s="12" t="n">
        <x:f>COUNTIFS('Pair Results'!$A$2:$A$193,$A8,'Pair Results'!$B$2:$B$193,$B8,'Pair Results'!$C$2:$C$193,$C8,'Pair Results'!$Z$2:$Z$193,1)</x:f>
        <x:v>0</x:v>
      </x:c>
      <x:c r="I8" s="12" t="n">
        <x:f>SUMIFS('Pair Results'!$L$2:$L$193,'Pair Results'!$A$2:$A$193,$A8,'Pair Results'!$B$2:$B$193,$B8,'Pair Results'!$C$2:$C$193,$C8)</x:f>
        <x:v>0</x:v>
      </x:c>
      <x:c r="J8" s="90" t="n">
        <x:f>1000*AVERAGEIFS('Pair Results'!$N$2:$N$193,'Pair Results'!$A$2:$A$193,$A8,'Pair Results'!$B$2:$B$193,$B8,'Pair Results'!$C$2:$C$193,$C8)</x:f>
        <x:v>0.45600001855442923</x:v>
      </x:c>
      <x:c r="K8" s="90" t="n">
        <x:f>IFERROR(AVERAGEIFS('Pair Results'!$F$2:$F$193,'Pair Results'!$A$2:$A$193,$A8,'Pair Results'!$B$2:$B$193,$B8,'Pair Results'!$C$2:$C$193,$C8,'Pair Results'!$W$2:$W$193,1),"")</x:f>
        <x:v>15.666666666666666</x:v>
      </x:c>
      <x:c r="L8" s="90" t="n">
        <x:f>IFERROR(AVERAGEIFS('Pair Results'!$P$2:$P$193,'Pair Results'!$A$2:$A$193,$A8,'Pair Results'!$B$2:$B$193,$B8,'Pair Results'!$C$2:$C$193,$C8,'Pair Results'!$W$2:$W$193,1),"")</x:f>
        <x:v>15.333333333333334</x:v>
      </x:c>
      <x:c r="M8" s="90" t="n">
        <x:f>IF(OR(K8="",L8=""),"",L8-K8)</x:f>
        <x:v>-0.33333333333333215</x:v>
      </x:c>
      <x:c r="N8" s="12" t="n">
        <x:f>COUNTIFS('Pair Results'!$A$2:$A$193,$A8,'Pair Results'!$B$2:$B$193,$B8,'Pair Results'!$C$2:$C$193,$C8,'Pair Results'!$Y$2:$Y$193,"repaired")</x:f>
        <x:v>1</x:v>
      </x:c>
      <x:c r="O8" s="12" t="n">
        <x:f>COUNTIFS('Pair Results'!$A$2:$A$193,$A8,'Pair Results'!$B$2:$B$193,$B8,'Pair Results'!$C$2:$C$193,$C8,'Pair Results'!$Y$2:$Y$193,"entropy")</x:f>
        <x:v>1</x:v>
      </x:c>
      <x:c r="P8" s="12" t="n">
        <x:f>COUNTIFS('Pair Results'!$A$2:$A$193,$A8,'Pair Results'!$B$2:$B$193,$B8,'Pair Results'!$C$2:$C$193,$C8,'Pair Results'!$Y$2:$Y$193,"tie")</x:f>
        <x:v>1</x:v>
      </x:c>
      <x:c r="Q8" s="12" t="n">
        <x:f>MAXIFS('Pair Results'!$L$2:$L$193,'Pair Results'!$A$2:$A$193,$A8,'Pair Results'!$B$2:$B$193,$B8,'Pair Results'!$C$2:$C$193,$C8)</x:f>
        <x:v>0</x:v>
      </x:c>
    </x:row>
    <x:row r="9">
      <x:c r="A9" s="10" t="str">
        <x:v>Grid</x:v>
      </x:c>
      <x:c r="B9" s="12" t="n">
        <x:v>50</x:v>
      </x:c>
      <x:c r="C9" s="14" t="n">
        <x:v>0.7</x:v>
      </x:c>
      <x:c r="D9" s="12" t="n">
        <x:f>COUNTIFS('Pair Results'!$A$2:$A$193,$A9,'Pair Results'!$B$2:$B$193,$B9,'Pair Results'!$C$2:$C$193,$C9)</x:f>
        <x:v>3</x:v>
      </x:c>
      <x:c r="E9" s="12" t="n">
        <x:f>COUNTIFS('Pair Results'!$A$2:$A$193,$A9,'Pair Results'!$B$2:$B$193,$B9,'Pair Results'!$C$2:$C$193,$C9,'Pair Results'!$G$2:$G$193,1)</x:f>
        <x:v>3</x:v>
      </x:c>
      <x:c r="F9" s="12" t="n">
        <x:f>COUNTIFS('Pair Results'!$A$2:$A$193,$A9,'Pair Results'!$B$2:$B$193,$B9,'Pair Results'!$C$2:$C$193,$C9,'Pair Results'!$J$2:$J$193,1)</x:f>
        <x:v>3</x:v>
      </x:c>
      <x:c r="G9" s="12" t="n">
        <x:f>COUNTIFS('Pair Results'!$A$2:$A$193,$A9,'Pair Results'!$B$2:$B$193,$B9,'Pair Results'!$C$2:$C$193,$C9,'Pair Results'!$Q$2:$Q$193,1)</x:f>
        <x:v>3</x:v>
      </x:c>
      <x:c r="H9" s="12" t="n">
        <x:f>COUNTIFS('Pair Results'!$A$2:$A$193,$A9,'Pair Results'!$B$2:$B$193,$B9,'Pair Results'!$C$2:$C$193,$C9,'Pair Results'!$Z$2:$Z$193,1)</x:f>
        <x:v>0</x:v>
      </x:c>
      <x:c r="I9" s="12" t="n">
        <x:f>SUMIFS('Pair Results'!$L$2:$L$193,'Pair Results'!$A$2:$A$193,$A9,'Pair Results'!$B$2:$B$193,$B9,'Pair Results'!$C$2:$C$193,$C9)</x:f>
        <x:v>0</x:v>
      </x:c>
      <x:c r="J9" s="90" t="n">
        <x:f>1000*AVERAGEIFS('Pair Results'!$N$2:$N$193,'Pair Results'!$A$2:$A$193,$A9,'Pair Results'!$B$2:$B$193,$B9,'Pair Results'!$C$2:$C$193,$C9)</x:f>
        <x:v>0.5107000082110366</x:v>
      </x:c>
      <x:c r="K9" s="90" t="n">
        <x:f>IFERROR(AVERAGEIFS('Pair Results'!$F$2:$F$193,'Pair Results'!$A$2:$A$193,$A9,'Pair Results'!$B$2:$B$193,$B9,'Pair Results'!$C$2:$C$193,$C9,'Pair Results'!$W$2:$W$193,1),"")</x:f>
        <x:v>22</x:v>
      </x:c>
      <x:c r="L9" s="90" t="n">
        <x:f>IFERROR(AVERAGEIFS('Pair Results'!$P$2:$P$193,'Pair Results'!$A$2:$A$193,$A9,'Pair Results'!$B$2:$B$193,$B9,'Pair Results'!$C$2:$C$193,$C9,'Pair Results'!$W$2:$W$193,1),"")</x:f>
        <x:v>20</x:v>
      </x:c>
      <x:c r="M9" s="90" t="n">
        <x:f>IF(OR(K9="",L9=""),"",L9-K9)</x:f>
        <x:v>-2</x:v>
      </x:c>
      <x:c r="N9" s="12" t="n">
        <x:f>COUNTIFS('Pair Results'!$A$2:$A$193,$A9,'Pair Results'!$B$2:$B$193,$B9,'Pair Results'!$C$2:$C$193,$C9,'Pair Results'!$Y$2:$Y$193,"repaired")</x:f>
        <x:v>3</x:v>
      </x:c>
      <x:c r="O9" s="12" t="n">
        <x:f>COUNTIFS('Pair Results'!$A$2:$A$193,$A9,'Pair Results'!$B$2:$B$193,$B9,'Pair Results'!$C$2:$C$193,$C9,'Pair Results'!$Y$2:$Y$193,"entropy")</x:f>
        <x:v>0</x:v>
      </x:c>
      <x:c r="P9" s="12" t="n">
        <x:f>COUNTIFS('Pair Results'!$A$2:$A$193,$A9,'Pair Results'!$B$2:$B$193,$B9,'Pair Results'!$C$2:$C$193,$C9,'Pair Results'!$Y$2:$Y$193,"tie")</x:f>
        <x:v>0</x:v>
      </x:c>
      <x:c r="Q9" s="12" t="n">
        <x:f>MAXIFS('Pair Results'!$L$2:$L$193,'Pair Results'!$A$2:$A$193,$A9,'Pair Results'!$B$2:$B$193,$B9,'Pair Results'!$C$2:$C$193,$C9)</x:f>
        <x:v>0</x:v>
      </x:c>
    </x:row>
    <x:row r="10">
      <x:c r="A10" s="10" t="str">
        <x:v>Grid</x:v>
      </x:c>
      <x:c r="B10" s="12" t="n">
        <x:v>100</x:v>
      </x:c>
      <x:c r="C10" s="14" t="n">
        <x:v>0.1</x:v>
      </x:c>
      <x:c r="D10" s="12" t="n">
        <x:f>COUNTIFS('Pair Results'!$A$2:$A$193,$A10,'Pair Results'!$B$2:$B$193,$B10,'Pair Results'!$C$2:$C$193,$C10)</x:f>
        <x:v>3</x:v>
      </x:c>
      <x:c r="E10" s="12" t="n">
        <x:f>COUNTIFS('Pair Results'!$A$2:$A$193,$A10,'Pair Results'!$B$2:$B$193,$B10,'Pair Results'!$C$2:$C$193,$C10,'Pair Results'!$G$2:$G$193,1)</x:f>
        <x:v>0</x:v>
      </x:c>
      <x:c r="F10" s="12" t="n">
        <x:f>COUNTIFS('Pair Results'!$A$2:$A$193,$A10,'Pair Results'!$B$2:$B$193,$B10,'Pair Results'!$C$2:$C$193,$C10,'Pair Results'!$J$2:$J$193,1)</x:f>
        <x:v>0</x:v>
      </x:c>
      <x:c r="G10" s="12" t="n">
        <x:f>COUNTIFS('Pair Results'!$A$2:$A$193,$A10,'Pair Results'!$B$2:$B$193,$B10,'Pair Results'!$C$2:$C$193,$C10,'Pair Results'!$Q$2:$Q$193,1)</x:f>
        <x:v>3</x:v>
      </x:c>
      <x:c r="H10" s="12" t="n">
        <x:f>COUNTIFS('Pair Results'!$A$2:$A$193,$A10,'Pair Results'!$B$2:$B$193,$B10,'Pair Results'!$C$2:$C$193,$C10,'Pair Results'!$Z$2:$Z$193,1)</x:f>
        <x:v>3</x:v>
      </x:c>
      <x:c r="I10" s="12" t="n">
        <x:f>SUMIFS('Pair Results'!$L$2:$L$193,'Pair Results'!$A$2:$A$193,$A10,'Pair Results'!$B$2:$B$193,$B10,'Pair Results'!$C$2:$C$193,$C10)</x:f>
        <x:v>19</x:v>
      </x:c>
      <x:c r="J10" s="90" t="n">
        <x:f>1000*AVERAGEIFS('Pair Results'!$N$2:$N$193,'Pair Results'!$A$2:$A$193,$A10,'Pair Results'!$B$2:$B$193,$B10,'Pair Results'!$C$2:$C$193,$C10)</x:f>
        <x:v>25.475699997817475</x:v>
      </x:c>
      <x:c r="K10" s="90" t="str">
        <x:f>IFERROR(AVERAGEIFS('Pair Results'!$F$2:$F$193,'Pair Results'!$A$2:$A$193,$A10,'Pair Results'!$B$2:$B$193,$B10,'Pair Results'!$C$2:$C$193,$C10,'Pair Results'!$W$2:$W$193,1),"")</x:f>
      </x:c>
      <x:c r="L10" s="90" t="str">
        <x:f>IFERROR(AVERAGEIFS('Pair Results'!$P$2:$P$193,'Pair Results'!$A$2:$A$193,$A10,'Pair Results'!$B$2:$B$193,$B10,'Pair Results'!$C$2:$C$193,$C10,'Pair Results'!$W$2:$W$193,1),"")</x:f>
      </x:c>
      <x:c r="M10" s="90" t="str">
        <x:f>IF(OR(K10="",L10=""),"",L10-K10)</x:f>
      </x:c>
      <x:c r="N10" s="12" t="n">
        <x:f>COUNTIFS('Pair Results'!$A$2:$A$193,$A10,'Pair Results'!$B$2:$B$193,$B10,'Pair Results'!$C$2:$C$193,$C10,'Pair Results'!$Y$2:$Y$193,"repaired")</x:f>
        <x:v>0</x:v>
      </x:c>
      <x:c r="O10" s="12" t="n">
        <x:f>COUNTIFS('Pair Results'!$A$2:$A$193,$A10,'Pair Results'!$B$2:$B$193,$B10,'Pair Results'!$C$2:$C$193,$C10,'Pair Results'!$Y$2:$Y$193,"entropy")</x:f>
        <x:v>0</x:v>
      </x:c>
      <x:c r="P10" s="12" t="n">
        <x:f>COUNTIFS('Pair Results'!$A$2:$A$193,$A10,'Pair Results'!$B$2:$B$193,$B10,'Pair Results'!$C$2:$C$193,$C10,'Pair Results'!$Y$2:$Y$193,"tie")</x:f>
        <x:v>0</x:v>
      </x:c>
      <x:c r="Q10" s="12" t="n">
        <x:f>MAXIFS('Pair Results'!$L$2:$L$193,'Pair Results'!$A$2:$A$193,$A10,'Pair Results'!$B$2:$B$193,$B10,'Pair Results'!$C$2:$C$193,$C10)</x:f>
        <x:v>8</x:v>
      </x:c>
    </x:row>
    <x:row r="11">
      <x:c r="A11" s="10" t="str">
        <x:v>Grid</x:v>
      </x:c>
      <x:c r="B11" s="12" t="n">
        <x:v>100</x:v>
      </x:c>
      <x:c r="C11" s="14" t="n">
        <x:v>0.3</x:v>
      </x:c>
      <x:c r="D11" s="12" t="n">
        <x:f>COUNTIFS('Pair Results'!$A$2:$A$193,$A11,'Pair Results'!$B$2:$B$193,$B11,'Pair Results'!$C$2:$C$193,$C11)</x:f>
        <x:v>3</x:v>
      </x:c>
      <x:c r="E11" s="12" t="n">
        <x:f>COUNTIFS('Pair Results'!$A$2:$A$193,$A11,'Pair Results'!$B$2:$B$193,$B11,'Pair Results'!$C$2:$C$193,$C11,'Pair Results'!$G$2:$G$193,1)</x:f>
        <x:v>3</x:v>
      </x:c>
      <x:c r="F11" s="12" t="n">
        <x:f>COUNTIFS('Pair Results'!$A$2:$A$193,$A11,'Pair Results'!$B$2:$B$193,$B11,'Pair Results'!$C$2:$C$193,$C11,'Pair Results'!$J$2:$J$193,1)</x:f>
        <x:v>2</x:v>
      </x:c>
      <x:c r="G11" s="12" t="n">
        <x:f>COUNTIFS('Pair Results'!$A$2:$A$193,$A11,'Pair Results'!$B$2:$B$193,$B11,'Pair Results'!$C$2:$C$193,$C11,'Pair Results'!$Q$2:$Q$193,1)</x:f>
        <x:v>3</x:v>
      </x:c>
      <x:c r="H11" s="12" t="n">
        <x:f>COUNTIFS('Pair Results'!$A$2:$A$193,$A11,'Pair Results'!$B$2:$B$193,$B11,'Pair Results'!$C$2:$C$193,$C11,'Pair Results'!$Z$2:$Z$193,1)</x:f>
        <x:v>1</x:v>
      </x:c>
      <x:c r="I11" s="12" t="n">
        <x:f>SUMIFS('Pair Results'!$L$2:$L$193,'Pair Results'!$A$2:$A$193,$A11,'Pair Results'!$B$2:$B$193,$B11,'Pair Results'!$C$2:$C$193,$C11)</x:f>
        <x:v>1</x:v>
      </x:c>
      <x:c r="J11" s="90" t="n">
        <x:f>1000*AVERAGEIFS('Pair Results'!$N$2:$N$193,'Pair Results'!$A$2:$A$193,$A11,'Pair Results'!$B$2:$B$193,$B11,'Pair Results'!$C$2:$C$193,$C11)</x:f>
        <x:v>4.418766630503039</x:v>
      </x:c>
      <x:c r="K11" s="90" t="n">
        <x:f>IFERROR(AVERAGEIFS('Pair Results'!$F$2:$F$193,'Pair Results'!$A$2:$A$193,$A11,'Pair Results'!$B$2:$B$193,$B11,'Pair Results'!$C$2:$C$193,$C11,'Pair Results'!$W$2:$W$193,1),"")</x:f>
        <x:v>21.333333333333332</x:v>
      </x:c>
      <x:c r="L11" s="90" t="n">
        <x:f>IFERROR(AVERAGEIFS('Pair Results'!$P$2:$P$193,'Pair Results'!$A$2:$A$193,$A11,'Pair Results'!$B$2:$B$193,$B11,'Pair Results'!$C$2:$C$193,$C11,'Pair Results'!$W$2:$W$193,1),"")</x:f>
        <x:v>20</x:v>
      </x:c>
      <x:c r="M11" s="90" t="n">
        <x:f>IF(OR(K11="",L11=""),"",L11-K11)</x:f>
        <x:v>-1.3333333333333321</x:v>
      </x:c>
      <x:c r="N11" s="12" t="n">
        <x:f>COUNTIFS('Pair Results'!$A$2:$A$193,$A11,'Pair Results'!$B$2:$B$193,$B11,'Pair Results'!$C$2:$C$193,$C11,'Pair Results'!$Y$2:$Y$193,"repaired")</x:f>
        <x:v>2</x:v>
      </x:c>
      <x:c r="O11" s="12" t="n">
        <x:f>COUNTIFS('Pair Results'!$A$2:$A$193,$A11,'Pair Results'!$B$2:$B$193,$B11,'Pair Results'!$C$2:$C$193,$C11,'Pair Results'!$Y$2:$Y$193,"entropy")</x:f>
        <x:v>0</x:v>
      </x:c>
      <x:c r="P11" s="12" t="n">
        <x:f>COUNTIFS('Pair Results'!$A$2:$A$193,$A11,'Pair Results'!$B$2:$B$193,$B11,'Pair Results'!$C$2:$C$193,$C11,'Pair Results'!$Y$2:$Y$193,"tie")</x:f>
        <x:v>1</x:v>
      </x:c>
      <x:c r="Q11" s="12" t="n">
        <x:f>MAXIFS('Pair Results'!$L$2:$L$193,'Pair Results'!$A$2:$A$193,$A11,'Pair Results'!$B$2:$B$193,$B11,'Pair Results'!$C$2:$C$193,$C11)</x:f>
        <x:v>1</x:v>
      </x:c>
    </x:row>
    <x:row r="12">
      <x:c r="A12" s="10" t="str">
        <x:v>Grid</x:v>
      </x:c>
      <x:c r="B12" s="12" t="n">
        <x:v>100</x:v>
      </x:c>
      <x:c r="C12" s="14" t="n">
        <x:v>0.5</x:v>
      </x:c>
      <x:c r="D12" s="12" t="n">
        <x:f>COUNTIFS('Pair Results'!$A$2:$A$193,$A12,'Pair Results'!$B$2:$B$193,$B12,'Pair Results'!$C$2:$C$193,$C12)</x:f>
        <x:v>3</x:v>
      </x:c>
      <x:c r="E12" s="12" t="n">
        <x:f>COUNTIFS('Pair Results'!$A$2:$A$193,$A12,'Pair Results'!$B$2:$B$193,$B12,'Pair Results'!$C$2:$C$193,$C12,'Pair Results'!$G$2:$G$193,1)</x:f>
        <x:v>3</x:v>
      </x:c>
      <x:c r="F12" s="12" t="n">
        <x:f>COUNTIFS('Pair Results'!$A$2:$A$193,$A12,'Pair Results'!$B$2:$B$193,$B12,'Pair Results'!$C$2:$C$193,$C12,'Pair Results'!$J$2:$J$193,1)</x:f>
        <x:v>3</x:v>
      </x:c>
      <x:c r="G12" s="12" t="n">
        <x:f>COUNTIFS('Pair Results'!$A$2:$A$193,$A12,'Pair Results'!$B$2:$B$193,$B12,'Pair Results'!$C$2:$C$193,$C12,'Pair Results'!$Q$2:$Q$193,1)</x:f>
        <x:v>3</x:v>
      </x:c>
      <x:c r="H12" s="12" t="n">
        <x:f>COUNTIFS('Pair Results'!$A$2:$A$193,$A12,'Pair Results'!$B$2:$B$193,$B12,'Pair Results'!$C$2:$C$193,$C12,'Pair Results'!$Z$2:$Z$193,1)</x:f>
        <x:v>0</x:v>
      </x:c>
      <x:c r="I12" s="12" t="n">
        <x:f>SUMIFS('Pair Results'!$L$2:$L$193,'Pair Results'!$A$2:$A$193,$A12,'Pair Results'!$B$2:$B$193,$B12,'Pair Results'!$C$2:$C$193,$C12)</x:f>
        <x:v>0</x:v>
      </x:c>
      <x:c r="J12" s="90" t="n">
        <x:f>1000*AVERAGEIFS('Pair Results'!$N$2:$N$193,'Pair Results'!$A$2:$A$193,$A12,'Pair Results'!$B$2:$B$193,$B12,'Pair Results'!$C$2:$C$193,$C12)</x:f>
        <x:v>1.129799949315687</x:v>
      </x:c>
      <x:c r="K12" s="90" t="n">
        <x:f>IFERROR(AVERAGEIFS('Pair Results'!$F$2:$F$193,'Pair Results'!$A$2:$A$193,$A12,'Pair Results'!$B$2:$B$193,$B12,'Pair Results'!$C$2:$C$193,$C12,'Pair Results'!$W$2:$W$193,1),"")</x:f>
        <x:v>25</x:v>
      </x:c>
      <x:c r="L12" s="90" t="n">
        <x:f>IFERROR(AVERAGEIFS('Pair Results'!$P$2:$P$193,'Pair Results'!$A$2:$A$193,$A12,'Pair Results'!$B$2:$B$193,$B12,'Pair Results'!$C$2:$C$193,$C12,'Pair Results'!$W$2:$W$193,1),"")</x:f>
        <x:v>22.333333333333332</x:v>
      </x:c>
      <x:c r="M12" s="90" t="n">
        <x:f>IF(OR(K12="",L12=""),"",L12-K12)</x:f>
        <x:v>-2.666666666666668</x:v>
      </x:c>
      <x:c r="N12" s="12" t="n">
        <x:f>COUNTIFS('Pair Results'!$A$2:$A$193,$A12,'Pair Results'!$B$2:$B$193,$B12,'Pair Results'!$C$2:$C$193,$C12,'Pair Results'!$Y$2:$Y$193,"repaired")</x:f>
        <x:v>3</x:v>
      </x:c>
      <x:c r="O12" s="12" t="n">
        <x:f>COUNTIFS('Pair Results'!$A$2:$A$193,$A12,'Pair Results'!$B$2:$B$193,$B12,'Pair Results'!$C$2:$C$193,$C12,'Pair Results'!$Y$2:$Y$193,"entropy")</x:f>
        <x:v>0</x:v>
      </x:c>
      <x:c r="P12" s="12" t="n">
        <x:f>COUNTIFS('Pair Results'!$A$2:$A$193,$A12,'Pair Results'!$B$2:$B$193,$B12,'Pair Results'!$C$2:$C$193,$C12,'Pair Results'!$Y$2:$Y$193,"tie")</x:f>
        <x:v>0</x:v>
      </x:c>
      <x:c r="Q12" s="12" t="n">
        <x:f>MAXIFS('Pair Results'!$L$2:$L$193,'Pair Results'!$A$2:$A$193,$A12,'Pair Results'!$B$2:$B$193,$B12,'Pair Results'!$C$2:$C$193,$C12)</x:f>
        <x:v>0</x:v>
      </x:c>
    </x:row>
    <x:row r="13">
      <x:c r="A13" s="10" t="str">
        <x:v>Grid</x:v>
      </x:c>
      <x:c r="B13" s="12" t="n">
        <x:v>100</x:v>
      </x:c>
      <x:c r="C13" s="14" t="n">
        <x:v>0.7</x:v>
      </x:c>
      <x:c r="D13" s="12" t="n">
        <x:f>COUNTIFS('Pair Results'!$A$2:$A$193,$A13,'Pair Results'!$B$2:$B$193,$B13,'Pair Results'!$C$2:$C$193,$C13)</x:f>
        <x:v>3</x:v>
      </x:c>
      <x:c r="E13" s="12" t="n">
        <x:f>COUNTIFS('Pair Results'!$A$2:$A$193,$A13,'Pair Results'!$B$2:$B$193,$B13,'Pair Results'!$C$2:$C$193,$C13,'Pair Results'!$G$2:$G$193,1)</x:f>
        <x:v>3</x:v>
      </x:c>
      <x:c r="F13" s="12" t="n">
        <x:f>COUNTIFS('Pair Results'!$A$2:$A$193,$A13,'Pair Results'!$B$2:$B$193,$B13,'Pair Results'!$C$2:$C$193,$C13,'Pair Results'!$J$2:$J$193,1)</x:f>
        <x:v>3</x:v>
      </x:c>
      <x:c r="G13" s="12" t="n">
        <x:f>COUNTIFS('Pair Results'!$A$2:$A$193,$A13,'Pair Results'!$B$2:$B$193,$B13,'Pair Results'!$C$2:$C$193,$C13,'Pair Results'!$Q$2:$Q$193,1)</x:f>
        <x:v>3</x:v>
      </x:c>
      <x:c r="H13" s="12" t="n">
        <x:f>COUNTIFS('Pair Results'!$A$2:$A$193,$A13,'Pair Results'!$B$2:$B$193,$B13,'Pair Results'!$C$2:$C$193,$C13,'Pair Results'!$Z$2:$Z$193,1)</x:f>
        <x:v>0</x:v>
      </x:c>
      <x:c r="I13" s="12" t="n">
        <x:f>SUMIFS('Pair Results'!$L$2:$L$193,'Pair Results'!$A$2:$A$193,$A13,'Pair Results'!$B$2:$B$193,$B13,'Pair Results'!$C$2:$C$193,$C13)</x:f>
        <x:v>0</x:v>
      </x:c>
      <x:c r="J13" s="90" t="n">
        <x:f>1000*AVERAGEIFS('Pair Results'!$N$2:$N$193,'Pair Results'!$A$2:$A$193,$A13,'Pair Results'!$B$2:$B$193,$B13,'Pair Results'!$C$2:$C$193,$C13)</x:f>
        <x:v>1.6553666985904176</x:v>
      </x:c>
      <x:c r="K13" s="90" t="n">
        <x:f>IFERROR(AVERAGEIFS('Pair Results'!$F$2:$F$193,'Pair Results'!$A$2:$A$193,$A13,'Pair Results'!$B$2:$B$193,$B13,'Pair Results'!$C$2:$C$193,$C13,'Pair Results'!$W$2:$W$193,1),"")</x:f>
        <x:v>34</x:v>
      </x:c>
      <x:c r="L13" s="90" t="n">
        <x:f>IFERROR(AVERAGEIFS('Pair Results'!$P$2:$P$193,'Pair Results'!$A$2:$A$193,$A13,'Pair Results'!$B$2:$B$193,$B13,'Pair Results'!$C$2:$C$193,$C13,'Pair Results'!$W$2:$W$193,1),"")</x:f>
        <x:v>32</x:v>
      </x:c>
      <x:c r="M13" s="90" t="n">
        <x:f>IF(OR(K13="",L13=""),"",L13-K13)</x:f>
        <x:v>-2</x:v>
      </x:c>
      <x:c r="N13" s="12" t="n">
        <x:f>COUNTIFS('Pair Results'!$A$2:$A$193,$A13,'Pair Results'!$B$2:$B$193,$B13,'Pair Results'!$C$2:$C$193,$C13,'Pair Results'!$Y$2:$Y$193,"repaired")</x:f>
        <x:v>2</x:v>
      </x:c>
      <x:c r="O13" s="12" t="n">
        <x:f>COUNTIFS('Pair Results'!$A$2:$A$193,$A13,'Pair Results'!$B$2:$B$193,$B13,'Pair Results'!$C$2:$C$193,$C13,'Pair Results'!$Y$2:$Y$193,"entropy")</x:f>
        <x:v>1</x:v>
      </x:c>
      <x:c r="P13" s="12" t="n">
        <x:f>COUNTIFS('Pair Results'!$A$2:$A$193,$A13,'Pair Results'!$B$2:$B$193,$B13,'Pair Results'!$C$2:$C$193,$C13,'Pair Results'!$Y$2:$Y$193,"tie")</x:f>
        <x:v>0</x:v>
      </x:c>
      <x:c r="Q13" s="12" t="n">
        <x:f>MAXIFS('Pair Results'!$L$2:$L$193,'Pair Results'!$A$2:$A$193,$A13,'Pair Results'!$B$2:$B$193,$B13,'Pair Results'!$C$2:$C$193,$C13)</x:f>
        <x:v>0</x:v>
      </x:c>
    </x:row>
    <x:row r="14">
      <x:c r="A14" s="10" t="str">
        <x:v>Grid</x:v>
      </x:c>
      <x:c r="B14" s="12" t="n">
        <x:v>200</x:v>
      </x:c>
      <x:c r="C14" s="14" t="n">
        <x:v>0.1</x:v>
      </x:c>
      <x:c r="D14" s="12" t="n">
        <x:f>COUNTIFS('Pair Results'!$A$2:$A$193,$A14,'Pair Results'!$B$2:$B$193,$B14,'Pair Results'!$C$2:$C$193,$C14)</x:f>
        <x:v>3</x:v>
      </x:c>
      <x:c r="E14" s="12" t="n">
        <x:f>COUNTIFS('Pair Results'!$A$2:$A$193,$A14,'Pair Results'!$B$2:$B$193,$B14,'Pair Results'!$C$2:$C$193,$C14,'Pair Results'!$G$2:$G$193,1)</x:f>
        <x:v>1</x:v>
      </x:c>
      <x:c r="F14" s="12" t="n">
        <x:f>COUNTIFS('Pair Results'!$A$2:$A$193,$A14,'Pair Results'!$B$2:$B$193,$B14,'Pair Results'!$C$2:$C$193,$C14,'Pair Results'!$J$2:$J$193,1)</x:f>
        <x:v>0</x:v>
      </x:c>
      <x:c r="G14" s="12" t="n">
        <x:f>COUNTIFS('Pair Results'!$A$2:$A$193,$A14,'Pair Results'!$B$2:$B$193,$B14,'Pair Results'!$C$2:$C$193,$C14,'Pair Results'!$Q$2:$Q$193,1)</x:f>
        <x:v>3</x:v>
      </x:c>
      <x:c r="H14" s="12" t="n">
        <x:f>COUNTIFS('Pair Results'!$A$2:$A$193,$A14,'Pair Results'!$B$2:$B$193,$B14,'Pair Results'!$C$2:$C$193,$C14,'Pair Results'!$Z$2:$Z$193,1)</x:f>
        <x:v>3</x:v>
      </x:c>
      <x:c r="I14" s="12" t="n">
        <x:f>SUMIFS('Pair Results'!$L$2:$L$193,'Pair Results'!$A$2:$A$193,$A14,'Pair Results'!$B$2:$B$193,$B14,'Pair Results'!$C$2:$C$193,$C14)</x:f>
        <x:v>5</x:v>
      </x:c>
      <x:c r="J14" s="90" t="n">
        <x:f>1000*AVERAGEIFS('Pair Results'!$N$2:$N$193,'Pair Results'!$A$2:$A$193,$A14,'Pair Results'!$B$2:$B$193,$B14,'Pair Results'!$C$2:$C$193,$C14)</x:f>
        <x:v>84.41133335387956</x:v>
      </x:c>
      <x:c r="K14" s="90" t="n">
        <x:f>IFERROR(AVERAGEIFS('Pair Results'!$F$2:$F$193,'Pair Results'!$A$2:$A$193,$A14,'Pair Results'!$B$2:$B$193,$B14,'Pair Results'!$C$2:$C$193,$C14,'Pair Results'!$W$2:$W$193,1),"")</x:f>
        <x:v>44</x:v>
      </x:c>
      <x:c r="L14" s="90" t="n">
        <x:f>IFERROR(AVERAGEIFS('Pair Results'!$P$2:$P$193,'Pair Results'!$A$2:$A$193,$A14,'Pair Results'!$B$2:$B$193,$B14,'Pair Results'!$C$2:$C$193,$C14,'Pair Results'!$W$2:$W$193,1),"")</x:f>
        <x:v>44</x:v>
      </x:c>
      <x:c r="M14" s="90" t="n">
        <x:f>IF(OR(K14="",L14=""),"",L14-K14)</x:f>
        <x:v>0</x:v>
      </x:c>
      <x:c r="N14" s="12" t="n">
        <x:f>COUNTIFS('Pair Results'!$A$2:$A$193,$A14,'Pair Results'!$B$2:$B$193,$B14,'Pair Results'!$C$2:$C$193,$C14,'Pair Results'!$Y$2:$Y$193,"repaired")</x:f>
        <x:v>0</x:v>
      </x:c>
      <x:c r="O14" s="12" t="n">
        <x:f>COUNTIFS('Pair Results'!$A$2:$A$193,$A14,'Pair Results'!$B$2:$B$193,$B14,'Pair Results'!$C$2:$C$193,$C14,'Pair Results'!$Y$2:$Y$193,"entropy")</x:f>
        <x:v>0</x:v>
      </x:c>
      <x:c r="P14" s="12" t="n">
        <x:f>COUNTIFS('Pair Results'!$A$2:$A$193,$A14,'Pair Results'!$B$2:$B$193,$B14,'Pair Results'!$C$2:$C$193,$C14,'Pair Results'!$Y$2:$Y$193,"tie")</x:f>
        <x:v>1</x:v>
      </x:c>
      <x:c r="Q14" s="12" t="n">
        <x:f>MAXIFS('Pair Results'!$L$2:$L$193,'Pair Results'!$A$2:$A$193,$A14,'Pair Results'!$B$2:$B$193,$B14,'Pair Results'!$C$2:$C$193,$C14)</x:f>
        <x:v>2</x:v>
      </x:c>
    </x:row>
    <x:row r="15">
      <x:c r="A15" s="10" t="str">
        <x:v>Grid</x:v>
      </x:c>
      <x:c r="B15" s="12" t="n">
        <x:v>200</x:v>
      </x:c>
      <x:c r="C15" s="14" t="n">
        <x:v>0.3</x:v>
      </x:c>
      <x:c r="D15" s="12" t="n">
        <x:f>COUNTIFS('Pair Results'!$A$2:$A$193,$A15,'Pair Results'!$B$2:$B$193,$B15,'Pair Results'!$C$2:$C$193,$C15)</x:f>
        <x:v>3</x:v>
      </x:c>
      <x:c r="E15" s="12" t="n">
        <x:f>COUNTIFS('Pair Results'!$A$2:$A$193,$A15,'Pair Results'!$B$2:$B$193,$B15,'Pair Results'!$C$2:$C$193,$C15,'Pair Results'!$G$2:$G$193,1)</x:f>
        <x:v>3</x:v>
      </x:c>
      <x:c r="F15" s="12" t="n">
        <x:f>COUNTIFS('Pair Results'!$A$2:$A$193,$A15,'Pair Results'!$B$2:$B$193,$B15,'Pair Results'!$C$2:$C$193,$C15,'Pair Results'!$J$2:$J$193,1)</x:f>
        <x:v>2</x:v>
      </x:c>
      <x:c r="G15" s="12" t="n">
        <x:f>COUNTIFS('Pair Results'!$A$2:$A$193,$A15,'Pair Results'!$B$2:$B$193,$B15,'Pair Results'!$C$2:$C$193,$C15,'Pair Results'!$Q$2:$Q$193,1)</x:f>
        <x:v>3</x:v>
      </x:c>
      <x:c r="H15" s="12" t="n">
        <x:f>COUNTIFS('Pair Results'!$A$2:$A$193,$A15,'Pair Results'!$B$2:$B$193,$B15,'Pair Results'!$C$2:$C$193,$C15,'Pair Results'!$Z$2:$Z$193,1)</x:f>
        <x:v>1</x:v>
      </x:c>
      <x:c r="I15" s="12" t="n">
        <x:f>SUMIFS('Pair Results'!$L$2:$L$193,'Pair Results'!$A$2:$A$193,$A15,'Pair Results'!$B$2:$B$193,$B15,'Pair Results'!$C$2:$C$193,$C15)</x:f>
        <x:v>1</x:v>
      </x:c>
      <x:c r="J15" s="90" t="n">
        <x:f>1000*AVERAGEIFS('Pair Results'!$N$2:$N$193,'Pair Results'!$A$2:$A$193,$A15,'Pair Results'!$B$2:$B$193,$B15,'Pair Results'!$C$2:$C$193,$C15)</x:f>
        <x:v>21.847433294169605</x:v>
      </x:c>
      <x:c r="K15" s="90" t="n">
        <x:f>IFERROR(AVERAGEIFS('Pair Results'!$F$2:$F$193,'Pair Results'!$A$2:$A$193,$A15,'Pair Results'!$B$2:$B$193,$B15,'Pair Results'!$C$2:$C$193,$C15,'Pair Results'!$W$2:$W$193,1),"")</x:f>
        <x:v>31.333333333333332</x:v>
      </x:c>
      <x:c r="L15" s="90" t="n">
        <x:f>IFERROR(AVERAGEIFS('Pair Results'!$P$2:$P$193,'Pair Results'!$A$2:$A$193,$A15,'Pair Results'!$B$2:$B$193,$B15,'Pair Results'!$C$2:$C$193,$C15,'Pair Results'!$W$2:$W$193,1),"")</x:f>
        <x:v>32</x:v>
      </x:c>
      <x:c r="M15" s="90" t="n">
        <x:f>IF(OR(K15="",L15=""),"",L15-K15)</x:f>
        <x:v>0.6666666666666679</x:v>
      </x:c>
      <x:c r="N15" s="12" t="n">
        <x:f>COUNTIFS('Pair Results'!$A$2:$A$193,$A15,'Pair Results'!$B$2:$B$193,$B15,'Pair Results'!$C$2:$C$193,$C15,'Pair Results'!$Y$2:$Y$193,"repaired")</x:f>
        <x:v>1</x:v>
      </x:c>
      <x:c r="O15" s="12" t="n">
        <x:f>COUNTIFS('Pair Results'!$A$2:$A$193,$A15,'Pair Results'!$B$2:$B$193,$B15,'Pair Results'!$C$2:$C$193,$C15,'Pair Results'!$Y$2:$Y$193,"entropy")</x:f>
        <x:v>2</x:v>
      </x:c>
      <x:c r="P15" s="12" t="n">
        <x:f>COUNTIFS('Pair Results'!$A$2:$A$193,$A15,'Pair Results'!$B$2:$B$193,$B15,'Pair Results'!$C$2:$C$193,$C15,'Pair Results'!$Y$2:$Y$193,"tie")</x:f>
        <x:v>0</x:v>
      </x:c>
      <x:c r="Q15" s="12" t="n">
        <x:f>MAXIFS('Pair Results'!$L$2:$L$193,'Pair Results'!$A$2:$A$193,$A15,'Pair Results'!$B$2:$B$193,$B15,'Pair Results'!$C$2:$C$193,$C15)</x:f>
        <x:v>1</x:v>
      </x:c>
    </x:row>
    <x:row r="16">
      <x:c r="A16" s="10" t="str">
        <x:v>Grid</x:v>
      </x:c>
      <x:c r="B16" s="12" t="n">
        <x:v>200</x:v>
      </x:c>
      <x:c r="C16" s="14" t="n">
        <x:v>0.5</x:v>
      </x:c>
      <x:c r="D16" s="12" t="n">
        <x:f>COUNTIFS('Pair Results'!$A$2:$A$193,$A16,'Pair Results'!$B$2:$B$193,$B16,'Pair Results'!$C$2:$C$193,$C16)</x:f>
        <x:v>3</x:v>
      </x:c>
      <x:c r="E16" s="12" t="n">
        <x:f>COUNTIFS('Pair Results'!$A$2:$A$193,$A16,'Pair Results'!$B$2:$B$193,$B16,'Pair Results'!$C$2:$C$193,$C16,'Pair Results'!$G$2:$G$193,1)</x:f>
        <x:v>3</x:v>
      </x:c>
      <x:c r="F16" s="12" t="n">
        <x:f>COUNTIFS('Pair Results'!$A$2:$A$193,$A16,'Pair Results'!$B$2:$B$193,$B16,'Pair Results'!$C$2:$C$193,$C16,'Pair Results'!$J$2:$J$193,1)</x:f>
        <x:v>3</x:v>
      </x:c>
      <x:c r="G16" s="12" t="n">
        <x:f>COUNTIFS('Pair Results'!$A$2:$A$193,$A16,'Pair Results'!$B$2:$B$193,$B16,'Pair Results'!$C$2:$C$193,$C16,'Pair Results'!$Q$2:$Q$193,1)</x:f>
        <x:v>3</x:v>
      </x:c>
      <x:c r="H16" s="12" t="n">
        <x:f>COUNTIFS('Pair Results'!$A$2:$A$193,$A16,'Pair Results'!$B$2:$B$193,$B16,'Pair Results'!$C$2:$C$193,$C16,'Pair Results'!$Z$2:$Z$193,1)</x:f>
        <x:v>0</x:v>
      </x:c>
      <x:c r="I16" s="12" t="n">
        <x:f>SUMIFS('Pair Results'!$L$2:$L$193,'Pair Results'!$A$2:$A$193,$A16,'Pair Results'!$B$2:$B$193,$B16,'Pair Results'!$C$2:$C$193,$C16)</x:f>
        <x:v>0</x:v>
      </x:c>
      <x:c r="J16" s="90" t="n">
        <x:f>1000*AVERAGEIFS('Pair Results'!$N$2:$N$193,'Pair Results'!$A$2:$A$193,$A16,'Pair Results'!$B$2:$B$193,$B16,'Pair Results'!$C$2:$C$193,$C16)</x:f>
        <x:v>4.513333357560138</x:v>
      </x:c>
      <x:c r="K16" s="90" t="n">
        <x:f>IFERROR(AVERAGEIFS('Pair Results'!$F$2:$F$193,'Pair Results'!$A$2:$A$193,$A16,'Pair Results'!$B$2:$B$193,$B16,'Pair Results'!$C$2:$C$193,$C16,'Pair Results'!$W$2:$W$193,1),"")</x:f>
        <x:v>46</x:v>
      </x:c>
      <x:c r="L16" s="90" t="n">
        <x:f>IFERROR(AVERAGEIFS('Pair Results'!$P$2:$P$193,'Pair Results'!$A$2:$A$193,$A16,'Pair Results'!$B$2:$B$193,$B16,'Pair Results'!$C$2:$C$193,$C16,'Pair Results'!$W$2:$W$193,1),"")</x:f>
        <x:v>38.666666666666664</x:v>
      </x:c>
      <x:c r="M16" s="90" t="n">
        <x:f>IF(OR(K16="",L16=""),"",L16-K16)</x:f>
        <x:v>-7.333333333333336</x:v>
      </x:c>
      <x:c r="N16" s="12" t="n">
        <x:f>COUNTIFS('Pair Results'!$A$2:$A$193,$A16,'Pair Results'!$B$2:$B$193,$B16,'Pair Results'!$C$2:$C$193,$C16,'Pair Results'!$Y$2:$Y$193,"repaired")</x:f>
        <x:v>3</x:v>
      </x:c>
      <x:c r="O16" s="12" t="n">
        <x:f>COUNTIFS('Pair Results'!$A$2:$A$193,$A16,'Pair Results'!$B$2:$B$193,$B16,'Pair Results'!$C$2:$C$193,$C16,'Pair Results'!$Y$2:$Y$193,"entropy")</x:f>
        <x:v>0</x:v>
      </x:c>
      <x:c r="P16" s="12" t="n">
        <x:f>COUNTIFS('Pair Results'!$A$2:$A$193,$A16,'Pair Results'!$B$2:$B$193,$B16,'Pair Results'!$C$2:$C$193,$C16,'Pair Results'!$Y$2:$Y$193,"tie")</x:f>
        <x:v>0</x:v>
      </x:c>
      <x:c r="Q16" s="12" t="n">
        <x:f>MAXIFS('Pair Results'!$L$2:$L$193,'Pair Results'!$A$2:$A$193,$A16,'Pair Results'!$B$2:$B$193,$B16,'Pair Results'!$C$2:$C$193,$C16)</x:f>
        <x:v>0</x:v>
      </x:c>
    </x:row>
    <x:row r="17">
      <x:c r="A17" s="10" t="str">
        <x:v>Grid</x:v>
      </x:c>
      <x:c r="B17" s="12" t="n">
        <x:v>200</x:v>
      </x:c>
      <x:c r="C17" s="14" t="n">
        <x:v>0.7</x:v>
      </x:c>
      <x:c r="D17" s="12" t="n">
        <x:f>COUNTIFS('Pair Results'!$A$2:$A$193,$A17,'Pair Results'!$B$2:$B$193,$B17,'Pair Results'!$C$2:$C$193,$C17)</x:f>
        <x:v>3</x:v>
      </x:c>
      <x:c r="E17" s="12" t="n">
        <x:f>COUNTIFS('Pair Results'!$A$2:$A$193,$A17,'Pair Results'!$B$2:$B$193,$B17,'Pair Results'!$C$2:$C$193,$C17,'Pair Results'!$G$2:$G$193,1)</x:f>
        <x:v>3</x:v>
      </x:c>
      <x:c r="F17" s="12" t="n">
        <x:f>COUNTIFS('Pair Results'!$A$2:$A$193,$A17,'Pair Results'!$B$2:$B$193,$B17,'Pair Results'!$C$2:$C$193,$C17,'Pair Results'!$J$2:$J$193,1)</x:f>
        <x:v>3</x:v>
      </x:c>
      <x:c r="G17" s="12" t="n">
        <x:f>COUNTIFS('Pair Results'!$A$2:$A$193,$A17,'Pair Results'!$B$2:$B$193,$B17,'Pair Results'!$C$2:$C$193,$C17,'Pair Results'!$Q$2:$Q$193,1)</x:f>
        <x:v>3</x:v>
      </x:c>
      <x:c r="H17" s="12" t="n">
        <x:f>COUNTIFS('Pair Results'!$A$2:$A$193,$A17,'Pair Results'!$B$2:$B$193,$B17,'Pair Results'!$C$2:$C$193,$C17,'Pair Results'!$Z$2:$Z$193,1)</x:f>
        <x:v>0</x:v>
      </x:c>
      <x:c r="I17" s="12" t="n">
        <x:f>SUMIFS('Pair Results'!$L$2:$L$193,'Pair Results'!$A$2:$A$193,$A17,'Pair Results'!$B$2:$B$193,$B17,'Pair Results'!$C$2:$C$193,$C17)</x:f>
        <x:v>0</x:v>
      </x:c>
      <x:c r="J17" s="90" t="n">
        <x:f>1000*AVERAGEIFS('Pair Results'!$N$2:$N$193,'Pair Results'!$A$2:$A$193,$A17,'Pair Results'!$B$2:$B$193,$B17,'Pair Results'!$C$2:$C$193,$C17)</x:f>
        <x:v>5.233900039456785</x:v>
      </x:c>
      <x:c r="K17" s="90" t="n">
        <x:f>IFERROR(AVERAGEIFS('Pair Results'!$F$2:$F$193,'Pair Results'!$A$2:$A$193,$A17,'Pair Results'!$B$2:$B$193,$B17,'Pair Results'!$C$2:$C$193,$C17,'Pair Results'!$W$2:$W$193,1),"")</x:f>
        <x:v>61</x:v>
      </x:c>
      <x:c r="L17" s="90" t="n">
        <x:f>IFERROR(AVERAGEIFS('Pair Results'!$P$2:$P$193,'Pair Results'!$A$2:$A$193,$A17,'Pair Results'!$B$2:$B$193,$B17,'Pair Results'!$C$2:$C$193,$C17,'Pair Results'!$W$2:$W$193,1),"")</x:f>
        <x:v>54.333333333333336</x:v>
      </x:c>
      <x:c r="M17" s="90" t="n">
        <x:f>IF(OR(K17="",L17=""),"",L17-K17)</x:f>
        <x:v>-6.666666666666664</x:v>
      </x:c>
      <x:c r="N17" s="12" t="n">
        <x:f>COUNTIFS('Pair Results'!$A$2:$A$193,$A17,'Pair Results'!$B$2:$B$193,$B17,'Pair Results'!$C$2:$C$193,$C17,'Pair Results'!$Y$2:$Y$193,"repaired")</x:f>
        <x:v>3</x:v>
      </x:c>
      <x:c r="O17" s="12" t="n">
        <x:f>COUNTIFS('Pair Results'!$A$2:$A$193,$A17,'Pair Results'!$B$2:$B$193,$B17,'Pair Results'!$C$2:$C$193,$C17,'Pair Results'!$Y$2:$Y$193,"entropy")</x:f>
        <x:v>0</x:v>
      </x:c>
      <x:c r="P17" s="12" t="n">
        <x:f>COUNTIFS('Pair Results'!$A$2:$A$193,$A17,'Pair Results'!$B$2:$B$193,$B17,'Pair Results'!$C$2:$C$193,$C17,'Pair Results'!$Y$2:$Y$193,"tie")</x:f>
        <x:v>0</x:v>
      </x:c>
      <x:c r="Q17" s="12" t="n">
        <x:f>MAXIFS('Pair Results'!$L$2:$L$193,'Pair Results'!$A$2:$A$193,$A17,'Pair Results'!$B$2:$B$193,$B17,'Pair Results'!$C$2:$C$193,$C17)</x:f>
        <x:v>0</x:v>
      </x:c>
    </x:row>
    <x:row r="18">
      <x:c r="A18" s="10" t="str">
        <x:v>Grid</x:v>
      </x:c>
      <x:c r="B18" s="12" t="n">
        <x:v>500</x:v>
      </x:c>
      <x:c r="C18" s="14" t="n">
        <x:v>0.1</x:v>
      </x:c>
      <x:c r="D18" s="12" t="n">
        <x:f>COUNTIFS('Pair Results'!$A$2:$A$193,$A18,'Pair Results'!$B$2:$B$193,$B18,'Pair Results'!$C$2:$C$193,$C18)</x:f>
        <x:v>3</x:v>
      </x:c>
      <x:c r="E18" s="12" t="n">
        <x:f>COUNTIFS('Pair Results'!$A$2:$A$193,$A18,'Pair Results'!$B$2:$B$193,$B18,'Pair Results'!$C$2:$C$193,$C18,'Pair Results'!$G$2:$G$193,1)</x:f>
        <x:v>3</x:v>
      </x:c>
      <x:c r="F18" s="12" t="n">
        <x:f>COUNTIFS('Pair Results'!$A$2:$A$193,$A18,'Pair Results'!$B$2:$B$193,$B18,'Pair Results'!$C$2:$C$193,$C18,'Pair Results'!$J$2:$J$193,1)</x:f>
        <x:v>3</x:v>
      </x:c>
      <x:c r="G18" s="12" t="n">
        <x:f>COUNTIFS('Pair Results'!$A$2:$A$193,$A18,'Pair Results'!$B$2:$B$193,$B18,'Pair Results'!$C$2:$C$193,$C18,'Pair Results'!$Q$2:$Q$193,1)</x:f>
        <x:v>3</x:v>
      </x:c>
      <x:c r="H18" s="12" t="n">
        <x:f>COUNTIFS('Pair Results'!$A$2:$A$193,$A18,'Pair Results'!$B$2:$B$193,$B18,'Pair Results'!$C$2:$C$193,$C18,'Pair Results'!$Z$2:$Z$193,1)</x:f>
        <x:v>0</x:v>
      </x:c>
      <x:c r="I18" s="12" t="n">
        <x:f>SUMIFS('Pair Results'!$L$2:$L$193,'Pair Results'!$A$2:$A$193,$A18,'Pair Results'!$B$2:$B$193,$B18,'Pair Results'!$C$2:$C$193,$C18)</x:f>
        <x:v>0</x:v>
      </x:c>
      <x:c r="J18" s="90" t="n">
        <x:f>1000*AVERAGEIFS('Pair Results'!$N$2:$N$193,'Pair Results'!$A$2:$A$193,$A18,'Pair Results'!$B$2:$B$193,$B18,'Pair Results'!$C$2:$C$193,$C18)</x:f>
        <x:v>19.37386665182809</x:v>
      </x:c>
      <x:c r="K18" s="90" t="n">
        <x:f>IFERROR(AVERAGEIFS('Pair Results'!$F$2:$F$193,'Pair Results'!$A$2:$A$193,$A18,'Pair Results'!$B$2:$B$193,$B18,'Pair Results'!$C$2:$C$193,$C18,'Pair Results'!$W$2:$W$193,1),"")</x:f>
        <x:v>55</x:v>
      </x:c>
      <x:c r="L18" s="90" t="n">
        <x:f>IFERROR(AVERAGEIFS('Pair Results'!$P$2:$P$193,'Pair Results'!$A$2:$A$193,$A18,'Pair Results'!$B$2:$B$193,$B18,'Pair Results'!$C$2:$C$193,$C18,'Pair Results'!$W$2:$W$193,1),"")</x:f>
        <x:v>56</x:v>
      </x:c>
      <x:c r="M18" s="90" t="n">
        <x:f>IF(OR(K18="",L18=""),"",L18-K18)</x:f>
        <x:v>1</x:v>
      </x:c>
      <x:c r="N18" s="12" t="n">
        <x:f>COUNTIFS('Pair Results'!$A$2:$A$193,$A18,'Pair Results'!$B$2:$B$193,$B18,'Pair Results'!$C$2:$C$193,$C18,'Pair Results'!$Y$2:$Y$193,"repaired")</x:f>
        <x:v>1</x:v>
      </x:c>
      <x:c r="O18" s="12" t="n">
        <x:f>COUNTIFS('Pair Results'!$A$2:$A$193,$A18,'Pair Results'!$B$2:$B$193,$B18,'Pair Results'!$C$2:$C$193,$C18,'Pair Results'!$Y$2:$Y$193,"entropy")</x:f>
        <x:v>2</x:v>
      </x:c>
      <x:c r="P18" s="12" t="n">
        <x:f>COUNTIFS('Pair Results'!$A$2:$A$193,$A18,'Pair Results'!$B$2:$B$193,$B18,'Pair Results'!$C$2:$C$193,$C18,'Pair Results'!$Y$2:$Y$193,"tie")</x:f>
        <x:v>0</x:v>
      </x:c>
      <x:c r="Q18" s="12" t="n">
        <x:f>MAXIFS('Pair Results'!$L$2:$L$193,'Pair Results'!$A$2:$A$193,$A18,'Pair Results'!$B$2:$B$193,$B18,'Pair Results'!$C$2:$C$193,$C18)</x:f>
        <x:v>0</x:v>
      </x:c>
    </x:row>
    <x:row r="19">
      <x:c r="A19" s="10" t="str">
        <x:v>Grid</x:v>
      </x:c>
      <x:c r="B19" s="12" t="n">
        <x:v>500</x:v>
      </x:c>
      <x:c r="C19" s="14" t="n">
        <x:v>0.3</x:v>
      </x:c>
      <x:c r="D19" s="12" t="n">
        <x:f>COUNTIFS('Pair Results'!$A$2:$A$193,$A19,'Pair Results'!$B$2:$B$193,$B19,'Pair Results'!$C$2:$C$193,$C19)</x:f>
        <x:v>3</x:v>
      </x:c>
      <x:c r="E19" s="12" t="n">
        <x:f>COUNTIFS('Pair Results'!$A$2:$A$193,$A19,'Pair Results'!$B$2:$B$193,$B19,'Pair Results'!$C$2:$C$193,$C19,'Pair Results'!$G$2:$G$193,1)</x:f>
        <x:v>3</x:v>
      </x:c>
      <x:c r="F19" s="12" t="n">
        <x:f>COUNTIFS('Pair Results'!$A$2:$A$193,$A19,'Pair Results'!$B$2:$B$193,$B19,'Pair Results'!$C$2:$C$193,$C19,'Pair Results'!$J$2:$J$193,1)</x:f>
        <x:v>3</x:v>
      </x:c>
      <x:c r="G19" s="12" t="n">
        <x:f>COUNTIFS('Pair Results'!$A$2:$A$193,$A19,'Pair Results'!$B$2:$B$193,$B19,'Pair Results'!$C$2:$C$193,$C19,'Pair Results'!$Q$2:$Q$193,1)</x:f>
        <x:v>3</x:v>
      </x:c>
      <x:c r="H19" s="12" t="n">
        <x:f>COUNTIFS('Pair Results'!$A$2:$A$193,$A19,'Pair Results'!$B$2:$B$193,$B19,'Pair Results'!$C$2:$C$193,$C19,'Pair Results'!$Z$2:$Z$193,1)</x:f>
        <x:v>0</x:v>
      </x:c>
      <x:c r="I19" s="12" t="n">
        <x:f>SUMIFS('Pair Results'!$L$2:$L$193,'Pair Results'!$A$2:$A$193,$A19,'Pair Results'!$B$2:$B$193,$B19,'Pair Results'!$C$2:$C$193,$C19)</x:f>
        <x:v>0</x:v>
      </x:c>
      <x:c r="J19" s="90" t="n">
        <x:f>1000*AVERAGEIFS('Pair Results'!$N$2:$N$193,'Pair Results'!$A$2:$A$193,$A19,'Pair Results'!$B$2:$B$193,$B19,'Pair Results'!$C$2:$C$193,$C19)</x:f>
        <x:v>23.585533335184056</x:v>
      </x:c>
      <x:c r="K19" s="90" t="n">
        <x:f>IFERROR(AVERAGEIFS('Pair Results'!$F$2:$F$193,'Pair Results'!$A$2:$A$193,$A19,'Pair Results'!$B$2:$B$193,$B19,'Pair Results'!$C$2:$C$193,$C19,'Pair Results'!$W$2:$W$193,1),"")</x:f>
        <x:v>59.333333333333336</x:v>
      </x:c>
      <x:c r="L19" s="90" t="n">
        <x:f>IFERROR(AVERAGEIFS('Pair Results'!$P$2:$P$193,'Pair Results'!$A$2:$A$193,$A19,'Pair Results'!$B$2:$B$193,$B19,'Pair Results'!$C$2:$C$193,$C19,'Pair Results'!$W$2:$W$193,1),"")</x:f>
        <x:v>60.666666666666664</x:v>
      </x:c>
      <x:c r="M19" s="90" t="n">
        <x:f>IF(OR(K19="",L19=""),"",L19-K19)</x:f>
        <x:v>1.3333333333333286</x:v>
      </x:c>
      <x:c r="N19" s="12" t="n">
        <x:f>COUNTIFS('Pair Results'!$A$2:$A$193,$A19,'Pair Results'!$B$2:$B$193,$B19,'Pair Results'!$C$2:$C$193,$C19,'Pair Results'!$Y$2:$Y$193,"repaired")</x:f>
        <x:v>1</x:v>
      </x:c>
      <x:c r="O19" s="12" t="n">
        <x:f>COUNTIFS('Pair Results'!$A$2:$A$193,$A19,'Pair Results'!$B$2:$B$193,$B19,'Pair Results'!$C$2:$C$193,$C19,'Pair Results'!$Y$2:$Y$193,"entropy")</x:f>
        <x:v>2</x:v>
      </x:c>
      <x:c r="P19" s="12" t="n">
        <x:f>COUNTIFS('Pair Results'!$A$2:$A$193,$A19,'Pair Results'!$B$2:$B$193,$B19,'Pair Results'!$C$2:$C$193,$C19,'Pair Results'!$Y$2:$Y$193,"tie")</x:f>
        <x:v>0</x:v>
      </x:c>
      <x:c r="Q19" s="12" t="n">
        <x:f>MAXIFS('Pair Results'!$L$2:$L$193,'Pair Results'!$A$2:$A$193,$A19,'Pair Results'!$B$2:$B$193,$B19,'Pair Results'!$C$2:$C$193,$C19)</x:f>
        <x:v>0</x:v>
      </x:c>
    </x:row>
    <x:row r="20">
      <x:c r="A20" s="10" t="str">
        <x:v>Grid</x:v>
      </x:c>
      <x:c r="B20" s="12" t="n">
        <x:v>500</x:v>
      </x:c>
      <x:c r="C20" s="14" t="n">
        <x:v>0.5</x:v>
      </x:c>
      <x:c r="D20" s="12" t="n">
        <x:f>COUNTIFS('Pair Results'!$A$2:$A$193,$A20,'Pair Results'!$B$2:$B$193,$B20,'Pair Results'!$C$2:$C$193,$C20)</x:f>
        <x:v>3</x:v>
      </x:c>
      <x:c r="E20" s="12" t="n">
        <x:f>COUNTIFS('Pair Results'!$A$2:$A$193,$A20,'Pair Results'!$B$2:$B$193,$B20,'Pair Results'!$C$2:$C$193,$C20,'Pair Results'!$G$2:$G$193,1)</x:f>
        <x:v>3</x:v>
      </x:c>
      <x:c r="F20" s="12" t="n">
        <x:f>COUNTIFS('Pair Results'!$A$2:$A$193,$A20,'Pair Results'!$B$2:$B$193,$B20,'Pair Results'!$C$2:$C$193,$C20,'Pair Results'!$J$2:$J$193,1)</x:f>
        <x:v>3</x:v>
      </x:c>
      <x:c r="G20" s="12" t="n">
        <x:f>COUNTIFS('Pair Results'!$A$2:$A$193,$A20,'Pair Results'!$B$2:$B$193,$B20,'Pair Results'!$C$2:$C$193,$C20,'Pair Results'!$Q$2:$Q$193,1)</x:f>
        <x:v>3</x:v>
      </x:c>
      <x:c r="H20" s="12" t="n">
        <x:f>COUNTIFS('Pair Results'!$A$2:$A$193,$A20,'Pair Results'!$B$2:$B$193,$B20,'Pair Results'!$C$2:$C$193,$C20,'Pair Results'!$Z$2:$Z$193,1)</x:f>
        <x:v>0</x:v>
      </x:c>
      <x:c r="I20" s="12" t="n">
        <x:f>SUMIFS('Pair Results'!$L$2:$L$193,'Pair Results'!$A$2:$A$193,$A20,'Pair Results'!$B$2:$B$193,$B20,'Pair Results'!$C$2:$C$193,$C20)</x:f>
        <x:v>0</x:v>
      </x:c>
      <x:c r="J20" s="90" t="n">
        <x:f>1000*AVERAGEIFS('Pair Results'!$N$2:$N$193,'Pair Results'!$A$2:$A$193,$A20,'Pair Results'!$B$2:$B$193,$B20,'Pair Results'!$C$2:$C$193,$C20)</x:f>
        <x:v>21.57186670228839</x:v>
      </x:c>
      <x:c r="K20" s="90" t="n">
        <x:f>IFERROR(AVERAGEIFS('Pair Results'!$F$2:$F$193,'Pair Results'!$A$2:$A$193,$A20,'Pair Results'!$B$2:$B$193,$B20,'Pair Results'!$C$2:$C$193,$C20,'Pair Results'!$W$2:$W$193,1),"")</x:f>
        <x:v>91.33333333333333</x:v>
      </x:c>
      <x:c r="L20" s="90" t="n">
        <x:f>IFERROR(AVERAGEIFS('Pair Results'!$P$2:$P$193,'Pair Results'!$A$2:$A$193,$A20,'Pair Results'!$B$2:$B$193,$B20,'Pair Results'!$C$2:$C$193,$C20,'Pair Results'!$W$2:$W$193,1),"")</x:f>
        <x:v>74.66666666666667</x:v>
      </x:c>
      <x:c r="M20" s="90" t="n">
        <x:f>IF(OR(K20="",L20=""),"",L20-K20)</x:f>
        <x:v>-16.666666666666657</x:v>
      </x:c>
      <x:c r="N20" s="12" t="n">
        <x:f>COUNTIFS('Pair Results'!$A$2:$A$193,$A20,'Pair Results'!$B$2:$B$193,$B20,'Pair Results'!$C$2:$C$193,$C20,'Pair Results'!$Y$2:$Y$193,"repaired")</x:f>
        <x:v>3</x:v>
      </x:c>
      <x:c r="O20" s="12" t="n">
        <x:f>COUNTIFS('Pair Results'!$A$2:$A$193,$A20,'Pair Results'!$B$2:$B$193,$B20,'Pair Results'!$C$2:$C$193,$C20,'Pair Results'!$Y$2:$Y$193,"entropy")</x:f>
        <x:v>0</x:v>
      </x:c>
      <x:c r="P20" s="12" t="n">
        <x:f>COUNTIFS('Pair Results'!$A$2:$A$193,$A20,'Pair Results'!$B$2:$B$193,$B20,'Pair Results'!$C$2:$C$193,$C20,'Pair Results'!$Y$2:$Y$193,"tie")</x:f>
        <x:v>0</x:v>
      </x:c>
      <x:c r="Q20" s="12" t="n">
        <x:f>MAXIFS('Pair Results'!$L$2:$L$193,'Pair Results'!$A$2:$A$193,$A20,'Pair Results'!$B$2:$B$193,$B20,'Pair Results'!$C$2:$C$193,$C20)</x:f>
        <x:v>0</x:v>
      </x:c>
    </x:row>
    <x:row r="21">
      <x:c r="A21" s="10" t="str">
        <x:v>Grid</x:v>
      </x:c>
      <x:c r="B21" s="12" t="n">
        <x:v>500</x:v>
      </x:c>
      <x:c r="C21" s="14" t="n">
        <x:v>0.7</x:v>
      </x:c>
      <x:c r="D21" s="12" t="n">
        <x:f>COUNTIFS('Pair Results'!$A$2:$A$193,$A21,'Pair Results'!$B$2:$B$193,$B21,'Pair Results'!$C$2:$C$193,$C21)</x:f>
        <x:v>3</x:v>
      </x:c>
      <x:c r="E21" s="12" t="n">
        <x:f>COUNTIFS('Pair Results'!$A$2:$A$193,$A21,'Pair Results'!$B$2:$B$193,$B21,'Pair Results'!$C$2:$C$193,$C21,'Pair Results'!$G$2:$G$193,1)</x:f>
        <x:v>3</x:v>
      </x:c>
      <x:c r="F21" s="12" t="n">
        <x:f>COUNTIFS('Pair Results'!$A$2:$A$193,$A21,'Pair Results'!$B$2:$B$193,$B21,'Pair Results'!$C$2:$C$193,$C21,'Pair Results'!$J$2:$J$193,1)</x:f>
        <x:v>3</x:v>
      </x:c>
      <x:c r="G21" s="12" t="n">
        <x:f>COUNTIFS('Pair Results'!$A$2:$A$193,$A21,'Pair Results'!$B$2:$B$193,$B21,'Pair Results'!$C$2:$C$193,$C21,'Pair Results'!$Q$2:$Q$193,1)</x:f>
        <x:v>3</x:v>
      </x:c>
      <x:c r="H21" s="12" t="n">
        <x:f>COUNTIFS('Pair Results'!$A$2:$A$193,$A21,'Pair Results'!$B$2:$B$193,$B21,'Pair Results'!$C$2:$C$193,$C21,'Pair Results'!$Z$2:$Z$193,1)</x:f>
        <x:v>0</x:v>
      </x:c>
      <x:c r="I21" s="12" t="n">
        <x:f>SUMIFS('Pair Results'!$L$2:$L$193,'Pair Results'!$A$2:$A$193,$A21,'Pair Results'!$B$2:$B$193,$B21,'Pair Results'!$C$2:$C$193,$C21)</x:f>
        <x:v>0</x:v>
      </x:c>
      <x:c r="J21" s="90" t="n">
        <x:f>1000*AVERAGEIFS('Pair Results'!$N$2:$N$193,'Pair Results'!$A$2:$A$193,$A21,'Pair Results'!$B$2:$B$193,$B21,'Pair Results'!$C$2:$C$193,$C21)</x:f>
        <x:v>29.007833334617317</x:v>
      </x:c>
      <x:c r="K21" s="90" t="n">
        <x:f>IFERROR(AVERAGEIFS('Pair Results'!$F$2:$F$193,'Pair Results'!$A$2:$A$193,$A21,'Pair Results'!$B$2:$B$193,$B21,'Pair Results'!$C$2:$C$193,$C21,'Pair Results'!$W$2:$W$193,1),"")</x:f>
        <x:v>113.33333333333333</x:v>
      </x:c>
      <x:c r="L21" s="90" t="n">
        <x:f>IFERROR(AVERAGEIFS('Pair Results'!$P$2:$P$193,'Pair Results'!$A$2:$A$193,$A21,'Pair Results'!$B$2:$B$193,$B21,'Pair Results'!$C$2:$C$193,$C21,'Pair Results'!$W$2:$W$193,1),"")</x:f>
        <x:v>96</x:v>
      </x:c>
      <x:c r="M21" s="90" t="n">
        <x:f>IF(OR(K21="",L21=""),"",L21-K21)</x:f>
        <x:v>-17.33333333333333</x:v>
      </x:c>
      <x:c r="N21" s="12" t="n">
        <x:f>COUNTIFS('Pair Results'!$A$2:$A$193,$A21,'Pair Results'!$B$2:$B$193,$B21,'Pair Results'!$C$2:$C$193,$C21,'Pair Results'!$Y$2:$Y$193,"repaired")</x:f>
        <x:v>3</x:v>
      </x:c>
      <x:c r="O21" s="12" t="n">
        <x:f>COUNTIFS('Pair Results'!$A$2:$A$193,$A21,'Pair Results'!$B$2:$B$193,$B21,'Pair Results'!$C$2:$C$193,$C21,'Pair Results'!$Y$2:$Y$193,"entropy")</x:f>
        <x:v>0</x:v>
      </x:c>
      <x:c r="P21" s="12" t="n">
        <x:f>COUNTIFS('Pair Results'!$A$2:$A$193,$A21,'Pair Results'!$B$2:$B$193,$B21,'Pair Results'!$C$2:$C$193,$C21,'Pair Results'!$Y$2:$Y$193,"tie")</x:f>
        <x:v>0</x:v>
      </x:c>
      <x:c r="Q21" s="12" t="n">
        <x:f>MAXIFS('Pair Results'!$L$2:$L$193,'Pair Results'!$A$2:$A$193,$A21,'Pair Results'!$B$2:$B$193,$B21,'Pair Results'!$C$2:$C$193,$C21)</x:f>
        <x:v>0</x:v>
      </x:c>
    </x:row>
    <x:row r="22">
      <x:c r="A22" s="10" t="str">
        <x:v>Circle</x:v>
      </x:c>
      <x:c r="B22" s="12" t="n">
        <x:v>50</x:v>
      </x:c>
      <x:c r="C22" s="14" t="n">
        <x:v>0.1</x:v>
      </x:c>
      <x:c r="D22" s="12" t="n">
        <x:f>COUNTIFS('Pair Results'!$A$2:$A$193,$A22,'Pair Results'!$B$2:$B$193,$B22,'Pair Results'!$C$2:$C$193,$C22)</x:f>
        <x:v>3</x:v>
      </x:c>
      <x:c r="E22" s="12" t="n">
        <x:f>COUNTIFS('Pair Results'!$A$2:$A$193,$A22,'Pair Results'!$B$2:$B$193,$B22,'Pair Results'!$C$2:$C$193,$C22,'Pair Results'!$G$2:$G$193,1)</x:f>
        <x:v>3</x:v>
      </x:c>
      <x:c r="F22" s="12" t="n">
        <x:f>COUNTIFS('Pair Results'!$A$2:$A$193,$A22,'Pair Results'!$B$2:$B$193,$B22,'Pair Results'!$C$2:$C$193,$C22,'Pair Results'!$J$2:$J$193,1)</x:f>
        <x:v>3</x:v>
      </x:c>
      <x:c r="G22" s="12" t="n">
        <x:f>COUNTIFS('Pair Results'!$A$2:$A$193,$A22,'Pair Results'!$B$2:$B$193,$B22,'Pair Results'!$C$2:$C$193,$C22,'Pair Results'!$Q$2:$Q$193,1)</x:f>
        <x:v>3</x:v>
      </x:c>
      <x:c r="H22" s="12" t="n">
        <x:f>COUNTIFS('Pair Results'!$A$2:$A$193,$A22,'Pair Results'!$B$2:$B$193,$B22,'Pair Results'!$C$2:$C$193,$C22,'Pair Results'!$Z$2:$Z$193,1)</x:f>
        <x:v>0</x:v>
      </x:c>
      <x:c r="I22" s="12" t="n">
        <x:f>SUMIFS('Pair Results'!$L$2:$L$193,'Pair Results'!$A$2:$A$193,$A22,'Pair Results'!$B$2:$B$193,$B22,'Pair Results'!$C$2:$C$193,$C22)</x:f>
        <x:v>0</x:v>
      </x:c>
      <x:c r="J22" s="90" t="n">
        <x:f>1000*AVERAGEIFS('Pair Results'!$N$2:$N$193,'Pair Results'!$A$2:$A$193,$A22,'Pair Results'!$B$2:$B$193,$B22,'Pair Results'!$C$2:$C$193,$C22)</x:f>
        <x:v>0.6338666814068953</x:v>
      </x:c>
      <x:c r="K22" s="90" t="n">
        <x:f>IFERROR(AVERAGEIFS('Pair Results'!$F$2:$F$193,'Pair Results'!$A$2:$A$193,$A22,'Pair Results'!$B$2:$B$193,$B22,'Pair Results'!$C$2:$C$193,$C22,'Pair Results'!$W$2:$W$193,1),"")</x:f>
        <x:v>28.333333333333332</x:v>
      </x:c>
      <x:c r="L22" s="90" t="n">
        <x:f>IFERROR(AVERAGEIFS('Pair Results'!$P$2:$P$193,'Pair Results'!$A$2:$A$193,$A22,'Pair Results'!$B$2:$B$193,$B22,'Pair Results'!$C$2:$C$193,$C22,'Pair Results'!$W$2:$W$193,1),"")</x:f>
        <x:v>28.333333333333332</x:v>
      </x:c>
      <x:c r="M22" s="90" t="n">
        <x:f>IF(OR(K22="",L22=""),"",L22-K22)</x:f>
        <x:v>0</x:v>
      </x:c>
      <x:c r="N22" s="12" t="n">
        <x:f>COUNTIFS('Pair Results'!$A$2:$A$193,$A22,'Pair Results'!$B$2:$B$193,$B22,'Pair Results'!$C$2:$C$193,$C22,'Pair Results'!$Y$2:$Y$193,"repaired")</x:f>
        <x:v>0</x:v>
      </x:c>
      <x:c r="O22" s="12" t="n">
        <x:f>COUNTIFS('Pair Results'!$A$2:$A$193,$A22,'Pair Results'!$B$2:$B$193,$B22,'Pair Results'!$C$2:$C$193,$C22,'Pair Results'!$Y$2:$Y$193,"entropy")</x:f>
        <x:v>0</x:v>
      </x:c>
      <x:c r="P22" s="12" t="n">
        <x:f>COUNTIFS('Pair Results'!$A$2:$A$193,$A22,'Pair Results'!$B$2:$B$193,$B22,'Pair Results'!$C$2:$C$193,$C22,'Pair Results'!$Y$2:$Y$193,"tie")</x:f>
        <x:v>3</x:v>
      </x:c>
      <x:c r="Q22" s="12" t="n">
        <x:f>MAXIFS('Pair Results'!$L$2:$L$193,'Pair Results'!$A$2:$A$193,$A22,'Pair Results'!$B$2:$B$193,$B22,'Pair Results'!$C$2:$C$193,$C22)</x:f>
        <x:v>0</x:v>
      </x:c>
    </x:row>
    <x:row r="23">
      <x:c r="A23" s="10" t="str">
        <x:v>Circle</x:v>
      </x:c>
      <x:c r="B23" s="12" t="n">
        <x:v>50</x:v>
      </x:c>
      <x:c r="C23" s="14" t="n">
        <x:v>0.3</x:v>
      </x:c>
      <x:c r="D23" s="12" t="n">
        <x:f>COUNTIFS('Pair Results'!$A$2:$A$193,$A23,'Pair Results'!$B$2:$B$193,$B23,'Pair Results'!$C$2:$C$193,$C23)</x:f>
        <x:v>3</x:v>
      </x:c>
      <x:c r="E23" s="12" t="n">
        <x:f>COUNTIFS('Pair Results'!$A$2:$A$193,$A23,'Pair Results'!$B$2:$B$193,$B23,'Pair Results'!$C$2:$C$193,$C23,'Pair Results'!$G$2:$G$193,1)</x:f>
        <x:v>3</x:v>
      </x:c>
      <x:c r="F23" s="12" t="n">
        <x:f>COUNTIFS('Pair Results'!$A$2:$A$193,$A23,'Pair Results'!$B$2:$B$193,$B23,'Pair Results'!$C$2:$C$193,$C23,'Pair Results'!$J$2:$J$193,1)</x:f>
        <x:v>3</x:v>
      </x:c>
      <x:c r="G23" s="12" t="n">
        <x:f>COUNTIFS('Pair Results'!$A$2:$A$193,$A23,'Pair Results'!$B$2:$B$193,$B23,'Pair Results'!$C$2:$C$193,$C23,'Pair Results'!$Q$2:$Q$193,1)</x:f>
        <x:v>3</x:v>
      </x:c>
      <x:c r="H23" s="12" t="n">
        <x:f>COUNTIFS('Pair Results'!$A$2:$A$193,$A23,'Pair Results'!$B$2:$B$193,$B23,'Pair Results'!$C$2:$C$193,$C23,'Pair Results'!$Z$2:$Z$193,1)</x:f>
        <x:v>0</x:v>
      </x:c>
      <x:c r="I23" s="12" t="n">
        <x:f>SUMIFS('Pair Results'!$L$2:$L$193,'Pair Results'!$A$2:$A$193,$A23,'Pair Results'!$B$2:$B$193,$B23,'Pair Results'!$C$2:$C$193,$C23)</x:f>
        <x:v>0</x:v>
      </x:c>
      <x:c r="J23" s="90" t="n">
        <x:f>1000*AVERAGEIFS('Pair Results'!$N$2:$N$193,'Pair Results'!$A$2:$A$193,$A23,'Pair Results'!$B$2:$B$193,$B23,'Pair Results'!$C$2:$C$193,$C23)</x:f>
        <x:v>0.31426669253657263</x:v>
      </x:c>
      <x:c r="K23" s="90" t="n">
        <x:f>IFERROR(AVERAGEIFS('Pair Results'!$F$2:$F$193,'Pair Results'!$A$2:$A$193,$A23,'Pair Results'!$B$2:$B$193,$B23,'Pair Results'!$C$2:$C$193,$C23,'Pair Results'!$W$2:$W$193,1),"")</x:f>
        <x:v>10</x:v>
      </x:c>
      <x:c r="L23" s="90" t="n">
        <x:f>IFERROR(AVERAGEIFS('Pair Results'!$P$2:$P$193,'Pair Results'!$A$2:$A$193,$A23,'Pair Results'!$B$2:$B$193,$B23,'Pair Results'!$C$2:$C$193,$C23,'Pair Results'!$W$2:$W$193,1),"")</x:f>
        <x:v>10.333333333333334</x:v>
      </x:c>
      <x:c r="M23" s="90" t="n">
        <x:f>IF(OR(K23="",L23=""),"",L23-K23)</x:f>
        <x:v>0.3333333333333339</x:v>
      </x:c>
      <x:c r="N23" s="12" t="n">
        <x:f>COUNTIFS('Pair Results'!$A$2:$A$193,$A23,'Pair Results'!$B$2:$B$193,$B23,'Pair Results'!$C$2:$C$193,$C23,'Pair Results'!$Y$2:$Y$193,"repaired")</x:f>
        <x:v>0</x:v>
      </x:c>
      <x:c r="O23" s="12" t="n">
        <x:f>COUNTIFS('Pair Results'!$A$2:$A$193,$A23,'Pair Results'!$B$2:$B$193,$B23,'Pair Results'!$C$2:$C$193,$C23,'Pair Results'!$Y$2:$Y$193,"entropy")</x:f>
        <x:v>1</x:v>
      </x:c>
      <x:c r="P23" s="12" t="n">
        <x:f>COUNTIFS('Pair Results'!$A$2:$A$193,$A23,'Pair Results'!$B$2:$B$193,$B23,'Pair Results'!$C$2:$C$193,$C23,'Pair Results'!$Y$2:$Y$193,"tie")</x:f>
        <x:v>2</x:v>
      </x:c>
      <x:c r="Q23" s="12" t="n">
        <x:f>MAXIFS('Pair Results'!$L$2:$L$193,'Pair Results'!$A$2:$A$193,$A23,'Pair Results'!$B$2:$B$193,$B23,'Pair Results'!$C$2:$C$193,$C23)</x:f>
        <x:v>0</x:v>
      </x:c>
    </x:row>
    <x:row r="24">
      <x:c r="A24" s="10" t="str">
        <x:v>Circle</x:v>
      </x:c>
      <x:c r="B24" s="12" t="n">
        <x:v>50</x:v>
      </x:c>
      <x:c r="C24" s="14" t="n">
        <x:v>0.5</x:v>
      </x:c>
      <x:c r="D24" s="12" t="n">
        <x:f>COUNTIFS('Pair Results'!$A$2:$A$193,$A24,'Pair Results'!$B$2:$B$193,$B24,'Pair Results'!$C$2:$C$193,$C24)</x:f>
        <x:v>3</x:v>
      </x:c>
      <x:c r="E24" s="12" t="n">
        <x:f>COUNTIFS('Pair Results'!$A$2:$A$193,$A24,'Pair Results'!$B$2:$B$193,$B24,'Pair Results'!$C$2:$C$193,$C24,'Pair Results'!$G$2:$G$193,1)</x:f>
        <x:v>3</x:v>
      </x:c>
      <x:c r="F24" s="12" t="n">
        <x:f>COUNTIFS('Pair Results'!$A$2:$A$193,$A24,'Pair Results'!$B$2:$B$193,$B24,'Pair Results'!$C$2:$C$193,$C24,'Pair Results'!$J$2:$J$193,1)</x:f>
        <x:v>3</x:v>
      </x:c>
      <x:c r="G24" s="12" t="n">
        <x:f>COUNTIFS('Pair Results'!$A$2:$A$193,$A24,'Pair Results'!$B$2:$B$193,$B24,'Pair Results'!$C$2:$C$193,$C24,'Pair Results'!$Q$2:$Q$193,1)</x:f>
        <x:v>3</x:v>
      </x:c>
      <x:c r="H24" s="12" t="n">
        <x:f>COUNTIFS('Pair Results'!$A$2:$A$193,$A24,'Pair Results'!$B$2:$B$193,$B24,'Pair Results'!$C$2:$C$193,$C24,'Pair Results'!$Z$2:$Z$193,1)</x:f>
        <x:v>0</x:v>
      </x:c>
      <x:c r="I24" s="12" t="n">
        <x:f>SUMIFS('Pair Results'!$L$2:$L$193,'Pair Results'!$A$2:$A$193,$A24,'Pair Results'!$B$2:$B$193,$B24,'Pair Results'!$C$2:$C$193,$C24)</x:f>
        <x:v>0</x:v>
      </x:c>
      <x:c r="J24" s="90" t="n">
        <x:f>1000*AVERAGEIFS('Pair Results'!$N$2:$N$193,'Pair Results'!$A$2:$A$193,$A24,'Pair Results'!$B$2:$B$193,$B24,'Pair Results'!$C$2:$C$193,$C24)</x:f>
        <x:v>0.43626665137708187</x:v>
      </x:c>
      <x:c r="K24" s="90" t="n">
        <x:f>IFERROR(AVERAGEIFS('Pair Results'!$F$2:$F$193,'Pair Results'!$A$2:$A$193,$A24,'Pair Results'!$B$2:$B$193,$B24,'Pair Results'!$C$2:$C$193,$C24,'Pair Results'!$W$2:$W$193,1),"")</x:f>
        <x:v>17</x:v>
      </x:c>
      <x:c r="L24" s="90" t="n">
        <x:f>IFERROR(AVERAGEIFS('Pair Results'!$P$2:$P$193,'Pair Results'!$A$2:$A$193,$A24,'Pair Results'!$B$2:$B$193,$B24,'Pair Results'!$C$2:$C$193,$C24,'Pair Results'!$W$2:$W$193,1),"")</x:f>
        <x:v>17.666666666666668</x:v>
      </x:c>
      <x:c r="M24" s="90" t="n">
        <x:f>IF(OR(K24="",L24=""),"",L24-K24)</x:f>
        <x:v>0.6666666666666679</x:v>
      </x:c>
      <x:c r="N24" s="12" t="n">
        <x:f>COUNTIFS('Pair Results'!$A$2:$A$193,$A24,'Pair Results'!$B$2:$B$193,$B24,'Pair Results'!$C$2:$C$193,$C24,'Pair Results'!$Y$2:$Y$193,"repaired")</x:f>
        <x:v>1</x:v>
      </x:c>
      <x:c r="O24" s="12" t="n">
        <x:f>COUNTIFS('Pair Results'!$A$2:$A$193,$A24,'Pair Results'!$B$2:$B$193,$B24,'Pair Results'!$C$2:$C$193,$C24,'Pair Results'!$Y$2:$Y$193,"entropy")</x:f>
        <x:v>1</x:v>
      </x:c>
      <x:c r="P24" s="12" t="n">
        <x:f>COUNTIFS('Pair Results'!$A$2:$A$193,$A24,'Pair Results'!$B$2:$B$193,$B24,'Pair Results'!$C$2:$C$193,$C24,'Pair Results'!$Y$2:$Y$193,"tie")</x:f>
        <x:v>1</x:v>
      </x:c>
      <x:c r="Q24" s="12" t="n">
        <x:f>MAXIFS('Pair Results'!$L$2:$L$193,'Pair Results'!$A$2:$A$193,$A24,'Pair Results'!$B$2:$B$193,$B24,'Pair Results'!$C$2:$C$193,$C24)</x:f>
        <x:v>0</x:v>
      </x:c>
    </x:row>
    <x:row r="25">
      <x:c r="A25" s="10" t="str">
        <x:v>Circle</x:v>
      </x:c>
      <x:c r="B25" s="12" t="n">
        <x:v>50</x:v>
      </x:c>
      <x:c r="C25" s="14" t="n">
        <x:v>0.7</x:v>
      </x:c>
      <x:c r="D25" s="12" t="n">
        <x:f>COUNTIFS('Pair Results'!$A$2:$A$193,$A25,'Pair Results'!$B$2:$B$193,$B25,'Pair Results'!$C$2:$C$193,$C25)</x:f>
        <x:v>3</x:v>
      </x:c>
      <x:c r="E25" s="12" t="n">
        <x:f>COUNTIFS('Pair Results'!$A$2:$A$193,$A25,'Pair Results'!$B$2:$B$193,$B25,'Pair Results'!$C$2:$C$193,$C25,'Pair Results'!$G$2:$G$193,1)</x:f>
        <x:v>3</x:v>
      </x:c>
      <x:c r="F25" s="12" t="n">
        <x:f>COUNTIFS('Pair Results'!$A$2:$A$193,$A25,'Pair Results'!$B$2:$B$193,$B25,'Pair Results'!$C$2:$C$193,$C25,'Pair Results'!$J$2:$J$193,1)</x:f>
        <x:v>3</x:v>
      </x:c>
      <x:c r="G25" s="12" t="n">
        <x:f>COUNTIFS('Pair Results'!$A$2:$A$193,$A25,'Pair Results'!$B$2:$B$193,$B25,'Pair Results'!$C$2:$C$193,$C25,'Pair Results'!$Q$2:$Q$193,1)</x:f>
        <x:v>3</x:v>
      </x:c>
      <x:c r="H25" s="12" t="n">
        <x:f>COUNTIFS('Pair Results'!$A$2:$A$193,$A25,'Pair Results'!$B$2:$B$193,$B25,'Pair Results'!$C$2:$C$193,$C25,'Pair Results'!$Z$2:$Z$193,1)</x:f>
        <x:v>0</x:v>
      </x:c>
      <x:c r="I25" s="12" t="n">
        <x:f>SUMIFS('Pair Results'!$L$2:$L$193,'Pair Results'!$A$2:$A$193,$A25,'Pair Results'!$B$2:$B$193,$B25,'Pair Results'!$C$2:$C$193,$C25)</x:f>
        <x:v>0</x:v>
      </x:c>
      <x:c r="J25" s="90" t="n">
        <x:f>1000*AVERAGEIFS('Pair Results'!$N$2:$N$193,'Pair Results'!$A$2:$A$193,$A25,'Pair Results'!$B$2:$B$193,$B25,'Pair Results'!$C$2:$C$193,$C25)</x:f>
        <x:v>0.5160666381319364</x:v>
      </x:c>
      <x:c r="K25" s="90" t="n">
        <x:f>IFERROR(AVERAGEIFS('Pair Results'!$F$2:$F$193,'Pair Results'!$A$2:$A$193,$A25,'Pair Results'!$B$2:$B$193,$B25,'Pair Results'!$C$2:$C$193,$C25,'Pair Results'!$W$2:$W$193,1),"")</x:f>
        <x:v>23</x:v>
      </x:c>
      <x:c r="L25" s="90" t="n">
        <x:f>IFERROR(AVERAGEIFS('Pair Results'!$P$2:$P$193,'Pair Results'!$A$2:$A$193,$A25,'Pair Results'!$B$2:$B$193,$B25,'Pair Results'!$C$2:$C$193,$C25,'Pair Results'!$W$2:$W$193,1),"")</x:f>
        <x:v>22</x:v>
      </x:c>
      <x:c r="M25" s="90" t="n">
        <x:f>IF(OR(K25="",L25=""),"",L25-K25)</x:f>
        <x:v>-1</x:v>
      </x:c>
      <x:c r="N25" s="12" t="n">
        <x:f>COUNTIFS('Pair Results'!$A$2:$A$193,$A25,'Pair Results'!$B$2:$B$193,$B25,'Pair Results'!$C$2:$C$193,$C25,'Pair Results'!$Y$2:$Y$193,"repaired")</x:f>
        <x:v>2</x:v>
      </x:c>
      <x:c r="O25" s="12" t="n">
        <x:f>COUNTIFS('Pair Results'!$A$2:$A$193,$A25,'Pair Results'!$B$2:$B$193,$B25,'Pair Results'!$C$2:$C$193,$C25,'Pair Results'!$Y$2:$Y$193,"entropy")</x:f>
        <x:v>0</x:v>
      </x:c>
      <x:c r="P25" s="12" t="n">
        <x:f>COUNTIFS('Pair Results'!$A$2:$A$193,$A25,'Pair Results'!$B$2:$B$193,$B25,'Pair Results'!$C$2:$C$193,$C25,'Pair Results'!$Y$2:$Y$193,"tie")</x:f>
        <x:v>1</x:v>
      </x:c>
      <x:c r="Q25" s="12" t="n">
        <x:f>MAXIFS('Pair Results'!$L$2:$L$193,'Pair Results'!$A$2:$A$193,$A25,'Pair Results'!$B$2:$B$193,$B25,'Pair Results'!$C$2:$C$193,$C25)</x:f>
        <x:v>0</x:v>
      </x:c>
    </x:row>
    <x:row r="26">
      <x:c r="A26" s="10" t="str">
        <x:v>Circle</x:v>
      </x:c>
      <x:c r="B26" s="12" t="n">
        <x:v>100</x:v>
      </x:c>
      <x:c r="C26" s="14" t="n">
        <x:v>0.1</x:v>
      </x:c>
      <x:c r="D26" s="12" t="n">
        <x:f>COUNTIFS('Pair Results'!$A$2:$A$193,$A26,'Pair Results'!$B$2:$B$193,$B26,'Pair Results'!$C$2:$C$193,$C26)</x:f>
        <x:v>3</x:v>
      </x:c>
      <x:c r="E26" s="12" t="n">
        <x:f>COUNTIFS('Pair Results'!$A$2:$A$193,$A26,'Pair Results'!$B$2:$B$193,$B26,'Pair Results'!$C$2:$C$193,$C26,'Pair Results'!$G$2:$G$193,1)</x:f>
        <x:v>3</x:v>
      </x:c>
      <x:c r="F26" s="12" t="n">
        <x:f>COUNTIFS('Pair Results'!$A$2:$A$193,$A26,'Pair Results'!$B$2:$B$193,$B26,'Pair Results'!$C$2:$C$193,$C26,'Pair Results'!$J$2:$J$193,1)</x:f>
        <x:v>3</x:v>
      </x:c>
      <x:c r="G26" s="12" t="n">
        <x:f>COUNTIFS('Pair Results'!$A$2:$A$193,$A26,'Pair Results'!$B$2:$B$193,$B26,'Pair Results'!$C$2:$C$193,$C26,'Pair Results'!$Q$2:$Q$193,1)</x:f>
        <x:v>3</x:v>
      </x:c>
      <x:c r="H26" s="12" t="n">
        <x:f>COUNTIFS('Pair Results'!$A$2:$A$193,$A26,'Pair Results'!$B$2:$B$193,$B26,'Pair Results'!$C$2:$C$193,$C26,'Pair Results'!$Z$2:$Z$193,1)</x:f>
        <x:v>0</x:v>
      </x:c>
      <x:c r="I26" s="12" t="n">
        <x:f>SUMIFS('Pair Results'!$L$2:$L$193,'Pair Results'!$A$2:$A$193,$A26,'Pair Results'!$B$2:$B$193,$B26,'Pair Results'!$C$2:$C$193,$C26)</x:f>
        <x:v>0</x:v>
      </x:c>
      <x:c r="J26" s="90" t="n">
        <x:f>1000*AVERAGEIFS('Pair Results'!$N$2:$N$193,'Pair Results'!$A$2:$A$193,$A26,'Pair Results'!$B$2:$B$193,$B26,'Pair Results'!$C$2:$C$193,$C26)</x:f>
        <x:v>1.8459333417316277</x:v>
      </x:c>
      <x:c r="K26" s="90" t="n">
        <x:f>IFERROR(AVERAGEIFS('Pair Results'!$F$2:$F$193,'Pair Results'!$A$2:$A$193,$A26,'Pair Results'!$B$2:$B$193,$B26,'Pair Results'!$C$2:$C$193,$C26,'Pair Results'!$W$2:$W$193,1),"")</x:f>
        <x:v>38</x:v>
      </x:c>
      <x:c r="L26" s="90" t="n">
        <x:f>IFERROR(AVERAGEIFS('Pair Results'!$P$2:$P$193,'Pair Results'!$A$2:$A$193,$A26,'Pair Results'!$B$2:$B$193,$B26,'Pair Results'!$C$2:$C$193,$C26,'Pair Results'!$W$2:$W$193,1),"")</x:f>
        <x:v>37.666666666666664</x:v>
      </x:c>
      <x:c r="M26" s="90" t="n">
        <x:f>IF(OR(K26="",L26=""),"",L26-K26)</x:f>
        <x:v>-0.3333333333333357</x:v>
      </x:c>
      <x:c r="N26" s="12" t="n">
        <x:f>COUNTIFS('Pair Results'!$A$2:$A$193,$A26,'Pair Results'!$B$2:$B$193,$B26,'Pair Results'!$C$2:$C$193,$C26,'Pair Results'!$Y$2:$Y$193,"repaired")</x:f>
        <x:v>1</x:v>
      </x:c>
      <x:c r="O26" s="12" t="n">
        <x:f>COUNTIFS('Pair Results'!$A$2:$A$193,$A26,'Pair Results'!$B$2:$B$193,$B26,'Pair Results'!$C$2:$C$193,$C26,'Pair Results'!$Y$2:$Y$193,"entropy")</x:f>
        <x:v>0</x:v>
      </x:c>
      <x:c r="P26" s="12" t="n">
        <x:f>COUNTIFS('Pair Results'!$A$2:$A$193,$A26,'Pair Results'!$B$2:$B$193,$B26,'Pair Results'!$C$2:$C$193,$C26,'Pair Results'!$Y$2:$Y$193,"tie")</x:f>
        <x:v>2</x:v>
      </x:c>
      <x:c r="Q26" s="12" t="n">
        <x:f>MAXIFS('Pair Results'!$L$2:$L$193,'Pair Results'!$A$2:$A$193,$A26,'Pair Results'!$B$2:$B$193,$B26,'Pair Results'!$C$2:$C$193,$C26)</x:f>
        <x:v>0</x:v>
      </x:c>
    </x:row>
    <x:row r="27">
      <x:c r="A27" s="10" t="str">
        <x:v>Circle</x:v>
      </x:c>
      <x:c r="B27" s="12" t="n">
        <x:v>100</x:v>
      </x:c>
      <x:c r="C27" s="14" t="n">
        <x:v>0.3</x:v>
      </x:c>
      <x:c r="D27" s="12" t="n">
        <x:f>COUNTIFS('Pair Results'!$A$2:$A$193,$A27,'Pair Results'!$B$2:$B$193,$B27,'Pair Results'!$C$2:$C$193,$C27)</x:f>
        <x:v>3</x:v>
      </x:c>
      <x:c r="E27" s="12" t="n">
        <x:f>COUNTIFS('Pair Results'!$A$2:$A$193,$A27,'Pair Results'!$B$2:$B$193,$B27,'Pair Results'!$C$2:$C$193,$C27,'Pair Results'!$G$2:$G$193,1)</x:f>
        <x:v>3</x:v>
      </x:c>
      <x:c r="F27" s="12" t="n">
        <x:f>COUNTIFS('Pair Results'!$A$2:$A$193,$A27,'Pair Results'!$B$2:$B$193,$B27,'Pair Results'!$C$2:$C$193,$C27,'Pair Results'!$J$2:$J$193,1)</x:f>
        <x:v>3</x:v>
      </x:c>
      <x:c r="G27" s="12" t="n">
        <x:f>COUNTIFS('Pair Results'!$A$2:$A$193,$A27,'Pair Results'!$B$2:$B$193,$B27,'Pair Results'!$C$2:$C$193,$C27,'Pair Results'!$Q$2:$Q$193,1)</x:f>
        <x:v>3</x:v>
      </x:c>
      <x:c r="H27" s="12" t="n">
        <x:f>COUNTIFS('Pair Results'!$A$2:$A$193,$A27,'Pair Results'!$B$2:$B$193,$B27,'Pair Results'!$C$2:$C$193,$C27,'Pair Results'!$Z$2:$Z$193,1)</x:f>
        <x:v>0</x:v>
      </x:c>
      <x:c r="I27" s="12" t="n">
        <x:f>SUMIFS('Pair Results'!$L$2:$L$193,'Pair Results'!$A$2:$A$193,$A27,'Pair Results'!$B$2:$B$193,$B27,'Pair Results'!$C$2:$C$193,$C27)</x:f>
        <x:v>0</x:v>
      </x:c>
      <x:c r="J27" s="90" t="n">
        <x:f>1000*AVERAGEIFS('Pair Results'!$N$2:$N$193,'Pair Results'!$A$2:$A$193,$A27,'Pair Results'!$B$2:$B$193,$B27,'Pair Results'!$C$2:$C$193,$C27)</x:f>
        <x:v>1.1441333529849846</x:v>
      </x:c>
      <x:c r="K27" s="90" t="n">
        <x:f>IFERROR(AVERAGEIFS('Pair Results'!$F$2:$F$193,'Pair Results'!$A$2:$A$193,$A27,'Pair Results'!$B$2:$B$193,$B27,'Pair Results'!$C$2:$C$193,$C27,'Pair Results'!$W$2:$W$193,1),"")</x:f>
        <x:v>21</x:v>
      </x:c>
      <x:c r="L27" s="90" t="n">
        <x:f>IFERROR(AVERAGEIFS('Pair Results'!$P$2:$P$193,'Pair Results'!$A$2:$A$193,$A27,'Pair Results'!$B$2:$B$193,$B27,'Pair Results'!$C$2:$C$193,$C27,'Pair Results'!$W$2:$W$193,1),"")</x:f>
        <x:v>20.666666666666668</x:v>
      </x:c>
      <x:c r="M27" s="90" t="n">
        <x:f>IF(OR(K27="",L27=""),"",L27-K27)</x:f>
        <x:v>-0.33333333333333215</x:v>
      </x:c>
      <x:c r="N27" s="12" t="n">
        <x:f>COUNTIFS('Pair Results'!$A$2:$A$193,$A27,'Pair Results'!$B$2:$B$193,$B27,'Pair Results'!$C$2:$C$193,$C27,'Pair Results'!$Y$2:$Y$193,"repaired")</x:f>
        <x:v>1</x:v>
      </x:c>
      <x:c r="O27" s="12" t="n">
        <x:f>COUNTIFS('Pair Results'!$A$2:$A$193,$A27,'Pair Results'!$B$2:$B$193,$B27,'Pair Results'!$C$2:$C$193,$C27,'Pair Results'!$Y$2:$Y$193,"entropy")</x:f>
        <x:v>1</x:v>
      </x:c>
      <x:c r="P27" s="12" t="n">
        <x:f>COUNTIFS('Pair Results'!$A$2:$A$193,$A27,'Pair Results'!$B$2:$B$193,$B27,'Pair Results'!$C$2:$C$193,$C27,'Pair Results'!$Y$2:$Y$193,"tie")</x:f>
        <x:v>1</x:v>
      </x:c>
      <x:c r="Q27" s="12" t="n">
        <x:f>MAXIFS('Pair Results'!$L$2:$L$193,'Pair Results'!$A$2:$A$193,$A27,'Pair Results'!$B$2:$B$193,$B27,'Pair Results'!$C$2:$C$193,$C27)</x:f>
        <x:v>0</x:v>
      </x:c>
    </x:row>
    <x:row r="28">
      <x:c r="A28" s="10" t="str">
        <x:v>Circle</x:v>
      </x:c>
      <x:c r="B28" s="12" t="n">
        <x:v>100</x:v>
      </x:c>
      <x:c r="C28" s="14" t="n">
        <x:v>0.5</x:v>
      </x:c>
      <x:c r="D28" s="12" t="n">
        <x:f>COUNTIFS('Pair Results'!$A$2:$A$193,$A28,'Pair Results'!$B$2:$B$193,$B28,'Pair Results'!$C$2:$C$193,$C28)</x:f>
        <x:v>3</x:v>
      </x:c>
      <x:c r="E28" s="12" t="n">
        <x:f>COUNTIFS('Pair Results'!$A$2:$A$193,$A28,'Pair Results'!$B$2:$B$193,$B28,'Pair Results'!$C$2:$C$193,$C28,'Pair Results'!$G$2:$G$193,1)</x:f>
        <x:v>3</x:v>
      </x:c>
      <x:c r="F28" s="12" t="n">
        <x:f>COUNTIFS('Pair Results'!$A$2:$A$193,$A28,'Pair Results'!$B$2:$B$193,$B28,'Pair Results'!$C$2:$C$193,$C28,'Pair Results'!$J$2:$J$193,1)</x:f>
        <x:v>3</x:v>
      </x:c>
      <x:c r="G28" s="12" t="n">
        <x:f>COUNTIFS('Pair Results'!$A$2:$A$193,$A28,'Pair Results'!$B$2:$B$193,$B28,'Pair Results'!$C$2:$C$193,$C28,'Pair Results'!$Q$2:$Q$193,1)</x:f>
        <x:v>3</x:v>
      </x:c>
      <x:c r="H28" s="12" t="n">
        <x:f>COUNTIFS('Pair Results'!$A$2:$A$193,$A28,'Pair Results'!$B$2:$B$193,$B28,'Pair Results'!$C$2:$C$193,$C28,'Pair Results'!$Z$2:$Z$193,1)</x:f>
        <x:v>0</x:v>
      </x:c>
      <x:c r="I28" s="12" t="n">
        <x:f>SUMIFS('Pair Results'!$L$2:$L$193,'Pair Results'!$A$2:$A$193,$A28,'Pair Results'!$B$2:$B$193,$B28,'Pair Results'!$C$2:$C$193,$C28)</x:f>
        <x:v>0</x:v>
      </x:c>
      <x:c r="J28" s="90" t="n">
        <x:f>1000*AVERAGEIFS('Pair Results'!$N$2:$N$193,'Pair Results'!$A$2:$A$193,$A28,'Pair Results'!$B$2:$B$193,$B28,'Pair Results'!$C$2:$C$193,$C28)</x:f>
        <x:v>1.2391333778699238</x:v>
      </x:c>
      <x:c r="K28" s="90" t="n">
        <x:f>IFERROR(AVERAGEIFS('Pair Results'!$F$2:$F$193,'Pair Results'!$A$2:$A$193,$A28,'Pair Results'!$B$2:$B$193,$B28,'Pair Results'!$C$2:$C$193,$C28,'Pair Results'!$W$2:$W$193,1),"")</x:f>
        <x:v>25.333333333333332</x:v>
      </x:c>
      <x:c r="L28" s="90" t="n">
        <x:f>IFERROR(AVERAGEIFS('Pair Results'!$P$2:$P$193,'Pair Results'!$A$2:$A$193,$A28,'Pair Results'!$B$2:$B$193,$B28,'Pair Results'!$C$2:$C$193,$C28,'Pair Results'!$W$2:$W$193,1),"")</x:f>
        <x:v>26</x:v>
      </x:c>
      <x:c r="M28" s="90" t="n">
        <x:f>IF(OR(K28="",L28=""),"",L28-K28)</x:f>
        <x:v>0.6666666666666679</x:v>
      </x:c>
      <x:c r="N28" s="12" t="n">
        <x:f>COUNTIFS('Pair Results'!$A$2:$A$193,$A28,'Pair Results'!$B$2:$B$193,$B28,'Pair Results'!$C$2:$C$193,$C28,'Pair Results'!$Y$2:$Y$193,"repaired")</x:f>
        <x:v>1</x:v>
      </x:c>
      <x:c r="O28" s="12" t="n">
        <x:f>COUNTIFS('Pair Results'!$A$2:$A$193,$A28,'Pair Results'!$B$2:$B$193,$B28,'Pair Results'!$C$2:$C$193,$C28,'Pair Results'!$Y$2:$Y$193,"entropy")</x:f>
        <x:v>2</x:v>
      </x:c>
      <x:c r="P28" s="12" t="n">
        <x:f>COUNTIFS('Pair Results'!$A$2:$A$193,$A28,'Pair Results'!$B$2:$B$193,$B28,'Pair Results'!$C$2:$C$193,$C28,'Pair Results'!$Y$2:$Y$193,"tie")</x:f>
        <x:v>0</x:v>
      </x:c>
      <x:c r="Q28" s="12" t="n">
        <x:f>MAXIFS('Pair Results'!$L$2:$L$193,'Pair Results'!$A$2:$A$193,$A28,'Pair Results'!$B$2:$B$193,$B28,'Pair Results'!$C$2:$C$193,$C28)</x:f>
        <x:v>0</x:v>
      </x:c>
    </x:row>
    <x:row r="29">
      <x:c r="A29" s="10" t="str">
        <x:v>Circle</x:v>
      </x:c>
      <x:c r="B29" s="12" t="n">
        <x:v>100</x:v>
      </x:c>
      <x:c r="C29" s="14" t="n">
        <x:v>0.7</x:v>
      </x:c>
      <x:c r="D29" s="12" t="n">
        <x:f>COUNTIFS('Pair Results'!$A$2:$A$193,$A29,'Pair Results'!$B$2:$B$193,$B29,'Pair Results'!$C$2:$C$193,$C29)</x:f>
        <x:v>3</x:v>
      </x:c>
      <x:c r="E29" s="12" t="n">
        <x:f>COUNTIFS('Pair Results'!$A$2:$A$193,$A29,'Pair Results'!$B$2:$B$193,$B29,'Pair Results'!$C$2:$C$193,$C29,'Pair Results'!$G$2:$G$193,1)</x:f>
        <x:v>3</x:v>
      </x:c>
      <x:c r="F29" s="12" t="n">
        <x:f>COUNTIFS('Pair Results'!$A$2:$A$193,$A29,'Pair Results'!$B$2:$B$193,$B29,'Pair Results'!$C$2:$C$193,$C29,'Pair Results'!$J$2:$J$193,1)</x:f>
        <x:v>3</x:v>
      </x:c>
      <x:c r="G29" s="12" t="n">
        <x:f>COUNTIFS('Pair Results'!$A$2:$A$193,$A29,'Pair Results'!$B$2:$B$193,$B29,'Pair Results'!$C$2:$C$193,$C29,'Pair Results'!$Q$2:$Q$193,1)</x:f>
        <x:v>3</x:v>
      </x:c>
      <x:c r="H29" s="12" t="n">
        <x:f>COUNTIFS('Pair Results'!$A$2:$A$193,$A29,'Pair Results'!$B$2:$B$193,$B29,'Pair Results'!$C$2:$C$193,$C29,'Pair Results'!$Z$2:$Z$193,1)</x:f>
        <x:v>0</x:v>
      </x:c>
      <x:c r="I29" s="12" t="n">
        <x:f>SUMIFS('Pair Results'!$L$2:$L$193,'Pair Results'!$A$2:$A$193,$A29,'Pair Results'!$B$2:$B$193,$B29,'Pair Results'!$C$2:$C$193,$C29)</x:f>
        <x:v>0</x:v>
      </x:c>
      <x:c r="J29" s="90" t="n">
        <x:f>1000*AVERAGEIFS('Pair Results'!$N$2:$N$193,'Pair Results'!$A$2:$A$193,$A29,'Pair Results'!$B$2:$B$193,$B29,'Pair Results'!$C$2:$C$193,$C29)</x:f>
        <x:v>1.7862666863948107</x:v>
      </x:c>
      <x:c r="K29" s="90" t="n">
        <x:f>IFERROR(AVERAGEIFS('Pair Results'!$F$2:$F$193,'Pair Results'!$A$2:$A$193,$A29,'Pair Results'!$B$2:$B$193,$B29,'Pair Results'!$C$2:$C$193,$C29,'Pair Results'!$W$2:$W$193,1),"")</x:f>
        <x:v>41.333333333333336</x:v>
      </x:c>
      <x:c r="L29" s="90" t="n">
        <x:f>IFERROR(AVERAGEIFS('Pair Results'!$P$2:$P$193,'Pair Results'!$A$2:$A$193,$A29,'Pair Results'!$B$2:$B$193,$B29,'Pair Results'!$C$2:$C$193,$C29,'Pair Results'!$W$2:$W$193,1),"")</x:f>
        <x:v>41.333333333333336</x:v>
      </x:c>
      <x:c r="M29" s="90" t="n">
        <x:f>IF(OR(K29="",L29=""),"",L29-K29)</x:f>
        <x:v>0</x:v>
      </x:c>
      <x:c r="N29" s="12" t="n">
        <x:f>COUNTIFS('Pair Results'!$A$2:$A$193,$A29,'Pair Results'!$B$2:$B$193,$B29,'Pair Results'!$C$2:$C$193,$C29,'Pair Results'!$Y$2:$Y$193,"repaired")</x:f>
        <x:v>2</x:v>
      </x:c>
      <x:c r="O29" s="12" t="n">
        <x:f>COUNTIFS('Pair Results'!$A$2:$A$193,$A29,'Pair Results'!$B$2:$B$193,$B29,'Pair Results'!$C$2:$C$193,$C29,'Pair Results'!$Y$2:$Y$193,"entropy")</x:f>
        <x:v>1</x:v>
      </x:c>
      <x:c r="P29" s="12" t="n">
        <x:f>COUNTIFS('Pair Results'!$A$2:$A$193,$A29,'Pair Results'!$B$2:$B$193,$B29,'Pair Results'!$C$2:$C$193,$C29,'Pair Results'!$Y$2:$Y$193,"tie")</x:f>
        <x:v>0</x:v>
      </x:c>
      <x:c r="Q29" s="12" t="n">
        <x:f>MAXIFS('Pair Results'!$L$2:$L$193,'Pair Results'!$A$2:$A$193,$A29,'Pair Results'!$B$2:$B$193,$B29,'Pair Results'!$C$2:$C$193,$C29)</x:f>
        <x:v>0</x:v>
      </x:c>
    </x:row>
    <x:row r="30">
      <x:c r="A30" s="10" t="str">
        <x:v>Circle</x:v>
      </x:c>
      <x:c r="B30" s="12" t="n">
        <x:v>200</x:v>
      </x:c>
      <x:c r="C30" s="14" t="n">
        <x:v>0.1</x:v>
      </x:c>
      <x:c r="D30" s="12" t="n">
        <x:f>COUNTIFS('Pair Results'!$A$2:$A$193,$A30,'Pair Results'!$B$2:$B$193,$B30,'Pair Results'!$C$2:$C$193,$C30)</x:f>
        <x:v>3</x:v>
      </x:c>
      <x:c r="E30" s="12" t="n">
        <x:f>COUNTIFS('Pair Results'!$A$2:$A$193,$A30,'Pair Results'!$B$2:$B$193,$B30,'Pair Results'!$C$2:$C$193,$C30,'Pair Results'!$G$2:$G$193,1)</x:f>
        <x:v>3</x:v>
      </x:c>
      <x:c r="F30" s="12" t="n">
        <x:f>COUNTIFS('Pair Results'!$A$2:$A$193,$A30,'Pair Results'!$B$2:$B$193,$B30,'Pair Results'!$C$2:$C$193,$C30,'Pair Results'!$J$2:$J$193,1)</x:f>
        <x:v>3</x:v>
      </x:c>
      <x:c r="G30" s="12" t="n">
        <x:f>COUNTIFS('Pair Results'!$A$2:$A$193,$A30,'Pair Results'!$B$2:$B$193,$B30,'Pair Results'!$C$2:$C$193,$C30,'Pair Results'!$Q$2:$Q$193,1)</x:f>
        <x:v>3</x:v>
      </x:c>
      <x:c r="H30" s="12" t="n">
        <x:f>COUNTIFS('Pair Results'!$A$2:$A$193,$A30,'Pair Results'!$B$2:$B$193,$B30,'Pair Results'!$C$2:$C$193,$C30,'Pair Results'!$Z$2:$Z$193,1)</x:f>
        <x:v>0</x:v>
      </x:c>
      <x:c r="I30" s="12" t="n">
        <x:f>SUMIFS('Pair Results'!$L$2:$L$193,'Pair Results'!$A$2:$A$193,$A30,'Pair Results'!$B$2:$B$193,$B30,'Pair Results'!$C$2:$C$193,$C30)</x:f>
        <x:v>0</x:v>
      </x:c>
      <x:c r="J30" s="90" t="n">
        <x:f>1000*AVERAGEIFS('Pair Results'!$N$2:$N$193,'Pair Results'!$A$2:$A$193,$A30,'Pair Results'!$B$2:$B$193,$B30,'Pair Results'!$C$2:$C$193,$C30)</x:f>
        <x:v>5.181333321767549</x:v>
      </x:c>
      <x:c r="K30" s="90" t="n">
        <x:f>IFERROR(AVERAGEIFS('Pair Results'!$F$2:$F$193,'Pair Results'!$A$2:$A$193,$A30,'Pair Results'!$B$2:$B$193,$B30,'Pair Results'!$C$2:$C$193,$C30,'Pair Results'!$W$2:$W$193,1),"")</x:f>
        <x:v>40.333333333333336</x:v>
      </x:c>
      <x:c r="L30" s="90" t="n">
        <x:f>IFERROR(AVERAGEIFS('Pair Results'!$P$2:$P$193,'Pair Results'!$A$2:$A$193,$A30,'Pair Results'!$B$2:$B$193,$B30,'Pair Results'!$C$2:$C$193,$C30,'Pair Results'!$W$2:$W$193,1),"")</x:f>
        <x:v>41</x:v>
      </x:c>
      <x:c r="M30" s="90" t="n">
        <x:f>IF(OR(K30="",L30=""),"",L30-K30)</x:f>
        <x:v>0.6666666666666643</x:v>
      </x:c>
      <x:c r="N30" s="12" t="n">
        <x:f>COUNTIFS('Pair Results'!$A$2:$A$193,$A30,'Pair Results'!$B$2:$B$193,$B30,'Pair Results'!$C$2:$C$193,$C30,'Pair Results'!$Y$2:$Y$193,"repaired")</x:f>
        <x:v>0</x:v>
      </x:c>
      <x:c r="O30" s="12" t="n">
        <x:f>COUNTIFS('Pair Results'!$A$2:$A$193,$A30,'Pair Results'!$B$2:$B$193,$B30,'Pair Results'!$C$2:$C$193,$C30,'Pair Results'!$Y$2:$Y$193,"entropy")</x:f>
        <x:v>2</x:v>
      </x:c>
      <x:c r="P30" s="12" t="n">
        <x:f>COUNTIFS('Pair Results'!$A$2:$A$193,$A30,'Pair Results'!$B$2:$B$193,$B30,'Pair Results'!$C$2:$C$193,$C30,'Pair Results'!$Y$2:$Y$193,"tie")</x:f>
        <x:v>1</x:v>
      </x:c>
      <x:c r="Q30" s="12" t="n">
        <x:f>MAXIFS('Pair Results'!$L$2:$L$193,'Pair Results'!$A$2:$A$193,$A30,'Pair Results'!$B$2:$B$193,$B30,'Pair Results'!$C$2:$C$193,$C30)</x:f>
        <x:v>0</x:v>
      </x:c>
    </x:row>
    <x:row r="31">
      <x:c r="A31" s="10" t="str">
        <x:v>Circle</x:v>
      </x:c>
      <x:c r="B31" s="12" t="n">
        <x:v>200</x:v>
      </x:c>
      <x:c r="C31" s="14" t="n">
        <x:v>0.3</x:v>
      </x:c>
      <x:c r="D31" s="12" t="n">
        <x:f>COUNTIFS('Pair Results'!$A$2:$A$193,$A31,'Pair Results'!$B$2:$B$193,$B31,'Pair Results'!$C$2:$C$193,$C31)</x:f>
        <x:v>3</x:v>
      </x:c>
      <x:c r="E31" s="12" t="n">
        <x:f>COUNTIFS('Pair Results'!$A$2:$A$193,$A31,'Pair Results'!$B$2:$B$193,$B31,'Pair Results'!$C$2:$C$193,$C31,'Pair Results'!$G$2:$G$193,1)</x:f>
        <x:v>3</x:v>
      </x:c>
      <x:c r="F31" s="12" t="n">
        <x:f>COUNTIFS('Pair Results'!$A$2:$A$193,$A31,'Pair Results'!$B$2:$B$193,$B31,'Pair Results'!$C$2:$C$193,$C31,'Pair Results'!$J$2:$J$193,1)</x:f>
        <x:v>3</x:v>
      </x:c>
      <x:c r="G31" s="12" t="n">
        <x:f>COUNTIFS('Pair Results'!$A$2:$A$193,$A31,'Pair Results'!$B$2:$B$193,$B31,'Pair Results'!$C$2:$C$193,$C31,'Pair Results'!$Q$2:$Q$193,1)</x:f>
        <x:v>3</x:v>
      </x:c>
      <x:c r="H31" s="12" t="n">
        <x:f>COUNTIFS('Pair Results'!$A$2:$A$193,$A31,'Pair Results'!$B$2:$B$193,$B31,'Pair Results'!$C$2:$C$193,$C31,'Pair Results'!$Z$2:$Z$193,1)</x:f>
        <x:v>0</x:v>
      </x:c>
      <x:c r="I31" s="12" t="n">
        <x:f>SUMIFS('Pair Results'!$L$2:$L$193,'Pair Results'!$A$2:$A$193,$A31,'Pair Results'!$B$2:$B$193,$B31,'Pair Results'!$C$2:$C$193,$C31)</x:f>
        <x:v>0</x:v>
      </x:c>
      <x:c r="J31" s="90" t="n">
        <x:f>1000*AVERAGEIFS('Pair Results'!$N$2:$N$193,'Pair Results'!$A$2:$A$193,$A31,'Pair Results'!$B$2:$B$193,$B31,'Pair Results'!$C$2:$C$193,$C31)</x:f>
        <x:v>5.175099979775648</x:v>
      </x:c>
      <x:c r="K31" s="90" t="n">
        <x:f>IFERROR(AVERAGEIFS('Pair Results'!$F$2:$F$193,'Pair Results'!$A$2:$A$193,$A31,'Pair Results'!$B$2:$B$193,$B31,'Pair Results'!$C$2:$C$193,$C31,'Pair Results'!$W$2:$W$193,1),"")</x:f>
        <x:v>33</x:v>
      </x:c>
      <x:c r="L31" s="90" t="n">
        <x:f>IFERROR(AVERAGEIFS('Pair Results'!$P$2:$P$193,'Pair Results'!$A$2:$A$193,$A31,'Pair Results'!$B$2:$B$193,$B31,'Pair Results'!$C$2:$C$193,$C31,'Pair Results'!$W$2:$W$193,1),"")</x:f>
        <x:v>33</x:v>
      </x:c>
      <x:c r="M31" s="90" t="n">
        <x:f>IF(OR(K31="",L31=""),"",L31-K31)</x:f>
        <x:v>0</x:v>
      </x:c>
      <x:c r="N31" s="12" t="n">
        <x:f>COUNTIFS('Pair Results'!$A$2:$A$193,$A31,'Pair Results'!$B$2:$B$193,$B31,'Pair Results'!$C$2:$C$193,$C31,'Pair Results'!$Y$2:$Y$193,"repaired")</x:f>
        <x:v>0</x:v>
      </x:c>
      <x:c r="O31" s="12" t="n">
        <x:f>COUNTIFS('Pair Results'!$A$2:$A$193,$A31,'Pair Results'!$B$2:$B$193,$B31,'Pair Results'!$C$2:$C$193,$C31,'Pair Results'!$Y$2:$Y$193,"entropy")</x:f>
        <x:v>0</x:v>
      </x:c>
      <x:c r="P31" s="12" t="n">
        <x:f>COUNTIFS('Pair Results'!$A$2:$A$193,$A31,'Pair Results'!$B$2:$B$193,$B31,'Pair Results'!$C$2:$C$193,$C31,'Pair Results'!$Y$2:$Y$193,"tie")</x:f>
        <x:v>3</x:v>
      </x:c>
      <x:c r="Q31" s="12" t="n">
        <x:f>MAXIFS('Pair Results'!$L$2:$L$193,'Pair Results'!$A$2:$A$193,$A31,'Pair Results'!$B$2:$B$193,$B31,'Pair Results'!$C$2:$C$193,$C31)</x:f>
        <x:v>0</x:v>
      </x:c>
    </x:row>
    <x:row r="32">
      <x:c r="A32" s="10" t="str">
        <x:v>Circle</x:v>
      </x:c>
      <x:c r="B32" s="12" t="n">
        <x:v>200</x:v>
      </x:c>
      <x:c r="C32" s="14" t="n">
        <x:v>0.5</x:v>
      </x:c>
      <x:c r="D32" s="12" t="n">
        <x:f>COUNTIFS('Pair Results'!$A$2:$A$193,$A32,'Pair Results'!$B$2:$B$193,$B32,'Pair Results'!$C$2:$C$193,$C32)</x:f>
        <x:v>3</x:v>
      </x:c>
      <x:c r="E32" s="12" t="n">
        <x:f>COUNTIFS('Pair Results'!$A$2:$A$193,$A32,'Pair Results'!$B$2:$B$193,$B32,'Pair Results'!$C$2:$C$193,$C32,'Pair Results'!$G$2:$G$193,1)</x:f>
        <x:v>3</x:v>
      </x:c>
      <x:c r="F32" s="12" t="n">
        <x:f>COUNTIFS('Pair Results'!$A$2:$A$193,$A32,'Pair Results'!$B$2:$B$193,$B32,'Pair Results'!$C$2:$C$193,$C32,'Pair Results'!$J$2:$J$193,1)</x:f>
        <x:v>3</x:v>
      </x:c>
      <x:c r="G32" s="12" t="n">
        <x:f>COUNTIFS('Pair Results'!$A$2:$A$193,$A32,'Pair Results'!$B$2:$B$193,$B32,'Pair Results'!$C$2:$C$193,$C32,'Pair Results'!$Q$2:$Q$193,1)</x:f>
        <x:v>3</x:v>
      </x:c>
      <x:c r="H32" s="12" t="n">
        <x:f>COUNTIFS('Pair Results'!$A$2:$A$193,$A32,'Pair Results'!$B$2:$B$193,$B32,'Pair Results'!$C$2:$C$193,$C32,'Pair Results'!$Z$2:$Z$193,1)</x:f>
        <x:v>0</x:v>
      </x:c>
      <x:c r="I32" s="12" t="n">
        <x:f>SUMIFS('Pair Results'!$L$2:$L$193,'Pair Results'!$A$2:$A$193,$A32,'Pair Results'!$B$2:$B$193,$B32,'Pair Results'!$C$2:$C$193,$C32)</x:f>
        <x:v>0</x:v>
      </x:c>
      <x:c r="J32" s="90" t="n">
        <x:f>1000*AVERAGEIFS('Pair Results'!$N$2:$N$193,'Pair Results'!$A$2:$A$193,$A32,'Pair Results'!$B$2:$B$193,$B32,'Pair Results'!$C$2:$C$193,$C32)</x:f>
        <x:v>5.739999973836045</x:v>
      </x:c>
      <x:c r="K32" s="90" t="n">
        <x:f>IFERROR(AVERAGEIFS('Pair Results'!$F$2:$F$193,'Pair Results'!$A$2:$A$193,$A32,'Pair Results'!$B$2:$B$193,$B32,'Pair Results'!$C$2:$C$193,$C32,'Pair Results'!$W$2:$W$193,1),"")</x:f>
        <x:v>44.333333333333336</x:v>
      </x:c>
      <x:c r="L32" s="90" t="n">
        <x:f>IFERROR(AVERAGEIFS('Pair Results'!$P$2:$P$193,'Pair Results'!$A$2:$A$193,$A32,'Pair Results'!$B$2:$B$193,$B32,'Pair Results'!$C$2:$C$193,$C32,'Pair Results'!$W$2:$W$193,1),"")</x:f>
        <x:v>46.666666666666664</x:v>
      </x:c>
      <x:c r="M32" s="90" t="n">
        <x:f>IF(OR(K32="",L32=""),"",L32-K32)</x:f>
        <x:v>2.3333333333333286</x:v>
      </x:c>
      <x:c r="N32" s="12" t="n">
        <x:f>COUNTIFS('Pair Results'!$A$2:$A$193,$A32,'Pair Results'!$B$2:$B$193,$B32,'Pair Results'!$C$2:$C$193,$C32,'Pair Results'!$Y$2:$Y$193,"repaired")</x:f>
        <x:v>0</x:v>
      </x:c>
      <x:c r="O32" s="12" t="n">
        <x:f>COUNTIFS('Pair Results'!$A$2:$A$193,$A32,'Pair Results'!$B$2:$B$193,$B32,'Pair Results'!$C$2:$C$193,$C32,'Pair Results'!$Y$2:$Y$193,"entropy")</x:f>
        <x:v>2</x:v>
      </x:c>
      <x:c r="P32" s="12" t="n">
        <x:f>COUNTIFS('Pair Results'!$A$2:$A$193,$A32,'Pair Results'!$B$2:$B$193,$B32,'Pair Results'!$C$2:$C$193,$C32,'Pair Results'!$Y$2:$Y$193,"tie")</x:f>
        <x:v>1</x:v>
      </x:c>
      <x:c r="Q32" s="12" t="n">
        <x:f>MAXIFS('Pair Results'!$L$2:$L$193,'Pair Results'!$A$2:$A$193,$A32,'Pair Results'!$B$2:$B$193,$B32,'Pair Results'!$C$2:$C$193,$C32)</x:f>
        <x:v>0</x:v>
      </x:c>
    </x:row>
    <x:row r="33">
      <x:c r="A33" s="10" t="str">
        <x:v>Circle</x:v>
      </x:c>
      <x:c r="B33" s="12" t="n">
        <x:v>200</x:v>
      </x:c>
      <x:c r="C33" s="14" t="n">
        <x:v>0.7</x:v>
      </x:c>
      <x:c r="D33" s="12" t="n">
        <x:f>COUNTIFS('Pair Results'!$A$2:$A$193,$A33,'Pair Results'!$B$2:$B$193,$B33,'Pair Results'!$C$2:$C$193,$C33)</x:f>
        <x:v>3</x:v>
      </x:c>
      <x:c r="E33" s="12" t="n">
        <x:f>COUNTIFS('Pair Results'!$A$2:$A$193,$A33,'Pair Results'!$B$2:$B$193,$B33,'Pair Results'!$C$2:$C$193,$C33,'Pair Results'!$G$2:$G$193,1)</x:f>
        <x:v>3</x:v>
      </x:c>
      <x:c r="F33" s="12" t="n">
        <x:f>COUNTIFS('Pair Results'!$A$2:$A$193,$A33,'Pair Results'!$B$2:$B$193,$B33,'Pair Results'!$C$2:$C$193,$C33,'Pair Results'!$J$2:$J$193,1)</x:f>
        <x:v>3</x:v>
      </x:c>
      <x:c r="G33" s="12" t="n">
        <x:f>COUNTIFS('Pair Results'!$A$2:$A$193,$A33,'Pair Results'!$B$2:$B$193,$B33,'Pair Results'!$C$2:$C$193,$C33,'Pair Results'!$Q$2:$Q$193,1)</x:f>
        <x:v>3</x:v>
      </x:c>
      <x:c r="H33" s="12" t="n">
        <x:f>COUNTIFS('Pair Results'!$A$2:$A$193,$A33,'Pair Results'!$B$2:$B$193,$B33,'Pair Results'!$C$2:$C$193,$C33,'Pair Results'!$Z$2:$Z$193,1)</x:f>
        <x:v>0</x:v>
      </x:c>
      <x:c r="I33" s="12" t="n">
        <x:f>SUMIFS('Pair Results'!$L$2:$L$193,'Pair Results'!$A$2:$A$193,$A33,'Pair Results'!$B$2:$B$193,$B33,'Pair Results'!$C$2:$C$193,$C33)</x:f>
        <x:v>0</x:v>
      </x:c>
      <x:c r="J33" s="90" t="n">
        <x:f>1000*AVERAGEIFS('Pair Results'!$N$2:$N$193,'Pair Results'!$A$2:$A$193,$A33,'Pair Results'!$B$2:$B$193,$B33,'Pair Results'!$C$2:$C$193,$C33)</x:f>
        <x:v>7.439800033656259</x:v>
      </x:c>
      <x:c r="K33" s="90" t="n">
        <x:f>IFERROR(AVERAGEIFS('Pair Results'!$F$2:$F$193,'Pair Results'!$A$2:$A$193,$A33,'Pair Results'!$B$2:$B$193,$B33,'Pair Results'!$C$2:$C$193,$C33,'Pair Results'!$W$2:$W$193,1),"")</x:f>
        <x:v>68.33333333333333</x:v>
      </x:c>
      <x:c r="L33" s="90" t="n">
        <x:f>IFERROR(AVERAGEIFS('Pair Results'!$P$2:$P$193,'Pair Results'!$A$2:$A$193,$A33,'Pair Results'!$B$2:$B$193,$B33,'Pair Results'!$C$2:$C$193,$C33,'Pair Results'!$W$2:$W$193,1),"")</x:f>
        <x:v>68</x:v>
      </x:c>
      <x:c r="M33" s="90" t="n">
        <x:f>IF(OR(K33="",L33=""),"",L33-K33)</x:f>
        <x:v>-0.3333333333333286</x:v>
      </x:c>
      <x:c r="N33" s="12" t="n">
        <x:f>COUNTIFS('Pair Results'!$A$2:$A$193,$A33,'Pair Results'!$B$2:$B$193,$B33,'Pair Results'!$C$2:$C$193,$C33,'Pair Results'!$Y$2:$Y$193,"repaired")</x:f>
        <x:v>1</x:v>
      </x:c>
      <x:c r="O33" s="12" t="n">
        <x:f>COUNTIFS('Pair Results'!$A$2:$A$193,$A33,'Pair Results'!$B$2:$B$193,$B33,'Pair Results'!$C$2:$C$193,$C33,'Pair Results'!$Y$2:$Y$193,"entropy")</x:f>
        <x:v>1</x:v>
      </x:c>
      <x:c r="P33" s="12" t="n">
        <x:f>COUNTIFS('Pair Results'!$A$2:$A$193,$A33,'Pair Results'!$B$2:$B$193,$B33,'Pair Results'!$C$2:$C$193,$C33,'Pair Results'!$Y$2:$Y$193,"tie")</x:f>
        <x:v>1</x:v>
      </x:c>
      <x:c r="Q33" s="12" t="n">
        <x:f>MAXIFS('Pair Results'!$L$2:$L$193,'Pair Results'!$A$2:$A$193,$A33,'Pair Results'!$B$2:$B$193,$B33,'Pair Results'!$C$2:$C$193,$C33)</x:f>
        <x:v>0</x:v>
      </x:c>
    </x:row>
    <x:row r="34">
      <x:c r="A34" s="10" t="str">
        <x:v>Circle</x:v>
      </x:c>
      <x:c r="B34" s="12" t="n">
        <x:v>500</x:v>
      </x:c>
      <x:c r="C34" s="14" t="n">
        <x:v>0.1</x:v>
      </x:c>
      <x:c r="D34" s="12" t="n">
        <x:f>COUNTIFS('Pair Results'!$A$2:$A$193,$A34,'Pair Results'!$B$2:$B$193,$B34,'Pair Results'!$C$2:$C$193,$C34)</x:f>
        <x:v>3</x:v>
      </x:c>
      <x:c r="E34" s="12" t="n">
        <x:f>COUNTIFS('Pair Results'!$A$2:$A$193,$A34,'Pair Results'!$B$2:$B$193,$B34,'Pair Results'!$C$2:$C$193,$C34,'Pair Results'!$G$2:$G$193,1)</x:f>
        <x:v>3</x:v>
      </x:c>
      <x:c r="F34" s="12" t="n">
        <x:f>COUNTIFS('Pair Results'!$A$2:$A$193,$A34,'Pair Results'!$B$2:$B$193,$B34,'Pair Results'!$C$2:$C$193,$C34,'Pair Results'!$J$2:$J$193,1)</x:f>
        <x:v>3</x:v>
      </x:c>
      <x:c r="G34" s="12" t="n">
        <x:f>COUNTIFS('Pair Results'!$A$2:$A$193,$A34,'Pair Results'!$B$2:$B$193,$B34,'Pair Results'!$C$2:$C$193,$C34,'Pair Results'!$Q$2:$Q$193,1)</x:f>
        <x:v>3</x:v>
      </x:c>
      <x:c r="H34" s="12" t="n">
        <x:f>COUNTIFS('Pair Results'!$A$2:$A$193,$A34,'Pair Results'!$B$2:$B$193,$B34,'Pair Results'!$C$2:$C$193,$C34,'Pair Results'!$Z$2:$Z$193,1)</x:f>
        <x:v>0</x:v>
      </x:c>
      <x:c r="I34" s="12" t="n">
        <x:f>SUMIFS('Pair Results'!$L$2:$L$193,'Pair Results'!$A$2:$A$193,$A34,'Pair Results'!$B$2:$B$193,$B34,'Pair Results'!$C$2:$C$193,$C34)</x:f>
        <x:v>0</x:v>
      </x:c>
      <x:c r="J34" s="90" t="n">
        <x:f>1000*AVERAGEIFS('Pair Results'!$N$2:$N$193,'Pair Results'!$A$2:$A$193,$A34,'Pair Results'!$B$2:$B$193,$B34,'Pair Results'!$C$2:$C$193,$C34)</x:f>
        <x:v>19.625833296837907</x:v>
      </x:c>
      <x:c r="K34" s="90" t="n">
        <x:f>IFERROR(AVERAGEIFS('Pair Results'!$F$2:$F$193,'Pair Results'!$A$2:$A$193,$A34,'Pair Results'!$B$2:$B$193,$B34,'Pair Results'!$C$2:$C$193,$C34,'Pair Results'!$W$2:$W$193,1),"")</x:f>
        <x:v>57.333333333333336</x:v>
      </x:c>
      <x:c r="L34" s="90" t="n">
        <x:f>IFERROR(AVERAGEIFS('Pair Results'!$P$2:$P$193,'Pair Results'!$A$2:$A$193,$A34,'Pair Results'!$B$2:$B$193,$B34,'Pair Results'!$C$2:$C$193,$C34,'Pair Results'!$W$2:$W$193,1),"")</x:f>
        <x:v>56</x:v>
      </x:c>
      <x:c r="M34" s="90" t="n">
        <x:f>IF(OR(K34="",L34=""),"",L34-K34)</x:f>
        <x:v>-1.3333333333333357</x:v>
      </x:c>
      <x:c r="N34" s="12" t="n">
        <x:f>COUNTIFS('Pair Results'!$A$2:$A$193,$A34,'Pair Results'!$B$2:$B$193,$B34,'Pair Results'!$C$2:$C$193,$C34,'Pair Results'!$Y$2:$Y$193,"repaired")</x:f>
        <x:v>2</x:v>
      </x:c>
      <x:c r="O34" s="12" t="n">
        <x:f>COUNTIFS('Pair Results'!$A$2:$A$193,$A34,'Pair Results'!$B$2:$B$193,$B34,'Pair Results'!$C$2:$C$193,$C34,'Pair Results'!$Y$2:$Y$193,"entropy")</x:f>
        <x:v>0</x:v>
      </x:c>
      <x:c r="P34" s="12" t="n">
        <x:f>COUNTIFS('Pair Results'!$A$2:$A$193,$A34,'Pair Results'!$B$2:$B$193,$B34,'Pair Results'!$C$2:$C$193,$C34,'Pair Results'!$Y$2:$Y$193,"tie")</x:f>
        <x:v>1</x:v>
      </x:c>
      <x:c r="Q34" s="12" t="n">
        <x:f>MAXIFS('Pair Results'!$L$2:$L$193,'Pair Results'!$A$2:$A$193,$A34,'Pair Results'!$B$2:$B$193,$B34,'Pair Results'!$C$2:$C$193,$C34)</x:f>
        <x:v>0</x:v>
      </x:c>
    </x:row>
    <x:row r="35">
      <x:c r="A35" s="10" t="str">
        <x:v>Circle</x:v>
      </x:c>
      <x:c r="B35" s="12" t="n">
        <x:v>500</x:v>
      </x:c>
      <x:c r="C35" s="14" t="n">
        <x:v>0.3</x:v>
      </x:c>
      <x:c r="D35" s="12" t="n">
        <x:f>COUNTIFS('Pair Results'!$A$2:$A$193,$A35,'Pair Results'!$B$2:$B$193,$B35,'Pair Results'!$C$2:$C$193,$C35)</x:f>
        <x:v>3</x:v>
      </x:c>
      <x:c r="E35" s="12" t="n">
        <x:f>COUNTIFS('Pair Results'!$A$2:$A$193,$A35,'Pair Results'!$B$2:$B$193,$B35,'Pair Results'!$C$2:$C$193,$C35,'Pair Results'!$G$2:$G$193,1)</x:f>
        <x:v>3</x:v>
      </x:c>
      <x:c r="F35" s="12" t="n">
        <x:f>COUNTIFS('Pair Results'!$A$2:$A$193,$A35,'Pair Results'!$B$2:$B$193,$B35,'Pair Results'!$C$2:$C$193,$C35,'Pair Results'!$J$2:$J$193,1)</x:f>
        <x:v>3</x:v>
      </x:c>
      <x:c r="G35" s="12" t="n">
        <x:f>COUNTIFS('Pair Results'!$A$2:$A$193,$A35,'Pair Results'!$B$2:$B$193,$B35,'Pair Results'!$C$2:$C$193,$C35,'Pair Results'!$Q$2:$Q$193,1)</x:f>
        <x:v>3</x:v>
      </x:c>
      <x:c r="H35" s="12" t="n">
        <x:f>COUNTIFS('Pair Results'!$A$2:$A$193,$A35,'Pair Results'!$B$2:$B$193,$B35,'Pair Results'!$C$2:$C$193,$C35,'Pair Results'!$Z$2:$Z$193,1)</x:f>
        <x:v>0</x:v>
      </x:c>
      <x:c r="I35" s="12" t="n">
        <x:f>SUMIFS('Pair Results'!$L$2:$L$193,'Pair Results'!$A$2:$A$193,$A35,'Pair Results'!$B$2:$B$193,$B35,'Pair Results'!$C$2:$C$193,$C35)</x:f>
        <x:v>0</x:v>
      </x:c>
      <x:c r="J35" s="90" t="n">
        <x:f>1000*AVERAGEIFS('Pair Results'!$N$2:$N$193,'Pair Results'!$A$2:$A$193,$A35,'Pair Results'!$B$2:$B$193,$B35,'Pair Results'!$C$2:$C$193,$C35)</x:f>
        <x:v>20.568966632708907</x:v>
      </x:c>
      <x:c r="K35" s="90" t="n">
        <x:f>IFERROR(AVERAGEIFS('Pair Results'!$F$2:$F$193,'Pair Results'!$A$2:$A$193,$A35,'Pair Results'!$B$2:$B$193,$B35,'Pair Results'!$C$2:$C$193,$C35,'Pair Results'!$W$2:$W$193,1),"")</x:f>
        <x:v>64.33333333333333</x:v>
      </x:c>
      <x:c r="L35" s="90" t="n">
        <x:f>IFERROR(AVERAGEIFS('Pair Results'!$P$2:$P$193,'Pair Results'!$A$2:$A$193,$A35,'Pair Results'!$B$2:$B$193,$B35,'Pair Results'!$C$2:$C$193,$C35,'Pair Results'!$W$2:$W$193,1),"")</x:f>
        <x:v>64</x:v>
      </x:c>
      <x:c r="M35" s="90" t="n">
        <x:f>IF(OR(K35="",L35=""),"",L35-K35)</x:f>
        <x:v>-0.3333333333333286</x:v>
      </x:c>
      <x:c r="N35" s="12" t="n">
        <x:f>COUNTIFS('Pair Results'!$A$2:$A$193,$A35,'Pair Results'!$B$2:$B$193,$B35,'Pair Results'!$C$2:$C$193,$C35,'Pair Results'!$Y$2:$Y$193,"repaired")</x:f>
        <x:v>1</x:v>
      </x:c>
      <x:c r="O35" s="12" t="n">
        <x:f>COUNTIFS('Pair Results'!$A$2:$A$193,$A35,'Pair Results'!$B$2:$B$193,$B35,'Pair Results'!$C$2:$C$193,$C35,'Pair Results'!$Y$2:$Y$193,"entropy")</x:f>
        <x:v>2</x:v>
      </x:c>
      <x:c r="P35" s="12" t="n">
        <x:f>COUNTIFS('Pair Results'!$A$2:$A$193,$A35,'Pair Results'!$B$2:$B$193,$B35,'Pair Results'!$C$2:$C$193,$C35,'Pair Results'!$Y$2:$Y$193,"tie")</x:f>
        <x:v>0</x:v>
      </x:c>
      <x:c r="Q35" s="12" t="n">
        <x:f>MAXIFS('Pair Results'!$L$2:$L$193,'Pair Results'!$A$2:$A$193,$A35,'Pair Results'!$B$2:$B$193,$B35,'Pair Results'!$C$2:$C$193,$C35)</x:f>
        <x:v>0</x:v>
      </x:c>
    </x:row>
    <x:row r="36">
      <x:c r="A36" s="10" t="str">
        <x:v>Circle</x:v>
      </x:c>
      <x:c r="B36" s="12" t="n">
        <x:v>500</x:v>
      </x:c>
      <x:c r="C36" s="14" t="n">
        <x:v>0.5</x:v>
      </x:c>
      <x:c r="D36" s="12" t="n">
        <x:f>COUNTIFS('Pair Results'!$A$2:$A$193,$A36,'Pair Results'!$B$2:$B$193,$B36,'Pair Results'!$C$2:$C$193,$C36)</x:f>
        <x:v>3</x:v>
      </x:c>
      <x:c r="E36" s="12" t="n">
        <x:f>COUNTIFS('Pair Results'!$A$2:$A$193,$A36,'Pair Results'!$B$2:$B$193,$B36,'Pair Results'!$C$2:$C$193,$C36,'Pair Results'!$G$2:$G$193,1)</x:f>
        <x:v>3</x:v>
      </x:c>
      <x:c r="F36" s="12" t="n">
        <x:f>COUNTIFS('Pair Results'!$A$2:$A$193,$A36,'Pair Results'!$B$2:$B$193,$B36,'Pair Results'!$C$2:$C$193,$C36,'Pair Results'!$J$2:$J$193,1)</x:f>
        <x:v>3</x:v>
      </x:c>
      <x:c r="G36" s="12" t="n">
        <x:f>COUNTIFS('Pair Results'!$A$2:$A$193,$A36,'Pair Results'!$B$2:$B$193,$B36,'Pair Results'!$C$2:$C$193,$C36,'Pair Results'!$Q$2:$Q$193,1)</x:f>
        <x:v>3</x:v>
      </x:c>
      <x:c r="H36" s="12" t="n">
        <x:f>COUNTIFS('Pair Results'!$A$2:$A$193,$A36,'Pair Results'!$B$2:$B$193,$B36,'Pair Results'!$C$2:$C$193,$C36,'Pair Results'!$Z$2:$Z$193,1)</x:f>
        <x:v>0</x:v>
      </x:c>
      <x:c r="I36" s="12" t="n">
        <x:f>SUMIFS('Pair Results'!$L$2:$L$193,'Pair Results'!$A$2:$A$193,$A36,'Pair Results'!$B$2:$B$193,$B36,'Pair Results'!$C$2:$C$193,$C36)</x:f>
        <x:v>0</x:v>
      </x:c>
      <x:c r="J36" s="90" t="n">
        <x:f>1000*AVERAGEIFS('Pair Results'!$N$2:$N$193,'Pair Results'!$A$2:$A$193,$A36,'Pair Results'!$B$2:$B$193,$B36,'Pair Results'!$C$2:$C$193,$C36)</x:f>
        <x:v>29.609966673888266</x:v>
      </x:c>
      <x:c r="K36" s="90" t="n">
        <x:f>IFERROR(AVERAGEIFS('Pair Results'!$F$2:$F$193,'Pair Results'!$A$2:$A$193,$A36,'Pair Results'!$B$2:$B$193,$B36,'Pair Results'!$C$2:$C$193,$C36,'Pair Results'!$W$2:$W$193,1),"")</x:f>
        <x:v>88.66666666666667</x:v>
      </x:c>
      <x:c r="L36" s="90" t="n">
        <x:f>IFERROR(AVERAGEIFS('Pair Results'!$P$2:$P$193,'Pair Results'!$A$2:$A$193,$A36,'Pair Results'!$B$2:$B$193,$B36,'Pair Results'!$C$2:$C$193,$C36,'Pair Results'!$W$2:$W$193,1),"")</x:f>
        <x:v>90</x:v>
      </x:c>
      <x:c r="M36" s="90" t="n">
        <x:f>IF(OR(K36="",L36=""),"",L36-K36)</x:f>
        <x:v>1.3333333333333286</x:v>
      </x:c>
      <x:c r="N36" s="12" t="n">
        <x:f>COUNTIFS('Pair Results'!$A$2:$A$193,$A36,'Pair Results'!$B$2:$B$193,$B36,'Pair Results'!$C$2:$C$193,$C36,'Pair Results'!$Y$2:$Y$193,"repaired")</x:f>
        <x:v>0</x:v>
      </x:c>
      <x:c r="O36" s="12" t="n">
        <x:f>COUNTIFS('Pair Results'!$A$2:$A$193,$A36,'Pair Results'!$B$2:$B$193,$B36,'Pair Results'!$C$2:$C$193,$C36,'Pair Results'!$Y$2:$Y$193,"entropy")</x:f>
        <x:v>2</x:v>
      </x:c>
      <x:c r="P36" s="12" t="n">
        <x:f>COUNTIFS('Pair Results'!$A$2:$A$193,$A36,'Pair Results'!$B$2:$B$193,$B36,'Pair Results'!$C$2:$C$193,$C36,'Pair Results'!$Y$2:$Y$193,"tie")</x:f>
        <x:v>1</x:v>
      </x:c>
      <x:c r="Q36" s="12" t="n">
        <x:f>MAXIFS('Pair Results'!$L$2:$L$193,'Pair Results'!$A$2:$A$193,$A36,'Pair Results'!$B$2:$B$193,$B36,'Pair Results'!$C$2:$C$193,$C36)</x:f>
        <x:v>0</x:v>
      </x:c>
    </x:row>
    <x:row r="37">
      <x:c r="A37" s="10" t="str">
        <x:v>Circle</x:v>
      </x:c>
      <x:c r="B37" s="12" t="n">
        <x:v>500</x:v>
      </x:c>
      <x:c r="C37" s="14" t="n">
        <x:v>0.7</x:v>
      </x:c>
      <x:c r="D37" s="12" t="n">
        <x:f>COUNTIFS('Pair Results'!$A$2:$A$193,$A37,'Pair Results'!$B$2:$B$193,$B37,'Pair Results'!$C$2:$C$193,$C37)</x:f>
        <x:v>3</x:v>
      </x:c>
      <x:c r="E37" s="12" t="n">
        <x:f>COUNTIFS('Pair Results'!$A$2:$A$193,$A37,'Pair Results'!$B$2:$B$193,$B37,'Pair Results'!$C$2:$C$193,$C37,'Pair Results'!$G$2:$G$193,1)</x:f>
        <x:v>3</x:v>
      </x:c>
      <x:c r="F37" s="12" t="n">
        <x:f>COUNTIFS('Pair Results'!$A$2:$A$193,$A37,'Pair Results'!$B$2:$B$193,$B37,'Pair Results'!$C$2:$C$193,$C37,'Pair Results'!$J$2:$J$193,1)</x:f>
        <x:v>3</x:v>
      </x:c>
      <x:c r="G37" s="12" t="n">
        <x:f>COUNTIFS('Pair Results'!$A$2:$A$193,$A37,'Pair Results'!$B$2:$B$193,$B37,'Pair Results'!$C$2:$C$193,$C37,'Pair Results'!$Q$2:$Q$193,1)</x:f>
        <x:v>3</x:v>
      </x:c>
      <x:c r="H37" s="12" t="n">
        <x:f>COUNTIFS('Pair Results'!$A$2:$A$193,$A37,'Pair Results'!$B$2:$B$193,$B37,'Pair Results'!$C$2:$C$193,$C37,'Pair Results'!$Z$2:$Z$193,1)</x:f>
        <x:v>0</x:v>
      </x:c>
      <x:c r="I37" s="12" t="n">
        <x:f>SUMIFS('Pair Results'!$L$2:$L$193,'Pair Results'!$A$2:$A$193,$A37,'Pair Results'!$B$2:$B$193,$B37,'Pair Results'!$C$2:$C$193,$C37)</x:f>
        <x:v>0</x:v>
      </x:c>
      <x:c r="J37" s="90" t="n">
        <x:f>1000*AVERAGEIFS('Pair Results'!$N$2:$N$193,'Pair Results'!$A$2:$A$193,$A37,'Pair Results'!$B$2:$B$193,$B37,'Pair Results'!$C$2:$C$193,$C37)</x:f>
        <x:v>37.68203337676823</x:v>
      </x:c>
      <x:c r="K37" s="90" t="n">
        <x:f>IFERROR(AVERAGEIFS('Pair Results'!$F$2:$F$193,'Pair Results'!$A$2:$A$193,$A37,'Pair Results'!$B$2:$B$193,$B37,'Pair Results'!$C$2:$C$193,$C37,'Pair Results'!$W$2:$W$193,1),"")</x:f>
        <x:v>137</x:v>
      </x:c>
      <x:c r="L37" s="90" t="n">
        <x:f>IFERROR(AVERAGEIFS('Pair Results'!$P$2:$P$193,'Pair Results'!$A$2:$A$193,$A37,'Pair Results'!$B$2:$B$193,$B37,'Pair Results'!$C$2:$C$193,$C37,'Pair Results'!$W$2:$W$193,1),"")</x:f>
        <x:v>139</x:v>
      </x:c>
      <x:c r="M37" s="90" t="n">
        <x:f>IF(OR(K37="",L37=""),"",L37-K37)</x:f>
        <x:v>2</x:v>
      </x:c>
      <x:c r="N37" s="12" t="n">
        <x:f>COUNTIFS('Pair Results'!$A$2:$A$193,$A37,'Pair Results'!$B$2:$B$193,$B37,'Pair Results'!$C$2:$C$193,$C37,'Pair Results'!$Y$2:$Y$193,"repaired")</x:f>
        <x:v>0</x:v>
      </x:c>
      <x:c r="O37" s="12" t="n">
        <x:f>COUNTIFS('Pair Results'!$A$2:$A$193,$A37,'Pair Results'!$B$2:$B$193,$B37,'Pair Results'!$C$2:$C$193,$C37,'Pair Results'!$Y$2:$Y$193,"entropy")</x:f>
        <x:v>1</x:v>
      </x:c>
      <x:c r="P37" s="12" t="n">
        <x:f>COUNTIFS('Pair Results'!$A$2:$A$193,$A37,'Pair Results'!$B$2:$B$193,$B37,'Pair Results'!$C$2:$C$193,$C37,'Pair Results'!$Y$2:$Y$193,"tie")</x:f>
        <x:v>2</x:v>
      </x:c>
      <x:c r="Q37" s="12" t="n">
        <x:f>MAXIFS('Pair Results'!$L$2:$L$193,'Pair Results'!$A$2:$A$193,$A37,'Pair Results'!$B$2:$B$193,$B37,'Pair Results'!$C$2:$C$193,$C37)</x:f>
        <x:v>0</x:v>
      </x:c>
    </x:row>
    <x:row r="38">
      <x:c r="A38" s="10" t="str">
        <x:v>Zoomed Square</x:v>
      </x:c>
      <x:c r="B38" s="12" t="n">
        <x:v>50</x:v>
      </x:c>
      <x:c r="C38" s="14" t="n">
        <x:v>0.1</x:v>
      </x:c>
      <x:c r="D38" s="12" t="n">
        <x:f>COUNTIFS('Pair Results'!$A$2:$A$193,$A38,'Pair Results'!$B$2:$B$193,$B38,'Pair Results'!$C$2:$C$193,$C38)</x:f>
        <x:v>3</x:v>
      </x:c>
      <x:c r="E38" s="12" t="n">
        <x:f>COUNTIFS('Pair Results'!$A$2:$A$193,$A38,'Pair Results'!$B$2:$B$193,$B38,'Pair Results'!$C$2:$C$193,$C38,'Pair Results'!$G$2:$G$193,1)</x:f>
        <x:v>3</x:v>
      </x:c>
      <x:c r="F38" s="12" t="n">
        <x:f>COUNTIFS('Pair Results'!$A$2:$A$193,$A38,'Pair Results'!$B$2:$B$193,$B38,'Pair Results'!$C$2:$C$193,$C38,'Pair Results'!$J$2:$J$193,1)</x:f>
        <x:v>3</x:v>
      </x:c>
      <x:c r="G38" s="12" t="n">
        <x:f>COUNTIFS('Pair Results'!$A$2:$A$193,$A38,'Pair Results'!$B$2:$B$193,$B38,'Pair Results'!$C$2:$C$193,$C38,'Pair Results'!$Q$2:$Q$193,1)</x:f>
        <x:v>3</x:v>
      </x:c>
      <x:c r="H38" s="12" t="n">
        <x:f>COUNTIFS('Pair Results'!$A$2:$A$193,$A38,'Pair Results'!$B$2:$B$193,$B38,'Pair Results'!$C$2:$C$193,$C38,'Pair Results'!$Z$2:$Z$193,1)</x:f>
        <x:v>0</x:v>
      </x:c>
      <x:c r="I38" s="12" t="n">
        <x:f>SUMIFS('Pair Results'!$L$2:$L$193,'Pair Results'!$A$2:$A$193,$A38,'Pair Results'!$B$2:$B$193,$B38,'Pair Results'!$C$2:$C$193,$C38)</x:f>
        <x:v>0</x:v>
      </x:c>
      <x:c r="J38" s="90" t="n">
        <x:f>1000*AVERAGEIFS('Pair Results'!$N$2:$N$193,'Pair Results'!$A$2:$A$193,$A38,'Pair Results'!$B$2:$B$193,$B38,'Pair Results'!$C$2:$C$193,$C38)</x:f>
        <x:v>0.6223000430812439</x:v>
      </x:c>
      <x:c r="K38" s="90" t="n">
        <x:f>IFERROR(AVERAGEIFS('Pair Results'!$F$2:$F$193,'Pair Results'!$A$2:$A$193,$A38,'Pair Results'!$B$2:$B$193,$B38,'Pair Results'!$C$2:$C$193,$C38,'Pair Results'!$W$2:$W$193,1),"")</x:f>
        <x:v>28.333333333333332</x:v>
      </x:c>
      <x:c r="L38" s="90" t="n">
        <x:f>IFERROR(AVERAGEIFS('Pair Results'!$P$2:$P$193,'Pair Results'!$A$2:$A$193,$A38,'Pair Results'!$B$2:$B$193,$B38,'Pair Results'!$C$2:$C$193,$C38,'Pair Results'!$W$2:$W$193,1),"")</x:f>
        <x:v>28.333333333333332</x:v>
      </x:c>
      <x:c r="M38" s="90" t="n">
        <x:f>IF(OR(K38="",L38=""),"",L38-K38)</x:f>
        <x:v>0</x:v>
      </x:c>
      <x:c r="N38" s="12" t="n">
        <x:f>COUNTIFS('Pair Results'!$A$2:$A$193,$A38,'Pair Results'!$B$2:$B$193,$B38,'Pair Results'!$C$2:$C$193,$C38,'Pair Results'!$Y$2:$Y$193,"repaired")</x:f>
        <x:v>0</x:v>
      </x:c>
      <x:c r="O38" s="12" t="n">
        <x:f>COUNTIFS('Pair Results'!$A$2:$A$193,$A38,'Pair Results'!$B$2:$B$193,$B38,'Pair Results'!$C$2:$C$193,$C38,'Pair Results'!$Y$2:$Y$193,"entropy")</x:f>
        <x:v>0</x:v>
      </x:c>
      <x:c r="P38" s="12" t="n">
        <x:f>COUNTIFS('Pair Results'!$A$2:$A$193,$A38,'Pair Results'!$B$2:$B$193,$B38,'Pair Results'!$C$2:$C$193,$C38,'Pair Results'!$Y$2:$Y$193,"tie")</x:f>
        <x:v>3</x:v>
      </x:c>
      <x:c r="Q38" s="12" t="n">
        <x:f>MAXIFS('Pair Results'!$L$2:$L$193,'Pair Results'!$A$2:$A$193,$A38,'Pair Results'!$B$2:$B$193,$B38,'Pair Results'!$C$2:$C$193,$C38)</x:f>
        <x:v>0</x:v>
      </x:c>
    </x:row>
    <x:row r="39">
      <x:c r="A39" s="10" t="str">
        <x:v>Zoomed Square</x:v>
      </x:c>
      <x:c r="B39" s="12" t="n">
        <x:v>50</x:v>
      </x:c>
      <x:c r="C39" s="14" t="n">
        <x:v>0.3</x:v>
      </x:c>
      <x:c r="D39" s="12" t="n">
        <x:f>COUNTIFS('Pair Results'!$A$2:$A$193,$A39,'Pair Results'!$B$2:$B$193,$B39,'Pair Results'!$C$2:$C$193,$C39)</x:f>
        <x:v>3</x:v>
      </x:c>
      <x:c r="E39" s="12" t="n">
        <x:f>COUNTIFS('Pair Results'!$A$2:$A$193,$A39,'Pair Results'!$B$2:$B$193,$B39,'Pair Results'!$C$2:$C$193,$C39,'Pair Results'!$G$2:$G$193,1)</x:f>
        <x:v>3</x:v>
      </x:c>
      <x:c r="F39" s="12" t="n">
        <x:f>COUNTIFS('Pair Results'!$A$2:$A$193,$A39,'Pair Results'!$B$2:$B$193,$B39,'Pair Results'!$C$2:$C$193,$C39,'Pair Results'!$J$2:$J$193,1)</x:f>
        <x:v>3</x:v>
      </x:c>
      <x:c r="G39" s="12" t="n">
        <x:f>COUNTIFS('Pair Results'!$A$2:$A$193,$A39,'Pair Results'!$B$2:$B$193,$B39,'Pair Results'!$C$2:$C$193,$C39,'Pair Results'!$Q$2:$Q$193,1)</x:f>
        <x:v>3</x:v>
      </x:c>
      <x:c r="H39" s="12" t="n">
        <x:f>COUNTIFS('Pair Results'!$A$2:$A$193,$A39,'Pair Results'!$B$2:$B$193,$B39,'Pair Results'!$C$2:$C$193,$C39,'Pair Results'!$Z$2:$Z$193,1)</x:f>
        <x:v>0</x:v>
      </x:c>
      <x:c r="I39" s="12" t="n">
        <x:f>SUMIFS('Pair Results'!$L$2:$L$193,'Pair Results'!$A$2:$A$193,$A39,'Pair Results'!$B$2:$B$193,$B39,'Pair Results'!$C$2:$C$193,$C39)</x:f>
        <x:v>0</x:v>
      </x:c>
      <x:c r="J39" s="90" t="n">
        <x:f>1000*AVERAGEIFS('Pair Results'!$N$2:$N$193,'Pair Results'!$A$2:$A$193,$A39,'Pair Results'!$B$2:$B$193,$B39,'Pair Results'!$C$2:$C$193,$C39)</x:f>
        <x:v>0.3135666872064273</x:v>
      </x:c>
      <x:c r="K39" s="90" t="n">
        <x:f>IFERROR(AVERAGEIFS('Pair Results'!$F$2:$F$193,'Pair Results'!$A$2:$A$193,$A39,'Pair Results'!$B$2:$B$193,$B39,'Pair Results'!$C$2:$C$193,$C39,'Pair Results'!$W$2:$W$193,1),"")</x:f>
        <x:v>11.333333333333334</x:v>
      </x:c>
      <x:c r="L39" s="90" t="n">
        <x:f>IFERROR(AVERAGEIFS('Pair Results'!$P$2:$P$193,'Pair Results'!$A$2:$A$193,$A39,'Pair Results'!$B$2:$B$193,$B39,'Pair Results'!$C$2:$C$193,$C39,'Pair Results'!$W$2:$W$193,1),"")</x:f>
        <x:v>11.666666666666666</x:v>
      </x:c>
      <x:c r="M39" s="90" t="n">
        <x:f>IF(OR(K39="",L39=""),"",L39-K39)</x:f>
        <x:v>0.33333333333333215</x:v>
      </x:c>
      <x:c r="N39" s="12" t="n">
        <x:f>COUNTIFS('Pair Results'!$A$2:$A$193,$A39,'Pair Results'!$B$2:$B$193,$B39,'Pair Results'!$C$2:$C$193,$C39,'Pair Results'!$Y$2:$Y$193,"repaired")</x:f>
        <x:v>0</x:v>
      </x:c>
      <x:c r="O39" s="12" t="n">
        <x:f>COUNTIFS('Pair Results'!$A$2:$A$193,$A39,'Pair Results'!$B$2:$B$193,$B39,'Pair Results'!$C$2:$C$193,$C39,'Pair Results'!$Y$2:$Y$193,"entropy")</x:f>
        <x:v>1</x:v>
      </x:c>
      <x:c r="P39" s="12" t="n">
        <x:f>COUNTIFS('Pair Results'!$A$2:$A$193,$A39,'Pair Results'!$B$2:$B$193,$B39,'Pair Results'!$C$2:$C$193,$C39,'Pair Results'!$Y$2:$Y$193,"tie")</x:f>
        <x:v>2</x:v>
      </x:c>
      <x:c r="Q39" s="12" t="n">
        <x:f>MAXIFS('Pair Results'!$L$2:$L$193,'Pair Results'!$A$2:$A$193,$A39,'Pair Results'!$B$2:$B$193,$B39,'Pair Results'!$C$2:$C$193,$C39)</x:f>
        <x:v>0</x:v>
      </x:c>
    </x:row>
    <x:row r="40">
      <x:c r="A40" s="10" t="str">
        <x:v>Zoomed Square</x:v>
      </x:c>
      <x:c r="B40" s="12" t="n">
        <x:v>50</x:v>
      </x:c>
      <x:c r="C40" s="14" t="n">
        <x:v>0.5</x:v>
      </x:c>
      <x:c r="D40" s="12" t="n">
        <x:f>COUNTIFS('Pair Results'!$A$2:$A$193,$A40,'Pair Results'!$B$2:$B$193,$B40,'Pair Results'!$C$2:$C$193,$C40)</x:f>
        <x:v>3</x:v>
      </x:c>
      <x:c r="E40" s="12" t="n">
        <x:f>COUNTIFS('Pair Results'!$A$2:$A$193,$A40,'Pair Results'!$B$2:$B$193,$B40,'Pair Results'!$C$2:$C$193,$C40,'Pair Results'!$G$2:$G$193,1)</x:f>
        <x:v>3</x:v>
      </x:c>
      <x:c r="F40" s="12" t="n">
        <x:f>COUNTIFS('Pair Results'!$A$2:$A$193,$A40,'Pair Results'!$B$2:$B$193,$B40,'Pair Results'!$C$2:$C$193,$C40,'Pair Results'!$J$2:$J$193,1)</x:f>
        <x:v>3</x:v>
      </x:c>
      <x:c r="G40" s="12" t="n">
        <x:f>COUNTIFS('Pair Results'!$A$2:$A$193,$A40,'Pair Results'!$B$2:$B$193,$B40,'Pair Results'!$C$2:$C$193,$C40,'Pair Results'!$Q$2:$Q$193,1)</x:f>
        <x:v>3</x:v>
      </x:c>
      <x:c r="H40" s="12" t="n">
        <x:f>COUNTIFS('Pair Results'!$A$2:$A$193,$A40,'Pair Results'!$B$2:$B$193,$B40,'Pair Results'!$C$2:$C$193,$C40,'Pair Results'!$Z$2:$Z$193,1)</x:f>
        <x:v>0</x:v>
      </x:c>
      <x:c r="I40" s="12" t="n">
        <x:f>SUMIFS('Pair Results'!$L$2:$L$193,'Pair Results'!$A$2:$A$193,$A40,'Pair Results'!$B$2:$B$193,$B40,'Pair Results'!$C$2:$C$193,$C40)</x:f>
        <x:v>0</x:v>
      </x:c>
      <x:c r="J40" s="90" t="n">
        <x:f>1000*AVERAGEIFS('Pair Results'!$N$2:$N$193,'Pair Results'!$A$2:$A$193,$A40,'Pair Results'!$B$2:$B$193,$B40,'Pair Results'!$C$2:$C$193,$C40)</x:f>
        <x:v>0.3926666298260291</x:v>
      </x:c>
      <x:c r="K40" s="90" t="n">
        <x:f>IFERROR(AVERAGEIFS('Pair Results'!$F$2:$F$193,'Pair Results'!$A$2:$A$193,$A40,'Pair Results'!$B$2:$B$193,$B40,'Pair Results'!$C$2:$C$193,$C40,'Pair Results'!$W$2:$W$193,1),"")</x:f>
        <x:v>16.666666666666668</x:v>
      </x:c>
      <x:c r="L40" s="90" t="n">
        <x:f>IFERROR(AVERAGEIFS('Pair Results'!$P$2:$P$193,'Pair Results'!$A$2:$A$193,$A40,'Pair Results'!$B$2:$B$193,$B40,'Pair Results'!$C$2:$C$193,$C40,'Pair Results'!$W$2:$W$193,1),"")</x:f>
        <x:v>15.666666666666666</x:v>
      </x:c>
      <x:c r="M40" s="90" t="n">
        <x:f>IF(OR(K40="",L40=""),"",L40-K40)</x:f>
        <x:v>-1.0000000000000018</x:v>
      </x:c>
      <x:c r="N40" s="12" t="n">
        <x:f>COUNTIFS('Pair Results'!$A$2:$A$193,$A40,'Pair Results'!$B$2:$B$193,$B40,'Pair Results'!$C$2:$C$193,$C40,'Pair Results'!$Y$2:$Y$193,"repaired")</x:f>
        <x:v>2</x:v>
      </x:c>
      <x:c r="O40" s="12" t="n">
        <x:f>COUNTIFS('Pair Results'!$A$2:$A$193,$A40,'Pair Results'!$B$2:$B$193,$B40,'Pair Results'!$C$2:$C$193,$C40,'Pair Results'!$Y$2:$Y$193,"entropy")</x:f>
        <x:v>0</x:v>
      </x:c>
      <x:c r="P40" s="12" t="n">
        <x:f>COUNTIFS('Pair Results'!$A$2:$A$193,$A40,'Pair Results'!$B$2:$B$193,$B40,'Pair Results'!$C$2:$C$193,$C40,'Pair Results'!$Y$2:$Y$193,"tie")</x:f>
        <x:v>1</x:v>
      </x:c>
      <x:c r="Q40" s="12" t="n">
        <x:f>MAXIFS('Pair Results'!$L$2:$L$193,'Pair Results'!$A$2:$A$193,$A40,'Pair Results'!$B$2:$B$193,$B40,'Pair Results'!$C$2:$C$193,$C40)</x:f>
        <x:v>0</x:v>
      </x:c>
    </x:row>
    <x:row r="41">
      <x:c r="A41" s="10" t="str">
        <x:v>Zoomed Square</x:v>
      </x:c>
      <x:c r="B41" s="12" t="n">
        <x:v>50</x:v>
      </x:c>
      <x:c r="C41" s="14" t="n">
        <x:v>0.7</x:v>
      </x:c>
      <x:c r="D41" s="12" t="n">
        <x:f>COUNTIFS('Pair Results'!$A$2:$A$193,$A41,'Pair Results'!$B$2:$B$193,$B41,'Pair Results'!$C$2:$C$193,$C41)</x:f>
        <x:v>3</x:v>
      </x:c>
      <x:c r="E41" s="12" t="n">
        <x:f>COUNTIFS('Pair Results'!$A$2:$A$193,$A41,'Pair Results'!$B$2:$B$193,$B41,'Pair Results'!$C$2:$C$193,$C41,'Pair Results'!$G$2:$G$193,1)</x:f>
        <x:v>3</x:v>
      </x:c>
      <x:c r="F41" s="12" t="n">
        <x:f>COUNTIFS('Pair Results'!$A$2:$A$193,$A41,'Pair Results'!$B$2:$B$193,$B41,'Pair Results'!$C$2:$C$193,$C41,'Pair Results'!$J$2:$J$193,1)</x:f>
        <x:v>3</x:v>
      </x:c>
      <x:c r="G41" s="12" t="n">
        <x:f>COUNTIFS('Pair Results'!$A$2:$A$193,$A41,'Pair Results'!$B$2:$B$193,$B41,'Pair Results'!$C$2:$C$193,$C41,'Pair Results'!$Q$2:$Q$193,1)</x:f>
        <x:v>3</x:v>
      </x:c>
      <x:c r="H41" s="12" t="n">
        <x:f>COUNTIFS('Pair Results'!$A$2:$A$193,$A41,'Pair Results'!$B$2:$B$193,$B41,'Pair Results'!$C$2:$C$193,$C41,'Pair Results'!$Z$2:$Z$193,1)</x:f>
        <x:v>0</x:v>
      </x:c>
      <x:c r="I41" s="12" t="n">
        <x:f>SUMIFS('Pair Results'!$L$2:$L$193,'Pair Results'!$A$2:$A$193,$A41,'Pair Results'!$B$2:$B$193,$B41,'Pair Results'!$C$2:$C$193,$C41)</x:f>
        <x:v>0</x:v>
      </x:c>
      <x:c r="J41" s="90" t="n">
        <x:f>1000*AVERAGEIFS('Pair Results'!$N$2:$N$193,'Pair Results'!$A$2:$A$193,$A41,'Pair Results'!$B$2:$B$193,$B41,'Pair Results'!$C$2:$C$193,$C41)</x:f>
        <x:v>0.4936667003979286</x:v>
      </x:c>
      <x:c r="K41" s="90" t="n">
        <x:f>IFERROR(AVERAGEIFS('Pair Results'!$F$2:$F$193,'Pair Results'!$A$2:$A$193,$A41,'Pair Results'!$B$2:$B$193,$B41,'Pair Results'!$C$2:$C$193,$C41,'Pair Results'!$W$2:$W$193,1),"")</x:f>
        <x:v>23.333333333333332</x:v>
      </x:c>
      <x:c r="L41" s="90" t="n">
        <x:f>IFERROR(AVERAGEIFS('Pair Results'!$P$2:$P$193,'Pair Results'!$A$2:$A$193,$A41,'Pair Results'!$B$2:$B$193,$B41,'Pair Results'!$C$2:$C$193,$C41,'Pair Results'!$W$2:$W$193,1),"")</x:f>
        <x:v>21.666666666666668</x:v>
      </x:c>
      <x:c r="M41" s="90" t="n">
        <x:f>IF(OR(K41="",L41=""),"",L41-K41)</x:f>
        <x:v>-1.6666666666666643</x:v>
      </x:c>
      <x:c r="N41" s="12" t="n">
        <x:f>COUNTIFS('Pair Results'!$A$2:$A$193,$A41,'Pair Results'!$B$2:$B$193,$B41,'Pair Results'!$C$2:$C$193,$C41,'Pair Results'!$Y$2:$Y$193,"repaired")</x:f>
        <x:v>2</x:v>
      </x:c>
      <x:c r="O41" s="12" t="n">
        <x:f>COUNTIFS('Pair Results'!$A$2:$A$193,$A41,'Pair Results'!$B$2:$B$193,$B41,'Pair Results'!$C$2:$C$193,$C41,'Pair Results'!$Y$2:$Y$193,"entropy")</x:f>
        <x:v>0</x:v>
      </x:c>
      <x:c r="P41" s="12" t="n">
        <x:f>COUNTIFS('Pair Results'!$A$2:$A$193,$A41,'Pair Results'!$B$2:$B$193,$B41,'Pair Results'!$C$2:$C$193,$C41,'Pair Results'!$Y$2:$Y$193,"tie")</x:f>
        <x:v>1</x:v>
      </x:c>
      <x:c r="Q41" s="12" t="n">
        <x:f>MAXIFS('Pair Results'!$L$2:$L$193,'Pair Results'!$A$2:$A$193,$A41,'Pair Results'!$B$2:$B$193,$B41,'Pair Results'!$C$2:$C$193,$C41)</x:f>
        <x:v>0</x:v>
      </x:c>
    </x:row>
    <x:row r="42">
      <x:c r="A42" s="10" t="str">
        <x:v>Zoomed Square</x:v>
      </x:c>
      <x:c r="B42" s="12" t="n">
        <x:v>100</x:v>
      </x:c>
      <x:c r="C42" s="14" t="n">
        <x:v>0.1</x:v>
      </x:c>
      <x:c r="D42" s="12" t="n">
        <x:f>COUNTIFS('Pair Results'!$A$2:$A$193,$A42,'Pair Results'!$B$2:$B$193,$B42,'Pair Results'!$C$2:$C$193,$C42)</x:f>
        <x:v>3</x:v>
      </x:c>
      <x:c r="E42" s="12" t="n">
        <x:f>COUNTIFS('Pair Results'!$A$2:$A$193,$A42,'Pair Results'!$B$2:$B$193,$B42,'Pair Results'!$C$2:$C$193,$C42,'Pair Results'!$G$2:$G$193,1)</x:f>
        <x:v>3</x:v>
      </x:c>
      <x:c r="F42" s="12" t="n">
        <x:f>COUNTIFS('Pair Results'!$A$2:$A$193,$A42,'Pair Results'!$B$2:$B$193,$B42,'Pair Results'!$C$2:$C$193,$C42,'Pair Results'!$J$2:$J$193,1)</x:f>
        <x:v>3</x:v>
      </x:c>
      <x:c r="G42" s="12" t="n">
        <x:f>COUNTIFS('Pair Results'!$A$2:$A$193,$A42,'Pair Results'!$B$2:$B$193,$B42,'Pair Results'!$C$2:$C$193,$C42,'Pair Results'!$Q$2:$Q$193,1)</x:f>
        <x:v>3</x:v>
      </x:c>
      <x:c r="H42" s="12" t="n">
        <x:f>COUNTIFS('Pair Results'!$A$2:$A$193,$A42,'Pair Results'!$B$2:$B$193,$B42,'Pair Results'!$C$2:$C$193,$C42,'Pair Results'!$Z$2:$Z$193,1)</x:f>
        <x:v>0</x:v>
      </x:c>
      <x:c r="I42" s="12" t="n">
        <x:f>SUMIFS('Pair Results'!$L$2:$L$193,'Pair Results'!$A$2:$A$193,$A42,'Pair Results'!$B$2:$B$193,$B42,'Pair Results'!$C$2:$C$193,$C42)</x:f>
        <x:v>0</x:v>
      </x:c>
      <x:c r="J42" s="90" t="n">
        <x:f>1000*AVERAGEIFS('Pair Results'!$N$2:$N$193,'Pair Results'!$A$2:$A$193,$A42,'Pair Results'!$B$2:$B$193,$B42,'Pair Results'!$C$2:$C$193,$C42)</x:f>
        <x:v>1.9495333544909954</x:v>
      </x:c>
      <x:c r="K42" s="90" t="n">
        <x:f>IFERROR(AVERAGEIFS('Pair Results'!$F$2:$F$193,'Pair Results'!$A$2:$A$193,$A42,'Pair Results'!$B$2:$B$193,$B42,'Pair Results'!$C$2:$C$193,$C42,'Pair Results'!$W$2:$W$193,1),"")</x:f>
        <x:v>38.333333333333336</x:v>
      </x:c>
      <x:c r="L42" s="90" t="n">
        <x:f>IFERROR(AVERAGEIFS('Pair Results'!$P$2:$P$193,'Pair Results'!$A$2:$A$193,$A42,'Pair Results'!$B$2:$B$193,$B42,'Pair Results'!$C$2:$C$193,$C42,'Pair Results'!$W$2:$W$193,1),"")</x:f>
        <x:v>38.333333333333336</x:v>
      </x:c>
      <x:c r="M42" s="90" t="n">
        <x:f>IF(OR(K42="",L42=""),"",L42-K42)</x:f>
        <x:v>0</x:v>
      </x:c>
      <x:c r="N42" s="12" t="n">
        <x:f>COUNTIFS('Pair Results'!$A$2:$A$193,$A42,'Pair Results'!$B$2:$B$193,$B42,'Pair Results'!$C$2:$C$193,$C42,'Pair Results'!$Y$2:$Y$193,"repaired")</x:f>
        <x:v>0</x:v>
      </x:c>
      <x:c r="O42" s="12" t="n">
        <x:f>COUNTIFS('Pair Results'!$A$2:$A$193,$A42,'Pair Results'!$B$2:$B$193,$B42,'Pair Results'!$C$2:$C$193,$C42,'Pair Results'!$Y$2:$Y$193,"entropy")</x:f>
        <x:v>0</x:v>
      </x:c>
      <x:c r="P42" s="12" t="n">
        <x:f>COUNTIFS('Pair Results'!$A$2:$A$193,$A42,'Pair Results'!$B$2:$B$193,$B42,'Pair Results'!$C$2:$C$193,$C42,'Pair Results'!$Y$2:$Y$193,"tie")</x:f>
        <x:v>3</x:v>
      </x:c>
      <x:c r="Q42" s="12" t="n">
        <x:f>MAXIFS('Pair Results'!$L$2:$L$193,'Pair Results'!$A$2:$A$193,$A42,'Pair Results'!$B$2:$B$193,$B42,'Pair Results'!$C$2:$C$193,$C42)</x:f>
        <x:v>0</x:v>
      </x:c>
    </x:row>
    <x:row r="43">
      <x:c r="A43" s="10" t="str">
        <x:v>Zoomed Square</x:v>
      </x:c>
      <x:c r="B43" s="12" t="n">
        <x:v>100</x:v>
      </x:c>
      <x:c r="C43" s="14" t="n">
        <x:v>0.3</x:v>
      </x:c>
      <x:c r="D43" s="12" t="n">
        <x:f>COUNTIFS('Pair Results'!$A$2:$A$193,$A43,'Pair Results'!$B$2:$B$193,$B43,'Pair Results'!$C$2:$C$193,$C43)</x:f>
        <x:v>3</x:v>
      </x:c>
      <x:c r="E43" s="12" t="n">
        <x:f>COUNTIFS('Pair Results'!$A$2:$A$193,$A43,'Pair Results'!$B$2:$B$193,$B43,'Pair Results'!$C$2:$C$193,$C43,'Pair Results'!$G$2:$G$193,1)</x:f>
        <x:v>3</x:v>
      </x:c>
      <x:c r="F43" s="12" t="n">
        <x:f>COUNTIFS('Pair Results'!$A$2:$A$193,$A43,'Pair Results'!$B$2:$B$193,$B43,'Pair Results'!$C$2:$C$193,$C43,'Pair Results'!$J$2:$J$193,1)</x:f>
        <x:v>3</x:v>
      </x:c>
      <x:c r="G43" s="12" t="n">
        <x:f>COUNTIFS('Pair Results'!$A$2:$A$193,$A43,'Pair Results'!$B$2:$B$193,$B43,'Pair Results'!$C$2:$C$193,$C43,'Pair Results'!$Q$2:$Q$193,1)</x:f>
        <x:v>3</x:v>
      </x:c>
      <x:c r="H43" s="12" t="n">
        <x:f>COUNTIFS('Pair Results'!$A$2:$A$193,$A43,'Pair Results'!$B$2:$B$193,$B43,'Pair Results'!$C$2:$C$193,$C43,'Pair Results'!$Z$2:$Z$193,1)</x:f>
        <x:v>0</x:v>
      </x:c>
      <x:c r="I43" s="12" t="n">
        <x:f>SUMIFS('Pair Results'!$L$2:$L$193,'Pair Results'!$A$2:$A$193,$A43,'Pair Results'!$B$2:$B$193,$B43,'Pair Results'!$C$2:$C$193,$C43)</x:f>
        <x:v>0</x:v>
      </x:c>
      <x:c r="J43" s="90" t="n">
        <x:f>1000*AVERAGEIFS('Pair Results'!$N$2:$N$193,'Pair Results'!$A$2:$A$193,$A43,'Pair Results'!$B$2:$B$193,$B43,'Pair Results'!$C$2:$C$193,$C43)</x:f>
        <x:v>1.1761333250130217</x:v>
      </x:c>
      <x:c r="K43" s="90" t="n">
        <x:f>IFERROR(AVERAGEIFS('Pair Results'!$F$2:$F$193,'Pair Results'!$A$2:$A$193,$A43,'Pair Results'!$B$2:$B$193,$B43,'Pair Results'!$C$2:$C$193,$C43,'Pair Results'!$W$2:$W$193,1),"")</x:f>
        <x:v>20.666666666666668</x:v>
      </x:c>
      <x:c r="L43" s="90" t="n">
        <x:f>IFERROR(AVERAGEIFS('Pair Results'!$P$2:$P$193,'Pair Results'!$A$2:$A$193,$A43,'Pair Results'!$B$2:$B$193,$B43,'Pair Results'!$C$2:$C$193,$C43,'Pair Results'!$W$2:$W$193,1),"")</x:f>
        <x:v>21</x:v>
      </x:c>
      <x:c r="M43" s="90" t="n">
        <x:f>IF(OR(K43="",L43=""),"",L43-K43)</x:f>
        <x:v>0.33333333333333215</x:v>
      </x:c>
      <x:c r="N43" s="12" t="n">
        <x:f>COUNTIFS('Pair Results'!$A$2:$A$193,$A43,'Pair Results'!$B$2:$B$193,$B43,'Pair Results'!$C$2:$C$193,$C43,'Pair Results'!$Y$2:$Y$193,"repaired")</x:f>
        <x:v>0</x:v>
      </x:c>
      <x:c r="O43" s="12" t="n">
        <x:f>COUNTIFS('Pair Results'!$A$2:$A$193,$A43,'Pair Results'!$B$2:$B$193,$B43,'Pair Results'!$C$2:$C$193,$C43,'Pair Results'!$Y$2:$Y$193,"entropy")</x:f>
        <x:v>1</x:v>
      </x:c>
      <x:c r="P43" s="12" t="n">
        <x:f>COUNTIFS('Pair Results'!$A$2:$A$193,$A43,'Pair Results'!$B$2:$B$193,$B43,'Pair Results'!$C$2:$C$193,$C43,'Pair Results'!$Y$2:$Y$193,"tie")</x:f>
        <x:v>2</x:v>
      </x:c>
      <x:c r="Q43" s="12" t="n">
        <x:f>MAXIFS('Pair Results'!$L$2:$L$193,'Pair Results'!$A$2:$A$193,$A43,'Pair Results'!$B$2:$B$193,$B43,'Pair Results'!$C$2:$C$193,$C43)</x:f>
        <x:v>0</x:v>
      </x:c>
    </x:row>
    <x:row r="44">
      <x:c r="A44" s="10" t="str">
        <x:v>Zoomed Square</x:v>
      </x:c>
      <x:c r="B44" s="12" t="n">
        <x:v>100</x:v>
      </x:c>
      <x:c r="C44" s="14" t="n">
        <x:v>0.5</x:v>
      </x:c>
      <x:c r="D44" s="12" t="n">
        <x:f>COUNTIFS('Pair Results'!$A$2:$A$193,$A44,'Pair Results'!$B$2:$B$193,$B44,'Pair Results'!$C$2:$C$193,$C44)</x:f>
        <x:v>3</x:v>
      </x:c>
      <x:c r="E44" s="12" t="n">
        <x:f>COUNTIFS('Pair Results'!$A$2:$A$193,$A44,'Pair Results'!$B$2:$B$193,$B44,'Pair Results'!$C$2:$C$193,$C44,'Pair Results'!$G$2:$G$193,1)</x:f>
        <x:v>3</x:v>
      </x:c>
      <x:c r="F44" s="12" t="n">
        <x:f>COUNTIFS('Pair Results'!$A$2:$A$193,$A44,'Pair Results'!$B$2:$B$193,$B44,'Pair Results'!$C$2:$C$193,$C44,'Pair Results'!$J$2:$J$193,1)</x:f>
        <x:v>3</x:v>
      </x:c>
      <x:c r="G44" s="12" t="n">
        <x:f>COUNTIFS('Pair Results'!$A$2:$A$193,$A44,'Pair Results'!$B$2:$B$193,$B44,'Pair Results'!$C$2:$C$193,$C44,'Pair Results'!$Q$2:$Q$193,1)</x:f>
        <x:v>3</x:v>
      </x:c>
      <x:c r="H44" s="12" t="n">
        <x:f>COUNTIFS('Pair Results'!$A$2:$A$193,$A44,'Pair Results'!$B$2:$B$193,$B44,'Pair Results'!$C$2:$C$193,$C44,'Pair Results'!$Z$2:$Z$193,1)</x:f>
        <x:v>0</x:v>
      </x:c>
      <x:c r="I44" s="12" t="n">
        <x:f>SUMIFS('Pair Results'!$L$2:$L$193,'Pair Results'!$A$2:$A$193,$A44,'Pair Results'!$B$2:$B$193,$B44,'Pair Results'!$C$2:$C$193,$C44)</x:f>
        <x:v>0</x:v>
      </x:c>
      <x:c r="J44" s="90" t="n">
        <x:f>1000*AVERAGEIFS('Pair Results'!$N$2:$N$193,'Pair Results'!$A$2:$A$193,$A44,'Pair Results'!$B$2:$B$193,$B44,'Pair Results'!$C$2:$C$193,$C44)</x:f>
        <x:v>1.4723999580989282</x:v>
      </x:c>
      <x:c r="K44" s="90" t="n">
        <x:f>IFERROR(AVERAGEIFS('Pair Results'!$F$2:$F$193,'Pair Results'!$A$2:$A$193,$A44,'Pair Results'!$B$2:$B$193,$B44,'Pair Results'!$C$2:$C$193,$C44,'Pair Results'!$W$2:$W$193,1),"")</x:f>
        <x:v>27</x:v>
      </x:c>
      <x:c r="L44" s="90" t="n">
        <x:f>IFERROR(AVERAGEIFS('Pair Results'!$P$2:$P$193,'Pair Results'!$A$2:$A$193,$A44,'Pair Results'!$B$2:$B$193,$B44,'Pair Results'!$C$2:$C$193,$C44,'Pair Results'!$W$2:$W$193,1),"")</x:f>
        <x:v>26</x:v>
      </x:c>
      <x:c r="M44" s="90" t="n">
        <x:f>IF(OR(K44="",L44=""),"",L44-K44)</x:f>
        <x:v>-1</x:v>
      </x:c>
      <x:c r="N44" s="12" t="n">
        <x:f>COUNTIFS('Pair Results'!$A$2:$A$193,$A44,'Pair Results'!$B$2:$B$193,$B44,'Pair Results'!$C$2:$C$193,$C44,'Pair Results'!$Y$2:$Y$193,"repaired")</x:f>
        <x:v>2</x:v>
      </x:c>
      <x:c r="O44" s="12" t="n">
        <x:f>COUNTIFS('Pair Results'!$A$2:$A$193,$A44,'Pair Results'!$B$2:$B$193,$B44,'Pair Results'!$C$2:$C$193,$C44,'Pair Results'!$Y$2:$Y$193,"entropy")</x:f>
        <x:v>1</x:v>
      </x:c>
      <x:c r="P44" s="12" t="n">
        <x:f>COUNTIFS('Pair Results'!$A$2:$A$193,$A44,'Pair Results'!$B$2:$B$193,$B44,'Pair Results'!$C$2:$C$193,$C44,'Pair Results'!$Y$2:$Y$193,"tie")</x:f>
        <x:v>0</x:v>
      </x:c>
      <x:c r="Q44" s="12" t="n">
        <x:f>MAXIFS('Pair Results'!$L$2:$L$193,'Pair Results'!$A$2:$A$193,$A44,'Pair Results'!$B$2:$B$193,$B44,'Pair Results'!$C$2:$C$193,$C44)</x:f>
        <x:v>0</x:v>
      </x:c>
    </x:row>
    <x:row r="45">
      <x:c r="A45" s="10" t="str">
        <x:v>Zoomed Square</x:v>
      </x:c>
      <x:c r="B45" s="12" t="n">
        <x:v>100</x:v>
      </x:c>
      <x:c r="C45" s="14" t="n">
        <x:v>0.7</x:v>
      </x:c>
      <x:c r="D45" s="12" t="n">
        <x:f>COUNTIFS('Pair Results'!$A$2:$A$193,$A45,'Pair Results'!$B$2:$B$193,$B45,'Pair Results'!$C$2:$C$193,$C45)</x:f>
        <x:v>3</x:v>
      </x:c>
      <x:c r="E45" s="12" t="n">
        <x:f>COUNTIFS('Pair Results'!$A$2:$A$193,$A45,'Pair Results'!$B$2:$B$193,$B45,'Pair Results'!$C$2:$C$193,$C45,'Pair Results'!$G$2:$G$193,1)</x:f>
        <x:v>3</x:v>
      </x:c>
      <x:c r="F45" s="12" t="n">
        <x:f>COUNTIFS('Pair Results'!$A$2:$A$193,$A45,'Pair Results'!$B$2:$B$193,$B45,'Pair Results'!$C$2:$C$193,$C45,'Pair Results'!$J$2:$J$193,1)</x:f>
        <x:v>3</x:v>
      </x:c>
      <x:c r="G45" s="12" t="n">
        <x:f>COUNTIFS('Pair Results'!$A$2:$A$193,$A45,'Pair Results'!$B$2:$B$193,$B45,'Pair Results'!$C$2:$C$193,$C45,'Pair Results'!$Q$2:$Q$193,1)</x:f>
        <x:v>3</x:v>
      </x:c>
      <x:c r="H45" s="12" t="n">
        <x:f>COUNTIFS('Pair Results'!$A$2:$A$193,$A45,'Pair Results'!$B$2:$B$193,$B45,'Pair Results'!$C$2:$C$193,$C45,'Pair Results'!$Z$2:$Z$193,1)</x:f>
        <x:v>0</x:v>
      </x:c>
      <x:c r="I45" s="12" t="n">
        <x:f>SUMIFS('Pair Results'!$L$2:$L$193,'Pair Results'!$A$2:$A$193,$A45,'Pair Results'!$B$2:$B$193,$B45,'Pair Results'!$C$2:$C$193,$C45)</x:f>
        <x:v>0</x:v>
      </x:c>
      <x:c r="J45" s="90" t="n">
        <x:f>1000*AVERAGEIFS('Pair Results'!$N$2:$N$193,'Pair Results'!$A$2:$A$193,$A45,'Pair Results'!$B$2:$B$193,$B45,'Pair Results'!$C$2:$C$193,$C45)</x:f>
        <x:v>1.7950999705741804</x:v>
      </x:c>
      <x:c r="K45" s="90" t="n">
        <x:f>IFERROR(AVERAGEIFS('Pair Results'!$F$2:$F$193,'Pair Results'!$A$2:$A$193,$A45,'Pair Results'!$B$2:$B$193,$B45,'Pair Results'!$C$2:$C$193,$C45,'Pair Results'!$W$2:$W$193,1),"")</x:f>
        <x:v>37.666666666666664</x:v>
      </x:c>
      <x:c r="L45" s="90" t="n">
        <x:f>IFERROR(AVERAGEIFS('Pair Results'!$P$2:$P$193,'Pair Results'!$A$2:$A$193,$A45,'Pair Results'!$B$2:$B$193,$B45,'Pair Results'!$C$2:$C$193,$C45,'Pair Results'!$W$2:$W$193,1),"")</x:f>
        <x:v>36</x:v>
      </x:c>
      <x:c r="M45" s="90" t="n">
        <x:f>IF(OR(K45="",L45=""),"",L45-K45)</x:f>
        <x:v>-1.6666666666666643</x:v>
      </x:c>
      <x:c r="N45" s="12" t="n">
        <x:f>COUNTIFS('Pair Results'!$A$2:$A$193,$A45,'Pair Results'!$B$2:$B$193,$B45,'Pair Results'!$C$2:$C$193,$C45,'Pair Results'!$Y$2:$Y$193,"repaired")</x:f>
        <x:v>2</x:v>
      </x:c>
      <x:c r="O45" s="12" t="n">
        <x:f>COUNTIFS('Pair Results'!$A$2:$A$193,$A45,'Pair Results'!$B$2:$B$193,$B45,'Pair Results'!$C$2:$C$193,$C45,'Pair Results'!$Y$2:$Y$193,"entropy")</x:f>
        <x:v>0</x:v>
      </x:c>
      <x:c r="P45" s="12" t="n">
        <x:f>COUNTIFS('Pair Results'!$A$2:$A$193,$A45,'Pair Results'!$B$2:$B$193,$B45,'Pair Results'!$C$2:$C$193,$C45,'Pair Results'!$Y$2:$Y$193,"tie")</x:f>
        <x:v>1</x:v>
      </x:c>
      <x:c r="Q45" s="12" t="n">
        <x:f>MAXIFS('Pair Results'!$L$2:$L$193,'Pair Results'!$A$2:$A$193,$A45,'Pair Results'!$B$2:$B$193,$B45,'Pair Results'!$C$2:$C$193,$C45)</x:f>
        <x:v>0</x:v>
      </x:c>
    </x:row>
    <x:row r="46">
      <x:c r="A46" s="10" t="str">
        <x:v>Zoomed Square</x:v>
      </x:c>
      <x:c r="B46" s="12" t="n">
        <x:v>200</x:v>
      </x:c>
      <x:c r="C46" s="14" t="n">
        <x:v>0.1</x:v>
      </x:c>
      <x:c r="D46" s="12" t="n">
        <x:f>COUNTIFS('Pair Results'!$A$2:$A$193,$A46,'Pair Results'!$B$2:$B$193,$B46,'Pair Results'!$C$2:$C$193,$C46)</x:f>
        <x:v>3</x:v>
      </x:c>
      <x:c r="E46" s="12" t="n">
        <x:f>COUNTIFS('Pair Results'!$A$2:$A$193,$A46,'Pair Results'!$B$2:$B$193,$B46,'Pair Results'!$C$2:$C$193,$C46,'Pair Results'!$G$2:$G$193,1)</x:f>
        <x:v>3</x:v>
      </x:c>
      <x:c r="F46" s="12" t="n">
        <x:f>COUNTIFS('Pair Results'!$A$2:$A$193,$A46,'Pair Results'!$B$2:$B$193,$B46,'Pair Results'!$C$2:$C$193,$C46,'Pair Results'!$J$2:$J$193,1)</x:f>
        <x:v>3</x:v>
      </x:c>
      <x:c r="G46" s="12" t="n">
        <x:f>COUNTIFS('Pair Results'!$A$2:$A$193,$A46,'Pair Results'!$B$2:$B$193,$B46,'Pair Results'!$C$2:$C$193,$C46,'Pair Results'!$Q$2:$Q$193,1)</x:f>
        <x:v>3</x:v>
      </x:c>
      <x:c r="H46" s="12" t="n">
        <x:f>COUNTIFS('Pair Results'!$A$2:$A$193,$A46,'Pair Results'!$B$2:$B$193,$B46,'Pair Results'!$C$2:$C$193,$C46,'Pair Results'!$Z$2:$Z$193,1)</x:f>
        <x:v>0</x:v>
      </x:c>
      <x:c r="I46" s="12" t="n">
        <x:f>SUMIFS('Pair Results'!$L$2:$L$193,'Pair Results'!$A$2:$A$193,$A46,'Pair Results'!$B$2:$B$193,$B46,'Pair Results'!$C$2:$C$193,$C46)</x:f>
        <x:v>0</x:v>
      </x:c>
      <x:c r="J46" s="90" t="n">
        <x:f>1000*AVERAGEIFS('Pair Results'!$N$2:$N$193,'Pair Results'!$A$2:$A$193,$A46,'Pair Results'!$B$2:$B$193,$B46,'Pair Results'!$C$2:$C$193,$C46)</x:f>
        <x:v>4.334466687093179</x:v>
      </x:c>
      <x:c r="K46" s="90" t="n">
        <x:f>IFERROR(AVERAGEIFS('Pair Results'!$F$2:$F$193,'Pair Results'!$A$2:$A$193,$A46,'Pair Results'!$B$2:$B$193,$B46,'Pair Results'!$C$2:$C$193,$C46,'Pair Results'!$W$2:$W$193,1),"")</x:f>
        <x:v>40.666666666666664</x:v>
      </x:c>
      <x:c r="L46" s="90" t="n">
        <x:f>IFERROR(AVERAGEIFS('Pair Results'!$P$2:$P$193,'Pair Results'!$A$2:$A$193,$A46,'Pair Results'!$B$2:$B$193,$B46,'Pair Results'!$C$2:$C$193,$C46,'Pair Results'!$W$2:$W$193,1),"")</x:f>
        <x:v>40.666666666666664</x:v>
      </x:c>
      <x:c r="M46" s="90" t="n">
        <x:f>IF(OR(K46="",L46=""),"",L46-K46)</x:f>
        <x:v>0</x:v>
      </x:c>
      <x:c r="N46" s="12" t="n">
        <x:f>COUNTIFS('Pair Results'!$A$2:$A$193,$A46,'Pair Results'!$B$2:$B$193,$B46,'Pair Results'!$C$2:$C$193,$C46,'Pair Results'!$Y$2:$Y$193,"repaired")</x:f>
        <x:v>1</x:v>
      </x:c>
      <x:c r="O46" s="12" t="n">
        <x:f>COUNTIFS('Pair Results'!$A$2:$A$193,$A46,'Pair Results'!$B$2:$B$193,$B46,'Pair Results'!$C$2:$C$193,$C46,'Pair Results'!$Y$2:$Y$193,"entropy")</x:f>
        <x:v>1</x:v>
      </x:c>
      <x:c r="P46" s="12" t="n">
        <x:f>COUNTIFS('Pair Results'!$A$2:$A$193,$A46,'Pair Results'!$B$2:$B$193,$B46,'Pair Results'!$C$2:$C$193,$C46,'Pair Results'!$Y$2:$Y$193,"tie")</x:f>
        <x:v>1</x:v>
      </x:c>
      <x:c r="Q46" s="12" t="n">
        <x:f>MAXIFS('Pair Results'!$L$2:$L$193,'Pair Results'!$A$2:$A$193,$A46,'Pair Results'!$B$2:$B$193,$B46,'Pair Results'!$C$2:$C$193,$C46)</x:f>
        <x:v>0</x:v>
      </x:c>
    </x:row>
    <x:row r="47">
      <x:c r="A47" s="10" t="str">
        <x:v>Zoomed Square</x:v>
      </x:c>
      <x:c r="B47" s="12" t="n">
        <x:v>200</x:v>
      </x:c>
      <x:c r="C47" s="14" t="n">
        <x:v>0.3</x:v>
      </x:c>
      <x:c r="D47" s="12" t="n">
        <x:f>COUNTIFS('Pair Results'!$A$2:$A$193,$A47,'Pair Results'!$B$2:$B$193,$B47,'Pair Results'!$C$2:$C$193,$C47)</x:f>
        <x:v>3</x:v>
      </x:c>
      <x:c r="E47" s="12" t="n">
        <x:f>COUNTIFS('Pair Results'!$A$2:$A$193,$A47,'Pair Results'!$B$2:$B$193,$B47,'Pair Results'!$C$2:$C$193,$C47,'Pair Results'!$G$2:$G$193,1)</x:f>
        <x:v>3</x:v>
      </x:c>
      <x:c r="F47" s="12" t="n">
        <x:f>COUNTIFS('Pair Results'!$A$2:$A$193,$A47,'Pair Results'!$B$2:$B$193,$B47,'Pair Results'!$C$2:$C$193,$C47,'Pair Results'!$J$2:$J$193,1)</x:f>
        <x:v>3</x:v>
      </x:c>
      <x:c r="G47" s="12" t="n">
        <x:f>COUNTIFS('Pair Results'!$A$2:$A$193,$A47,'Pair Results'!$B$2:$B$193,$B47,'Pair Results'!$C$2:$C$193,$C47,'Pair Results'!$Q$2:$Q$193,1)</x:f>
        <x:v>3</x:v>
      </x:c>
      <x:c r="H47" s="12" t="n">
        <x:f>COUNTIFS('Pair Results'!$A$2:$A$193,$A47,'Pair Results'!$B$2:$B$193,$B47,'Pair Results'!$C$2:$C$193,$C47,'Pair Results'!$Z$2:$Z$193,1)</x:f>
        <x:v>0</x:v>
      </x:c>
      <x:c r="I47" s="12" t="n">
        <x:f>SUMIFS('Pair Results'!$L$2:$L$193,'Pair Results'!$A$2:$A$193,$A47,'Pair Results'!$B$2:$B$193,$B47,'Pair Results'!$C$2:$C$193,$C47)</x:f>
        <x:v>0</x:v>
      </x:c>
      <x:c r="J47" s="90" t="n">
        <x:f>1000*AVERAGEIFS('Pair Results'!$N$2:$N$193,'Pair Results'!$A$2:$A$193,$A47,'Pair Results'!$B$2:$B$193,$B47,'Pair Results'!$C$2:$C$193,$C47)</x:f>
        <x:v>4.89906664006412</x:v>
      </x:c>
      <x:c r="K47" s="90" t="n">
        <x:f>IFERROR(AVERAGEIFS('Pair Results'!$F$2:$F$193,'Pair Results'!$A$2:$A$193,$A47,'Pair Results'!$B$2:$B$193,$B47,'Pair Results'!$C$2:$C$193,$C47,'Pair Results'!$W$2:$W$193,1),"")</x:f>
        <x:v>32.333333333333336</x:v>
      </x:c>
      <x:c r="L47" s="90" t="n">
        <x:f>IFERROR(AVERAGEIFS('Pair Results'!$P$2:$P$193,'Pair Results'!$A$2:$A$193,$A47,'Pair Results'!$B$2:$B$193,$B47,'Pair Results'!$C$2:$C$193,$C47,'Pair Results'!$W$2:$W$193,1),"")</x:f>
        <x:v>30.333333333333332</x:v>
      </x:c>
      <x:c r="M47" s="90" t="n">
        <x:f>IF(OR(K47="",L47=""),"",L47-K47)</x:f>
        <x:v>-2.0000000000000036</x:v>
      </x:c>
      <x:c r="N47" s="12" t="n">
        <x:f>COUNTIFS('Pair Results'!$A$2:$A$193,$A47,'Pair Results'!$B$2:$B$193,$B47,'Pair Results'!$C$2:$C$193,$C47,'Pair Results'!$Y$2:$Y$193,"repaired")</x:f>
        <x:v>2</x:v>
      </x:c>
      <x:c r="O47" s="12" t="n">
        <x:f>COUNTIFS('Pair Results'!$A$2:$A$193,$A47,'Pair Results'!$B$2:$B$193,$B47,'Pair Results'!$C$2:$C$193,$C47,'Pair Results'!$Y$2:$Y$193,"entropy")</x:f>
        <x:v>0</x:v>
      </x:c>
      <x:c r="P47" s="12" t="n">
        <x:f>COUNTIFS('Pair Results'!$A$2:$A$193,$A47,'Pair Results'!$B$2:$B$193,$B47,'Pair Results'!$C$2:$C$193,$C47,'Pair Results'!$Y$2:$Y$193,"tie")</x:f>
        <x:v>1</x:v>
      </x:c>
      <x:c r="Q47" s="12" t="n">
        <x:f>MAXIFS('Pair Results'!$L$2:$L$193,'Pair Results'!$A$2:$A$193,$A47,'Pair Results'!$B$2:$B$193,$B47,'Pair Results'!$C$2:$C$193,$C47)</x:f>
        <x:v>0</x:v>
      </x:c>
    </x:row>
    <x:row r="48">
      <x:c r="A48" s="10" t="str">
        <x:v>Zoomed Square</x:v>
      </x:c>
      <x:c r="B48" s="12" t="n">
        <x:v>200</x:v>
      </x:c>
      <x:c r="C48" s="14" t="n">
        <x:v>0.5</x:v>
      </x:c>
      <x:c r="D48" s="12" t="n">
        <x:f>COUNTIFS('Pair Results'!$A$2:$A$193,$A48,'Pair Results'!$B$2:$B$193,$B48,'Pair Results'!$C$2:$C$193,$C48)</x:f>
        <x:v>3</x:v>
      </x:c>
      <x:c r="E48" s="12" t="n">
        <x:f>COUNTIFS('Pair Results'!$A$2:$A$193,$A48,'Pair Results'!$B$2:$B$193,$B48,'Pair Results'!$C$2:$C$193,$C48,'Pair Results'!$G$2:$G$193,1)</x:f>
        <x:v>3</x:v>
      </x:c>
      <x:c r="F48" s="12" t="n">
        <x:f>COUNTIFS('Pair Results'!$A$2:$A$193,$A48,'Pair Results'!$B$2:$B$193,$B48,'Pair Results'!$C$2:$C$193,$C48,'Pair Results'!$J$2:$J$193,1)</x:f>
        <x:v>3</x:v>
      </x:c>
      <x:c r="G48" s="12" t="n">
        <x:f>COUNTIFS('Pair Results'!$A$2:$A$193,$A48,'Pair Results'!$B$2:$B$193,$B48,'Pair Results'!$C$2:$C$193,$C48,'Pair Results'!$Q$2:$Q$193,1)</x:f>
        <x:v>3</x:v>
      </x:c>
      <x:c r="H48" s="12" t="n">
        <x:f>COUNTIFS('Pair Results'!$A$2:$A$193,$A48,'Pair Results'!$B$2:$B$193,$B48,'Pair Results'!$C$2:$C$193,$C48,'Pair Results'!$Z$2:$Z$193,1)</x:f>
        <x:v>0</x:v>
      </x:c>
      <x:c r="I48" s="12" t="n">
        <x:f>SUMIFS('Pair Results'!$L$2:$L$193,'Pair Results'!$A$2:$A$193,$A48,'Pair Results'!$B$2:$B$193,$B48,'Pair Results'!$C$2:$C$193,$C48)</x:f>
        <x:v>0</x:v>
      </x:c>
      <x:c r="J48" s="90" t="n">
        <x:f>1000*AVERAGEIFS('Pair Results'!$N$2:$N$193,'Pair Results'!$A$2:$A$193,$A48,'Pair Results'!$B$2:$B$193,$B48,'Pair Results'!$C$2:$C$193,$C48)</x:f>
        <x:v>5.985766688051323</x:v>
      </x:c>
      <x:c r="K48" s="90" t="n">
        <x:f>IFERROR(AVERAGEIFS('Pair Results'!$F$2:$F$193,'Pair Results'!$A$2:$A$193,$A48,'Pair Results'!$B$2:$B$193,$B48,'Pair Results'!$C$2:$C$193,$C48,'Pair Results'!$W$2:$W$193,1),"")</x:f>
        <x:v>45.666666666666664</x:v>
      </x:c>
      <x:c r="L48" s="90" t="n">
        <x:f>IFERROR(AVERAGEIFS('Pair Results'!$P$2:$P$193,'Pair Results'!$A$2:$A$193,$A48,'Pair Results'!$B$2:$B$193,$B48,'Pair Results'!$C$2:$C$193,$C48,'Pair Results'!$W$2:$W$193,1),"")</x:f>
        <x:v>43</x:v>
      </x:c>
      <x:c r="M48" s="90" t="n">
        <x:f>IF(OR(K48="",L48=""),"",L48-K48)</x:f>
        <x:v>-2.6666666666666643</x:v>
      </x:c>
      <x:c r="N48" s="12" t="n">
        <x:f>COUNTIFS('Pair Results'!$A$2:$A$193,$A48,'Pair Results'!$B$2:$B$193,$B48,'Pair Results'!$C$2:$C$193,$C48,'Pair Results'!$Y$2:$Y$193,"repaired")</x:f>
        <x:v>3</x:v>
      </x:c>
      <x:c r="O48" s="12" t="n">
        <x:f>COUNTIFS('Pair Results'!$A$2:$A$193,$A48,'Pair Results'!$B$2:$B$193,$B48,'Pair Results'!$C$2:$C$193,$C48,'Pair Results'!$Y$2:$Y$193,"entropy")</x:f>
        <x:v>0</x:v>
      </x:c>
      <x:c r="P48" s="12" t="n">
        <x:f>COUNTIFS('Pair Results'!$A$2:$A$193,$A48,'Pair Results'!$B$2:$B$193,$B48,'Pair Results'!$C$2:$C$193,$C48,'Pair Results'!$Y$2:$Y$193,"tie")</x:f>
        <x:v>0</x:v>
      </x:c>
      <x:c r="Q48" s="12" t="n">
        <x:f>MAXIFS('Pair Results'!$L$2:$L$193,'Pair Results'!$A$2:$A$193,$A48,'Pair Results'!$B$2:$B$193,$B48,'Pair Results'!$C$2:$C$193,$C48)</x:f>
        <x:v>0</x:v>
      </x:c>
    </x:row>
    <x:row r="49">
      <x:c r="A49" s="10" t="str">
        <x:v>Zoomed Square</x:v>
      </x:c>
      <x:c r="B49" s="12" t="n">
        <x:v>200</x:v>
      </x:c>
      <x:c r="C49" s="14" t="n">
        <x:v>0.7</x:v>
      </x:c>
      <x:c r="D49" s="12" t="n">
        <x:f>COUNTIFS('Pair Results'!$A$2:$A$193,$A49,'Pair Results'!$B$2:$B$193,$B49,'Pair Results'!$C$2:$C$193,$C49)</x:f>
        <x:v>3</x:v>
      </x:c>
      <x:c r="E49" s="12" t="n">
        <x:f>COUNTIFS('Pair Results'!$A$2:$A$193,$A49,'Pair Results'!$B$2:$B$193,$B49,'Pair Results'!$C$2:$C$193,$C49,'Pair Results'!$G$2:$G$193,1)</x:f>
        <x:v>3</x:v>
      </x:c>
      <x:c r="F49" s="12" t="n">
        <x:f>COUNTIFS('Pair Results'!$A$2:$A$193,$A49,'Pair Results'!$B$2:$B$193,$B49,'Pair Results'!$C$2:$C$193,$C49,'Pair Results'!$J$2:$J$193,1)</x:f>
        <x:v>3</x:v>
      </x:c>
      <x:c r="G49" s="12" t="n">
        <x:f>COUNTIFS('Pair Results'!$A$2:$A$193,$A49,'Pair Results'!$B$2:$B$193,$B49,'Pair Results'!$C$2:$C$193,$C49,'Pair Results'!$Q$2:$Q$193,1)</x:f>
        <x:v>3</x:v>
      </x:c>
      <x:c r="H49" s="12" t="n">
        <x:f>COUNTIFS('Pair Results'!$A$2:$A$193,$A49,'Pair Results'!$B$2:$B$193,$B49,'Pair Results'!$C$2:$C$193,$C49,'Pair Results'!$Z$2:$Z$193,1)</x:f>
        <x:v>0</x:v>
      </x:c>
      <x:c r="I49" s="12" t="n">
        <x:f>SUMIFS('Pair Results'!$L$2:$L$193,'Pair Results'!$A$2:$A$193,$A49,'Pair Results'!$B$2:$B$193,$B49,'Pair Results'!$C$2:$C$193,$C49)</x:f>
        <x:v>0</x:v>
      </x:c>
      <x:c r="J49" s="90" t="n">
        <x:f>1000*AVERAGEIFS('Pair Results'!$N$2:$N$193,'Pair Results'!$A$2:$A$193,$A49,'Pair Results'!$B$2:$B$193,$B49,'Pair Results'!$C$2:$C$193,$C49)</x:f>
        <x:v>6.252866704016924</x:v>
      </x:c>
      <x:c r="K49" s="90" t="n">
        <x:f>IFERROR(AVERAGEIFS('Pair Results'!$F$2:$F$193,'Pair Results'!$A$2:$A$193,$A49,'Pair Results'!$B$2:$B$193,$B49,'Pair Results'!$C$2:$C$193,$C49,'Pair Results'!$W$2:$W$193,1),"")</x:f>
        <x:v>65.33333333333333</x:v>
      </x:c>
      <x:c r="L49" s="90" t="n">
        <x:f>IFERROR(AVERAGEIFS('Pair Results'!$P$2:$P$193,'Pair Results'!$A$2:$A$193,$A49,'Pair Results'!$B$2:$B$193,$B49,'Pair Results'!$C$2:$C$193,$C49,'Pair Results'!$W$2:$W$193,1),"")</x:f>
        <x:v>63</x:v>
      </x:c>
      <x:c r="M49" s="90" t="n">
        <x:f>IF(OR(K49="",L49=""),"",L49-K49)</x:f>
        <x:v>-2.3333333333333286</x:v>
      </x:c>
      <x:c r="N49" s="12" t="n">
        <x:f>COUNTIFS('Pair Results'!$A$2:$A$193,$A49,'Pair Results'!$B$2:$B$193,$B49,'Pair Results'!$C$2:$C$193,$C49,'Pair Results'!$Y$2:$Y$193,"repaired")</x:f>
        <x:v>3</x:v>
      </x:c>
      <x:c r="O49" s="12" t="n">
        <x:f>COUNTIFS('Pair Results'!$A$2:$A$193,$A49,'Pair Results'!$B$2:$B$193,$B49,'Pair Results'!$C$2:$C$193,$C49,'Pair Results'!$Y$2:$Y$193,"entropy")</x:f>
        <x:v>0</x:v>
      </x:c>
      <x:c r="P49" s="12" t="n">
        <x:f>COUNTIFS('Pair Results'!$A$2:$A$193,$A49,'Pair Results'!$B$2:$B$193,$B49,'Pair Results'!$C$2:$C$193,$C49,'Pair Results'!$Y$2:$Y$193,"tie")</x:f>
        <x:v>0</x:v>
      </x:c>
      <x:c r="Q49" s="12" t="n">
        <x:f>MAXIFS('Pair Results'!$L$2:$L$193,'Pair Results'!$A$2:$A$193,$A49,'Pair Results'!$B$2:$B$193,$B49,'Pair Results'!$C$2:$C$193,$C49)</x:f>
        <x:v>0</x:v>
      </x:c>
    </x:row>
    <x:row r="50">
      <x:c r="A50" s="10" t="str">
        <x:v>Zoomed Square</x:v>
      </x:c>
      <x:c r="B50" s="12" t="n">
        <x:v>500</x:v>
      </x:c>
      <x:c r="C50" s="14" t="n">
        <x:v>0.1</x:v>
      </x:c>
      <x:c r="D50" s="12" t="n">
        <x:f>COUNTIFS('Pair Results'!$A$2:$A$193,$A50,'Pair Results'!$B$2:$B$193,$B50,'Pair Results'!$C$2:$C$193,$C50)</x:f>
        <x:v>3</x:v>
      </x:c>
      <x:c r="E50" s="12" t="n">
        <x:f>COUNTIFS('Pair Results'!$A$2:$A$193,$A50,'Pair Results'!$B$2:$B$193,$B50,'Pair Results'!$C$2:$C$193,$C50,'Pair Results'!$G$2:$G$193,1)</x:f>
        <x:v>3</x:v>
      </x:c>
      <x:c r="F50" s="12" t="n">
        <x:f>COUNTIFS('Pair Results'!$A$2:$A$193,$A50,'Pair Results'!$B$2:$B$193,$B50,'Pair Results'!$C$2:$C$193,$C50,'Pair Results'!$J$2:$J$193,1)</x:f>
        <x:v>3</x:v>
      </x:c>
      <x:c r="G50" s="12" t="n">
        <x:f>COUNTIFS('Pair Results'!$A$2:$A$193,$A50,'Pair Results'!$B$2:$B$193,$B50,'Pair Results'!$C$2:$C$193,$C50,'Pair Results'!$Q$2:$Q$193,1)</x:f>
        <x:v>3</x:v>
      </x:c>
      <x:c r="H50" s="12" t="n">
        <x:f>COUNTIFS('Pair Results'!$A$2:$A$193,$A50,'Pair Results'!$B$2:$B$193,$B50,'Pair Results'!$C$2:$C$193,$C50,'Pair Results'!$Z$2:$Z$193,1)</x:f>
        <x:v>0</x:v>
      </x:c>
      <x:c r="I50" s="12" t="n">
        <x:f>SUMIFS('Pair Results'!$L$2:$L$193,'Pair Results'!$A$2:$A$193,$A50,'Pair Results'!$B$2:$B$193,$B50,'Pair Results'!$C$2:$C$193,$C50)</x:f>
        <x:v>0</x:v>
      </x:c>
      <x:c r="J50" s="90" t="n">
        <x:f>1000*AVERAGEIFS('Pair Results'!$N$2:$N$193,'Pair Results'!$A$2:$A$193,$A50,'Pair Results'!$B$2:$B$193,$B50,'Pair Results'!$C$2:$C$193,$C50)</x:f>
        <x:v>19.36633329993735</x:v>
      </x:c>
      <x:c r="K50" s="90" t="n">
        <x:f>IFERROR(AVERAGEIFS('Pair Results'!$F$2:$F$193,'Pair Results'!$A$2:$A$193,$A50,'Pair Results'!$B$2:$B$193,$B50,'Pair Results'!$C$2:$C$193,$C50,'Pair Results'!$W$2:$W$193,1),"")</x:f>
        <x:v>57.333333333333336</x:v>
      </x:c>
      <x:c r="L50" s="90" t="n">
        <x:f>IFERROR(AVERAGEIFS('Pair Results'!$P$2:$P$193,'Pair Results'!$A$2:$A$193,$A50,'Pair Results'!$B$2:$B$193,$B50,'Pair Results'!$C$2:$C$193,$C50,'Pair Results'!$W$2:$W$193,1),"")</x:f>
        <x:v>56.333333333333336</x:v>
      </x:c>
      <x:c r="M50" s="90" t="n">
        <x:f>IF(OR(K50="",L50=""),"",L50-K50)</x:f>
        <x:v>-1</x:v>
      </x:c>
      <x:c r="N50" s="12" t="n">
        <x:f>COUNTIFS('Pair Results'!$A$2:$A$193,$A50,'Pair Results'!$B$2:$B$193,$B50,'Pair Results'!$C$2:$C$193,$C50,'Pair Results'!$Y$2:$Y$193,"repaired")</x:f>
        <x:v>2</x:v>
      </x:c>
      <x:c r="O50" s="12" t="n">
        <x:f>COUNTIFS('Pair Results'!$A$2:$A$193,$A50,'Pair Results'!$B$2:$B$193,$B50,'Pair Results'!$C$2:$C$193,$C50,'Pair Results'!$Y$2:$Y$193,"entropy")</x:f>
        <x:v>1</x:v>
      </x:c>
      <x:c r="P50" s="12" t="n">
        <x:f>COUNTIFS('Pair Results'!$A$2:$A$193,$A50,'Pair Results'!$B$2:$B$193,$B50,'Pair Results'!$C$2:$C$193,$C50,'Pair Results'!$Y$2:$Y$193,"tie")</x:f>
        <x:v>0</x:v>
      </x:c>
      <x:c r="Q50" s="12" t="n">
        <x:f>MAXIFS('Pair Results'!$L$2:$L$193,'Pair Results'!$A$2:$A$193,$A50,'Pair Results'!$B$2:$B$193,$B50,'Pair Results'!$C$2:$C$193,$C50)</x:f>
        <x:v>0</x:v>
      </x:c>
    </x:row>
    <x:row r="51">
      <x:c r="A51" s="10" t="str">
        <x:v>Zoomed Square</x:v>
      </x:c>
      <x:c r="B51" s="12" t="n">
        <x:v>500</x:v>
      </x:c>
      <x:c r="C51" s="14" t="n">
        <x:v>0.3</x:v>
      </x:c>
      <x:c r="D51" s="12" t="n">
        <x:f>COUNTIFS('Pair Results'!$A$2:$A$193,$A51,'Pair Results'!$B$2:$B$193,$B51,'Pair Results'!$C$2:$C$193,$C51)</x:f>
        <x:v>3</x:v>
      </x:c>
      <x:c r="E51" s="12" t="n">
        <x:f>COUNTIFS('Pair Results'!$A$2:$A$193,$A51,'Pair Results'!$B$2:$B$193,$B51,'Pair Results'!$C$2:$C$193,$C51,'Pair Results'!$G$2:$G$193,1)</x:f>
        <x:v>3</x:v>
      </x:c>
      <x:c r="F51" s="12" t="n">
        <x:f>COUNTIFS('Pair Results'!$A$2:$A$193,$A51,'Pair Results'!$B$2:$B$193,$B51,'Pair Results'!$C$2:$C$193,$C51,'Pair Results'!$J$2:$J$193,1)</x:f>
        <x:v>3</x:v>
      </x:c>
      <x:c r="G51" s="12" t="n">
        <x:f>COUNTIFS('Pair Results'!$A$2:$A$193,$A51,'Pair Results'!$B$2:$B$193,$B51,'Pair Results'!$C$2:$C$193,$C51,'Pair Results'!$Q$2:$Q$193,1)</x:f>
        <x:v>3</x:v>
      </x:c>
      <x:c r="H51" s="12" t="n">
        <x:f>COUNTIFS('Pair Results'!$A$2:$A$193,$A51,'Pair Results'!$B$2:$B$193,$B51,'Pair Results'!$C$2:$C$193,$C51,'Pair Results'!$Z$2:$Z$193,1)</x:f>
        <x:v>0</x:v>
      </x:c>
      <x:c r="I51" s="12" t="n">
        <x:f>SUMIFS('Pair Results'!$L$2:$L$193,'Pair Results'!$A$2:$A$193,$A51,'Pair Results'!$B$2:$B$193,$B51,'Pair Results'!$C$2:$C$193,$C51)</x:f>
        <x:v>0</x:v>
      </x:c>
      <x:c r="J51" s="90" t="n">
        <x:f>1000*AVERAGEIFS('Pair Results'!$N$2:$N$193,'Pair Results'!$A$2:$A$193,$A51,'Pair Results'!$B$2:$B$193,$B51,'Pair Results'!$C$2:$C$193,$C51)</x:f>
        <x:v>22.21993333660066</x:v>
      </x:c>
      <x:c r="K51" s="90" t="n">
        <x:f>IFERROR(AVERAGEIFS('Pair Results'!$F$2:$F$193,'Pair Results'!$A$2:$A$193,$A51,'Pair Results'!$B$2:$B$193,$B51,'Pair Results'!$C$2:$C$193,$C51,'Pair Results'!$W$2:$W$193,1),"")</x:f>
        <x:v>62.333333333333336</x:v>
      </x:c>
      <x:c r="L51" s="90" t="n">
        <x:f>IFERROR(AVERAGEIFS('Pair Results'!$P$2:$P$193,'Pair Results'!$A$2:$A$193,$A51,'Pair Results'!$B$2:$B$193,$B51,'Pair Results'!$C$2:$C$193,$C51,'Pair Results'!$W$2:$W$193,1),"")</x:f>
        <x:v>61.333333333333336</x:v>
      </x:c>
      <x:c r="M51" s="90" t="n">
        <x:f>IF(OR(K51="",L51=""),"",L51-K51)</x:f>
        <x:v>-1</x:v>
      </x:c>
      <x:c r="N51" s="12" t="n">
        <x:f>COUNTIFS('Pair Results'!$A$2:$A$193,$A51,'Pair Results'!$B$2:$B$193,$B51,'Pair Results'!$C$2:$C$193,$C51,'Pair Results'!$Y$2:$Y$193,"repaired")</x:f>
        <x:v>2</x:v>
      </x:c>
      <x:c r="O51" s="12" t="n">
        <x:f>COUNTIFS('Pair Results'!$A$2:$A$193,$A51,'Pair Results'!$B$2:$B$193,$B51,'Pair Results'!$C$2:$C$193,$C51,'Pair Results'!$Y$2:$Y$193,"entropy")</x:f>
        <x:v>1</x:v>
      </x:c>
      <x:c r="P51" s="12" t="n">
        <x:f>COUNTIFS('Pair Results'!$A$2:$A$193,$A51,'Pair Results'!$B$2:$B$193,$B51,'Pair Results'!$C$2:$C$193,$C51,'Pair Results'!$Y$2:$Y$193,"tie")</x:f>
        <x:v>0</x:v>
      </x:c>
      <x:c r="Q51" s="12" t="n">
        <x:f>MAXIFS('Pair Results'!$L$2:$L$193,'Pair Results'!$A$2:$A$193,$A51,'Pair Results'!$B$2:$B$193,$B51,'Pair Results'!$C$2:$C$193,$C51)</x:f>
        <x:v>0</x:v>
      </x:c>
    </x:row>
    <x:row r="52">
      <x:c r="A52" s="10" t="str">
        <x:v>Zoomed Square</x:v>
      </x:c>
      <x:c r="B52" s="12" t="n">
        <x:v>500</x:v>
      </x:c>
      <x:c r="C52" s="14" t="n">
        <x:v>0.5</x:v>
      </x:c>
      <x:c r="D52" s="12" t="n">
        <x:f>COUNTIFS('Pair Results'!$A$2:$A$193,$A52,'Pair Results'!$B$2:$B$193,$B52,'Pair Results'!$C$2:$C$193,$C52)</x:f>
        <x:v>3</x:v>
      </x:c>
      <x:c r="E52" s="12" t="n">
        <x:f>COUNTIFS('Pair Results'!$A$2:$A$193,$A52,'Pair Results'!$B$2:$B$193,$B52,'Pair Results'!$C$2:$C$193,$C52,'Pair Results'!$G$2:$G$193,1)</x:f>
        <x:v>3</x:v>
      </x:c>
      <x:c r="F52" s="12" t="n">
        <x:f>COUNTIFS('Pair Results'!$A$2:$A$193,$A52,'Pair Results'!$B$2:$B$193,$B52,'Pair Results'!$C$2:$C$193,$C52,'Pair Results'!$J$2:$J$193,1)</x:f>
        <x:v>3</x:v>
      </x:c>
      <x:c r="G52" s="12" t="n">
        <x:f>COUNTIFS('Pair Results'!$A$2:$A$193,$A52,'Pair Results'!$B$2:$B$193,$B52,'Pair Results'!$C$2:$C$193,$C52,'Pair Results'!$Q$2:$Q$193,1)</x:f>
        <x:v>3</x:v>
      </x:c>
      <x:c r="H52" s="12" t="n">
        <x:f>COUNTIFS('Pair Results'!$A$2:$A$193,$A52,'Pair Results'!$B$2:$B$193,$B52,'Pair Results'!$C$2:$C$193,$C52,'Pair Results'!$Z$2:$Z$193,1)</x:f>
        <x:v>0</x:v>
      </x:c>
      <x:c r="I52" s="12" t="n">
        <x:f>SUMIFS('Pair Results'!$L$2:$L$193,'Pair Results'!$A$2:$A$193,$A52,'Pair Results'!$B$2:$B$193,$B52,'Pair Results'!$C$2:$C$193,$C52)</x:f>
        <x:v>0</x:v>
      </x:c>
      <x:c r="J52" s="90" t="n">
        <x:f>1000*AVERAGEIFS('Pair Results'!$N$2:$N$193,'Pair Results'!$A$2:$A$193,$A52,'Pair Results'!$B$2:$B$193,$B52,'Pair Results'!$C$2:$C$193,$C52)</x:f>
        <x:v>25.21649996439616</x:v>
      </x:c>
      <x:c r="K52" s="90" t="n">
        <x:f>IFERROR(AVERAGEIFS('Pair Results'!$F$2:$F$193,'Pair Results'!$A$2:$A$193,$A52,'Pair Results'!$B$2:$B$193,$B52,'Pair Results'!$C$2:$C$193,$C52,'Pair Results'!$W$2:$W$193,1),"")</x:f>
        <x:v>87.33333333333333</x:v>
      </x:c>
      <x:c r="L52" s="90" t="n">
        <x:f>IFERROR(AVERAGEIFS('Pair Results'!$P$2:$P$193,'Pair Results'!$A$2:$A$193,$A52,'Pair Results'!$B$2:$B$193,$B52,'Pair Results'!$C$2:$C$193,$C52,'Pair Results'!$W$2:$W$193,1),"")</x:f>
        <x:v>89</x:v>
      </x:c>
      <x:c r="M52" s="90" t="n">
        <x:f>IF(OR(K52="",L52=""),"",L52-K52)</x:f>
        <x:v>1.6666666666666714</x:v>
      </x:c>
      <x:c r="N52" s="12" t="n">
        <x:f>COUNTIFS('Pair Results'!$A$2:$A$193,$A52,'Pair Results'!$B$2:$B$193,$B52,'Pair Results'!$C$2:$C$193,$C52,'Pair Results'!$Y$2:$Y$193,"repaired")</x:f>
        <x:v>0</x:v>
      </x:c>
      <x:c r="O52" s="12" t="n">
        <x:f>COUNTIFS('Pair Results'!$A$2:$A$193,$A52,'Pair Results'!$B$2:$B$193,$B52,'Pair Results'!$C$2:$C$193,$C52,'Pair Results'!$Y$2:$Y$193,"entropy")</x:f>
        <x:v>2</x:v>
      </x:c>
      <x:c r="P52" s="12" t="n">
        <x:f>COUNTIFS('Pair Results'!$A$2:$A$193,$A52,'Pair Results'!$B$2:$B$193,$B52,'Pair Results'!$C$2:$C$193,$C52,'Pair Results'!$Y$2:$Y$193,"tie")</x:f>
        <x:v>1</x:v>
      </x:c>
      <x:c r="Q52" s="12" t="n">
        <x:f>MAXIFS('Pair Results'!$L$2:$L$193,'Pair Results'!$A$2:$A$193,$A52,'Pair Results'!$B$2:$B$193,$B52,'Pair Results'!$C$2:$C$193,$C52)</x:f>
        <x:v>0</x:v>
      </x:c>
    </x:row>
    <x:row r="53">
      <x:c r="A53" s="10" t="str">
        <x:v>Zoomed Square</x:v>
      </x:c>
      <x:c r="B53" s="12" t="n">
        <x:v>500</x:v>
      </x:c>
      <x:c r="C53" s="14" t="n">
        <x:v>0.7</x:v>
      </x:c>
      <x:c r="D53" s="12" t="n">
        <x:f>COUNTIFS('Pair Results'!$A$2:$A$193,$A53,'Pair Results'!$B$2:$B$193,$B53,'Pair Results'!$C$2:$C$193,$C53)</x:f>
        <x:v>3</x:v>
      </x:c>
      <x:c r="E53" s="12" t="n">
        <x:f>COUNTIFS('Pair Results'!$A$2:$A$193,$A53,'Pair Results'!$B$2:$B$193,$B53,'Pair Results'!$C$2:$C$193,$C53,'Pair Results'!$G$2:$G$193,1)</x:f>
        <x:v>3</x:v>
      </x:c>
      <x:c r="F53" s="12" t="n">
        <x:f>COUNTIFS('Pair Results'!$A$2:$A$193,$A53,'Pair Results'!$B$2:$B$193,$B53,'Pair Results'!$C$2:$C$193,$C53,'Pair Results'!$J$2:$J$193,1)</x:f>
        <x:v>2</x:v>
      </x:c>
      <x:c r="G53" s="12" t="n">
        <x:f>COUNTIFS('Pair Results'!$A$2:$A$193,$A53,'Pair Results'!$B$2:$B$193,$B53,'Pair Results'!$C$2:$C$193,$C53,'Pair Results'!$Q$2:$Q$193,1)</x:f>
        <x:v>3</x:v>
      </x:c>
      <x:c r="H53" s="12" t="n">
        <x:f>COUNTIFS('Pair Results'!$A$2:$A$193,$A53,'Pair Results'!$B$2:$B$193,$B53,'Pair Results'!$C$2:$C$193,$C53,'Pair Results'!$Z$2:$Z$193,1)</x:f>
        <x:v>1</x:v>
      </x:c>
      <x:c r="I53" s="12" t="n">
        <x:f>SUMIFS('Pair Results'!$L$2:$L$193,'Pair Results'!$A$2:$A$193,$A53,'Pair Results'!$B$2:$B$193,$B53,'Pair Results'!$C$2:$C$193,$C53)</x:f>
        <x:v>1</x:v>
      </x:c>
      <x:c r="J53" s="90" t="n">
        <x:f>1000*AVERAGEIFS('Pair Results'!$N$2:$N$193,'Pair Results'!$A$2:$A$193,$A53,'Pair Results'!$B$2:$B$193,$B53,'Pair Results'!$C$2:$C$193,$C53)</x:f>
        <x:v>368.60173331418383</x:v>
      </x:c>
      <x:c r="K53" s="90" t="n">
        <x:f>IFERROR(AVERAGEIFS('Pair Results'!$F$2:$F$193,'Pair Results'!$A$2:$A$193,$A53,'Pair Results'!$B$2:$B$193,$B53,'Pair Results'!$C$2:$C$193,$C53,'Pair Results'!$W$2:$W$193,1),"")</x:f>
        <x:v>127.66666666666667</x:v>
      </x:c>
      <x:c r="L53" s="90" t="n">
        <x:f>IFERROR(AVERAGEIFS('Pair Results'!$P$2:$P$193,'Pair Results'!$A$2:$A$193,$A53,'Pair Results'!$B$2:$B$193,$B53,'Pair Results'!$C$2:$C$193,$C53,'Pair Results'!$W$2:$W$193,1),"")</x:f>
        <x:v>109</x:v>
      </x:c>
      <x:c r="M53" s="90" t="n">
        <x:f>IF(OR(K53="",L53=""),"",L53-K53)</x:f>
        <x:v>-18.66666666666667</x:v>
      </x:c>
      <x:c r="N53" s="12" t="n">
        <x:f>COUNTIFS('Pair Results'!$A$2:$A$193,$A53,'Pair Results'!$B$2:$B$193,$B53,'Pair Results'!$C$2:$C$193,$C53,'Pair Results'!$Y$2:$Y$193,"repaired")</x:f>
        <x:v>3</x:v>
      </x:c>
      <x:c r="O53" s="12" t="n">
        <x:f>COUNTIFS('Pair Results'!$A$2:$A$193,$A53,'Pair Results'!$B$2:$B$193,$B53,'Pair Results'!$C$2:$C$193,$C53,'Pair Results'!$Y$2:$Y$193,"entropy")</x:f>
        <x:v>0</x:v>
      </x:c>
      <x:c r="P53" s="12" t="n">
        <x:f>COUNTIFS('Pair Results'!$A$2:$A$193,$A53,'Pair Results'!$B$2:$B$193,$B53,'Pair Results'!$C$2:$C$193,$C53,'Pair Results'!$Y$2:$Y$193,"tie")</x:f>
        <x:v>0</x:v>
      </x:c>
      <x:c r="Q53" s="12" t="n">
        <x:f>MAXIFS('Pair Results'!$L$2:$L$193,'Pair Results'!$A$2:$A$193,$A53,'Pair Results'!$B$2:$B$193,$B53,'Pair Results'!$C$2:$C$193,$C53)</x:f>
        <x:v>1</x:v>
      </x:c>
    </x:row>
    <x:row r="54">
      <x:c r="A54" s="10" t="str">
        <x:v>ICH</x:v>
      </x:c>
      <x:c r="B54" s="12" t="n">
        <x:v>50</x:v>
      </x:c>
      <x:c r="C54" s="14" t="n">
        <x:v>0.1</x:v>
      </x:c>
      <x:c r="D54" s="12" t="n">
        <x:f>COUNTIFS('Pair Results'!$A$2:$A$193,$A54,'Pair Results'!$B$2:$B$193,$B54,'Pair Results'!$C$2:$C$193,$C54)</x:f>
        <x:v>3</x:v>
      </x:c>
      <x:c r="E54" s="12" t="n">
        <x:f>COUNTIFS('Pair Results'!$A$2:$A$193,$A54,'Pair Results'!$B$2:$B$193,$B54,'Pair Results'!$C$2:$C$193,$C54,'Pair Results'!$G$2:$G$193,1)</x:f>
        <x:v>3</x:v>
      </x:c>
      <x:c r="F54" s="12" t="n">
        <x:f>COUNTIFS('Pair Results'!$A$2:$A$193,$A54,'Pair Results'!$B$2:$B$193,$B54,'Pair Results'!$C$2:$C$193,$C54,'Pair Results'!$J$2:$J$193,1)</x:f>
        <x:v>3</x:v>
      </x:c>
      <x:c r="G54" s="12" t="n">
        <x:f>COUNTIFS('Pair Results'!$A$2:$A$193,$A54,'Pair Results'!$B$2:$B$193,$B54,'Pair Results'!$C$2:$C$193,$C54,'Pair Results'!$Q$2:$Q$193,1)</x:f>
        <x:v>3</x:v>
      </x:c>
      <x:c r="H54" s="12" t="n">
        <x:f>COUNTIFS('Pair Results'!$A$2:$A$193,$A54,'Pair Results'!$B$2:$B$193,$B54,'Pair Results'!$C$2:$C$193,$C54,'Pair Results'!$Z$2:$Z$193,1)</x:f>
        <x:v>0</x:v>
      </x:c>
      <x:c r="I54" s="12" t="n">
        <x:f>SUMIFS('Pair Results'!$L$2:$L$193,'Pair Results'!$A$2:$A$193,$A54,'Pair Results'!$B$2:$B$193,$B54,'Pair Results'!$C$2:$C$193,$C54)</x:f>
        <x:v>0</x:v>
      </x:c>
      <x:c r="J54" s="90" t="n">
        <x:f>1000*AVERAGEIFS('Pair Results'!$N$2:$N$193,'Pair Results'!$A$2:$A$193,$A54,'Pair Results'!$B$2:$B$193,$B54,'Pair Results'!$C$2:$C$193,$C54)</x:f>
        <x:v>0.6432666753729185</x:v>
      </x:c>
      <x:c r="K54" s="90" t="n">
        <x:f>IFERROR(AVERAGEIFS('Pair Results'!$F$2:$F$193,'Pair Results'!$A$2:$A$193,$A54,'Pair Results'!$B$2:$B$193,$B54,'Pair Results'!$C$2:$C$193,$C54,'Pair Results'!$W$2:$W$193,1),"")</x:f>
        <x:v>28.333333333333332</x:v>
      </x:c>
      <x:c r="L54" s="90" t="n">
        <x:f>IFERROR(AVERAGEIFS('Pair Results'!$P$2:$P$193,'Pair Results'!$A$2:$A$193,$A54,'Pair Results'!$B$2:$B$193,$B54,'Pair Results'!$C$2:$C$193,$C54,'Pair Results'!$W$2:$W$193,1),"")</x:f>
        <x:v>28.333333333333332</x:v>
      </x:c>
      <x:c r="M54" s="90" t="n">
        <x:f>IF(OR(K54="",L54=""),"",L54-K54)</x:f>
        <x:v>0</x:v>
      </x:c>
      <x:c r="N54" s="12" t="n">
        <x:f>COUNTIFS('Pair Results'!$A$2:$A$193,$A54,'Pair Results'!$B$2:$B$193,$B54,'Pair Results'!$C$2:$C$193,$C54,'Pair Results'!$Y$2:$Y$193,"repaired")</x:f>
        <x:v>0</x:v>
      </x:c>
      <x:c r="O54" s="12" t="n">
        <x:f>COUNTIFS('Pair Results'!$A$2:$A$193,$A54,'Pair Results'!$B$2:$B$193,$B54,'Pair Results'!$C$2:$C$193,$C54,'Pair Results'!$Y$2:$Y$193,"entropy")</x:f>
        <x:v>0</x:v>
      </x:c>
      <x:c r="P54" s="12" t="n">
        <x:f>COUNTIFS('Pair Results'!$A$2:$A$193,$A54,'Pair Results'!$B$2:$B$193,$B54,'Pair Results'!$C$2:$C$193,$C54,'Pair Results'!$Y$2:$Y$193,"tie")</x:f>
        <x:v>3</x:v>
      </x:c>
      <x:c r="Q54" s="12" t="n">
        <x:f>MAXIFS('Pair Results'!$L$2:$L$193,'Pair Results'!$A$2:$A$193,$A54,'Pair Results'!$B$2:$B$193,$B54,'Pair Results'!$C$2:$C$193,$C54)</x:f>
        <x:v>0</x:v>
      </x:c>
    </x:row>
    <x:row r="55">
      <x:c r="A55" s="10" t="str">
        <x:v>ICH</x:v>
      </x:c>
      <x:c r="B55" s="12" t="n">
        <x:v>50</x:v>
      </x:c>
      <x:c r="C55" s="14" t="n">
        <x:v>0.3</x:v>
      </x:c>
      <x:c r="D55" s="12" t="n">
        <x:f>COUNTIFS('Pair Results'!$A$2:$A$193,$A55,'Pair Results'!$B$2:$B$193,$B55,'Pair Results'!$C$2:$C$193,$C55)</x:f>
        <x:v>3</x:v>
      </x:c>
      <x:c r="E55" s="12" t="n">
        <x:f>COUNTIFS('Pair Results'!$A$2:$A$193,$A55,'Pair Results'!$B$2:$B$193,$B55,'Pair Results'!$C$2:$C$193,$C55,'Pair Results'!$G$2:$G$193,1)</x:f>
        <x:v>3</x:v>
      </x:c>
      <x:c r="F55" s="12" t="n">
        <x:f>COUNTIFS('Pair Results'!$A$2:$A$193,$A55,'Pair Results'!$B$2:$B$193,$B55,'Pair Results'!$C$2:$C$193,$C55,'Pair Results'!$J$2:$J$193,1)</x:f>
        <x:v>3</x:v>
      </x:c>
      <x:c r="G55" s="12" t="n">
        <x:f>COUNTIFS('Pair Results'!$A$2:$A$193,$A55,'Pair Results'!$B$2:$B$193,$B55,'Pair Results'!$C$2:$C$193,$C55,'Pair Results'!$Q$2:$Q$193,1)</x:f>
        <x:v>3</x:v>
      </x:c>
      <x:c r="H55" s="12" t="n">
        <x:f>COUNTIFS('Pair Results'!$A$2:$A$193,$A55,'Pair Results'!$B$2:$B$193,$B55,'Pair Results'!$C$2:$C$193,$C55,'Pair Results'!$Z$2:$Z$193,1)</x:f>
        <x:v>0</x:v>
      </x:c>
      <x:c r="I55" s="12" t="n">
        <x:f>SUMIFS('Pair Results'!$L$2:$L$193,'Pair Results'!$A$2:$A$193,$A55,'Pair Results'!$B$2:$B$193,$B55,'Pair Results'!$C$2:$C$193,$C55)</x:f>
        <x:v>0</x:v>
      </x:c>
      <x:c r="J55" s="90" t="n">
        <x:f>1000*AVERAGEIFS('Pair Results'!$N$2:$N$193,'Pair Results'!$A$2:$A$193,$A55,'Pair Results'!$B$2:$B$193,$B55,'Pair Results'!$C$2:$C$193,$C55)</x:f>
        <x:v>0.3106000367552042</x:v>
      </x:c>
      <x:c r="K55" s="90" t="n">
        <x:f>IFERROR(AVERAGEIFS('Pair Results'!$F$2:$F$193,'Pair Results'!$A$2:$A$193,$A55,'Pair Results'!$B$2:$B$193,$B55,'Pair Results'!$C$2:$C$193,$C55,'Pair Results'!$W$2:$W$193,1),"")</x:f>
        <x:v>11</x:v>
      </x:c>
      <x:c r="L55" s="90" t="n">
        <x:f>IFERROR(AVERAGEIFS('Pair Results'!$P$2:$P$193,'Pair Results'!$A$2:$A$193,$A55,'Pair Results'!$B$2:$B$193,$B55,'Pair Results'!$C$2:$C$193,$C55,'Pair Results'!$W$2:$W$193,1),"")</x:f>
        <x:v>11</x:v>
      </x:c>
      <x:c r="M55" s="90" t="n">
        <x:f>IF(OR(K55="",L55=""),"",L55-K55)</x:f>
        <x:v>0</x:v>
      </x:c>
      <x:c r="N55" s="12" t="n">
        <x:f>COUNTIFS('Pair Results'!$A$2:$A$193,$A55,'Pair Results'!$B$2:$B$193,$B55,'Pair Results'!$C$2:$C$193,$C55,'Pair Results'!$Y$2:$Y$193,"repaired")</x:f>
        <x:v>1</x:v>
      </x:c>
      <x:c r="O55" s="12" t="n">
        <x:f>COUNTIFS('Pair Results'!$A$2:$A$193,$A55,'Pair Results'!$B$2:$B$193,$B55,'Pair Results'!$C$2:$C$193,$C55,'Pair Results'!$Y$2:$Y$193,"entropy")</x:f>
        <x:v>1</x:v>
      </x:c>
      <x:c r="P55" s="12" t="n">
        <x:f>COUNTIFS('Pair Results'!$A$2:$A$193,$A55,'Pair Results'!$B$2:$B$193,$B55,'Pair Results'!$C$2:$C$193,$C55,'Pair Results'!$Y$2:$Y$193,"tie")</x:f>
        <x:v>1</x:v>
      </x:c>
      <x:c r="Q55" s="12" t="n">
        <x:f>MAXIFS('Pair Results'!$L$2:$L$193,'Pair Results'!$A$2:$A$193,$A55,'Pair Results'!$B$2:$B$193,$B55,'Pair Results'!$C$2:$C$193,$C55)</x:f>
        <x:v>0</x:v>
      </x:c>
    </x:row>
    <x:row r="56">
      <x:c r="A56" s="10" t="str">
        <x:v>ICH</x:v>
      </x:c>
      <x:c r="B56" s="12" t="n">
        <x:v>50</x:v>
      </x:c>
      <x:c r="C56" s="14" t="n">
        <x:v>0.5</x:v>
      </x:c>
      <x:c r="D56" s="12" t="n">
        <x:f>COUNTIFS('Pair Results'!$A$2:$A$193,$A56,'Pair Results'!$B$2:$B$193,$B56,'Pair Results'!$C$2:$C$193,$C56)</x:f>
        <x:v>3</x:v>
      </x:c>
      <x:c r="E56" s="12" t="n">
        <x:f>COUNTIFS('Pair Results'!$A$2:$A$193,$A56,'Pair Results'!$B$2:$B$193,$B56,'Pair Results'!$C$2:$C$193,$C56,'Pair Results'!$G$2:$G$193,1)</x:f>
        <x:v>3</x:v>
      </x:c>
      <x:c r="F56" s="12" t="n">
        <x:f>COUNTIFS('Pair Results'!$A$2:$A$193,$A56,'Pair Results'!$B$2:$B$193,$B56,'Pair Results'!$C$2:$C$193,$C56,'Pair Results'!$J$2:$J$193,1)</x:f>
        <x:v>3</x:v>
      </x:c>
      <x:c r="G56" s="12" t="n">
        <x:f>COUNTIFS('Pair Results'!$A$2:$A$193,$A56,'Pair Results'!$B$2:$B$193,$B56,'Pair Results'!$C$2:$C$193,$C56,'Pair Results'!$Q$2:$Q$193,1)</x:f>
        <x:v>3</x:v>
      </x:c>
      <x:c r="H56" s="12" t="n">
        <x:f>COUNTIFS('Pair Results'!$A$2:$A$193,$A56,'Pair Results'!$B$2:$B$193,$B56,'Pair Results'!$C$2:$C$193,$C56,'Pair Results'!$Z$2:$Z$193,1)</x:f>
        <x:v>0</x:v>
      </x:c>
      <x:c r="I56" s="12" t="n">
        <x:f>SUMIFS('Pair Results'!$L$2:$L$193,'Pair Results'!$A$2:$A$193,$A56,'Pair Results'!$B$2:$B$193,$B56,'Pair Results'!$C$2:$C$193,$C56)</x:f>
        <x:v>0</x:v>
      </x:c>
      <x:c r="J56" s="90" t="n">
        <x:f>1000*AVERAGEIFS('Pair Results'!$N$2:$N$193,'Pair Results'!$A$2:$A$193,$A56,'Pair Results'!$B$2:$B$193,$B56,'Pair Results'!$C$2:$C$193,$C56)</x:f>
        <x:v>0.40630002816518146</x:v>
      </x:c>
      <x:c r="K56" s="90" t="n">
        <x:f>IFERROR(AVERAGEIFS('Pair Results'!$F$2:$F$193,'Pair Results'!$A$2:$A$193,$A56,'Pair Results'!$B$2:$B$193,$B56,'Pair Results'!$C$2:$C$193,$C56,'Pair Results'!$W$2:$W$193,1),"")</x:f>
        <x:v>15.666666666666666</x:v>
      </x:c>
      <x:c r="L56" s="90" t="n">
        <x:f>IFERROR(AVERAGEIFS('Pair Results'!$P$2:$P$193,'Pair Results'!$A$2:$A$193,$A56,'Pair Results'!$B$2:$B$193,$B56,'Pair Results'!$C$2:$C$193,$C56,'Pair Results'!$W$2:$W$193,1),"")</x:f>
        <x:v>15.333333333333334</x:v>
      </x:c>
      <x:c r="M56" s="90" t="n">
        <x:f>IF(OR(K56="",L56=""),"",L56-K56)</x:f>
        <x:v>-0.33333333333333215</x:v>
      </x:c>
      <x:c r="N56" s="12" t="n">
        <x:f>COUNTIFS('Pair Results'!$A$2:$A$193,$A56,'Pair Results'!$B$2:$B$193,$B56,'Pair Results'!$C$2:$C$193,$C56,'Pair Results'!$Y$2:$Y$193,"repaired")</x:f>
        <x:v>1</x:v>
      </x:c>
      <x:c r="O56" s="12" t="n">
        <x:f>COUNTIFS('Pair Results'!$A$2:$A$193,$A56,'Pair Results'!$B$2:$B$193,$B56,'Pair Results'!$C$2:$C$193,$C56,'Pair Results'!$Y$2:$Y$193,"entropy")</x:f>
        <x:v>0</x:v>
      </x:c>
      <x:c r="P56" s="12" t="n">
        <x:f>COUNTIFS('Pair Results'!$A$2:$A$193,$A56,'Pair Results'!$B$2:$B$193,$B56,'Pair Results'!$C$2:$C$193,$C56,'Pair Results'!$Y$2:$Y$193,"tie")</x:f>
        <x:v>2</x:v>
      </x:c>
      <x:c r="Q56" s="12" t="n">
        <x:f>MAXIFS('Pair Results'!$L$2:$L$193,'Pair Results'!$A$2:$A$193,$A56,'Pair Results'!$B$2:$B$193,$B56,'Pair Results'!$C$2:$C$193,$C56)</x:f>
        <x:v>0</x:v>
      </x:c>
    </x:row>
    <x:row r="57">
      <x:c r="A57" s="10" t="str">
        <x:v>ICH</x:v>
      </x:c>
      <x:c r="B57" s="12" t="n">
        <x:v>50</x:v>
      </x:c>
      <x:c r="C57" s="14" t="n">
        <x:v>0.7</x:v>
      </x:c>
      <x:c r="D57" s="12" t="n">
        <x:f>COUNTIFS('Pair Results'!$A$2:$A$193,$A57,'Pair Results'!$B$2:$B$193,$B57,'Pair Results'!$C$2:$C$193,$C57)</x:f>
        <x:v>3</x:v>
      </x:c>
      <x:c r="E57" s="12" t="n">
        <x:f>COUNTIFS('Pair Results'!$A$2:$A$193,$A57,'Pair Results'!$B$2:$B$193,$B57,'Pair Results'!$C$2:$C$193,$C57,'Pair Results'!$G$2:$G$193,1)</x:f>
        <x:v>3</x:v>
      </x:c>
      <x:c r="F57" s="12" t="n">
        <x:f>COUNTIFS('Pair Results'!$A$2:$A$193,$A57,'Pair Results'!$B$2:$B$193,$B57,'Pair Results'!$C$2:$C$193,$C57,'Pair Results'!$J$2:$J$193,1)</x:f>
        <x:v>3</x:v>
      </x:c>
      <x:c r="G57" s="12" t="n">
        <x:f>COUNTIFS('Pair Results'!$A$2:$A$193,$A57,'Pair Results'!$B$2:$B$193,$B57,'Pair Results'!$C$2:$C$193,$C57,'Pair Results'!$Q$2:$Q$193,1)</x:f>
        <x:v>3</x:v>
      </x:c>
      <x:c r="H57" s="12" t="n">
        <x:f>COUNTIFS('Pair Results'!$A$2:$A$193,$A57,'Pair Results'!$B$2:$B$193,$B57,'Pair Results'!$C$2:$C$193,$C57,'Pair Results'!$Z$2:$Z$193,1)</x:f>
        <x:v>0</x:v>
      </x:c>
      <x:c r="I57" s="12" t="n">
        <x:f>SUMIFS('Pair Results'!$L$2:$L$193,'Pair Results'!$A$2:$A$193,$A57,'Pair Results'!$B$2:$B$193,$B57,'Pair Results'!$C$2:$C$193,$C57)</x:f>
        <x:v>0</x:v>
      </x:c>
      <x:c r="J57" s="90" t="n">
        <x:f>1000*AVERAGEIFS('Pair Results'!$N$2:$N$193,'Pair Results'!$A$2:$A$193,$A57,'Pair Results'!$B$2:$B$193,$B57,'Pair Results'!$C$2:$C$193,$C57)</x:f>
        <x:v>0.48533334241559106</x:v>
      </x:c>
      <x:c r="K57" s="90" t="n">
        <x:f>IFERROR(AVERAGEIFS('Pair Results'!$F$2:$F$193,'Pair Results'!$A$2:$A$193,$A57,'Pair Results'!$B$2:$B$193,$B57,'Pair Results'!$C$2:$C$193,$C57,'Pair Results'!$W$2:$W$193,1),"")</x:f>
        <x:v>20.333333333333332</x:v>
      </x:c>
      <x:c r="L57" s="90" t="n">
        <x:f>IFERROR(AVERAGEIFS('Pair Results'!$P$2:$P$193,'Pair Results'!$A$2:$A$193,$A57,'Pair Results'!$B$2:$B$193,$B57,'Pair Results'!$C$2:$C$193,$C57,'Pair Results'!$W$2:$W$193,1),"")</x:f>
        <x:v>19.666666666666668</x:v>
      </x:c>
      <x:c r="M57" s="90" t="n">
        <x:f>IF(OR(K57="",L57=""),"",L57-K57)</x:f>
        <x:v>-0.6666666666666643</x:v>
      </x:c>
      <x:c r="N57" s="12" t="n">
        <x:f>COUNTIFS('Pair Results'!$A$2:$A$193,$A57,'Pair Results'!$B$2:$B$193,$B57,'Pair Results'!$C$2:$C$193,$C57,'Pair Results'!$Y$2:$Y$193,"repaired")</x:f>
        <x:v>2</x:v>
      </x:c>
      <x:c r="O57" s="12" t="n">
        <x:f>COUNTIFS('Pair Results'!$A$2:$A$193,$A57,'Pair Results'!$B$2:$B$193,$B57,'Pair Results'!$C$2:$C$193,$C57,'Pair Results'!$Y$2:$Y$193,"entropy")</x:f>
        <x:v>0</x:v>
      </x:c>
      <x:c r="P57" s="12" t="n">
        <x:f>COUNTIFS('Pair Results'!$A$2:$A$193,$A57,'Pair Results'!$B$2:$B$193,$B57,'Pair Results'!$C$2:$C$193,$C57,'Pair Results'!$Y$2:$Y$193,"tie")</x:f>
        <x:v>1</x:v>
      </x:c>
      <x:c r="Q57" s="12" t="n">
        <x:f>MAXIFS('Pair Results'!$L$2:$L$193,'Pair Results'!$A$2:$A$193,$A57,'Pair Results'!$B$2:$B$193,$B57,'Pair Results'!$C$2:$C$193,$C57)</x:f>
        <x:v>0</x:v>
      </x:c>
    </x:row>
    <x:row r="58">
      <x:c r="A58" s="10" t="str">
        <x:v>ICH</x:v>
      </x:c>
      <x:c r="B58" s="12" t="n">
        <x:v>100</x:v>
      </x:c>
      <x:c r="C58" s="14" t="n">
        <x:v>0.1</x:v>
      </x:c>
      <x:c r="D58" s="12" t="n">
        <x:f>COUNTIFS('Pair Results'!$A$2:$A$193,$A58,'Pair Results'!$B$2:$B$193,$B58,'Pair Results'!$C$2:$C$193,$C58)</x:f>
        <x:v>3</x:v>
      </x:c>
      <x:c r="E58" s="12" t="n">
        <x:f>COUNTIFS('Pair Results'!$A$2:$A$193,$A58,'Pair Results'!$B$2:$B$193,$B58,'Pair Results'!$C$2:$C$193,$C58,'Pair Results'!$G$2:$G$193,1)</x:f>
        <x:v>3</x:v>
      </x:c>
      <x:c r="F58" s="12" t="n">
        <x:f>COUNTIFS('Pair Results'!$A$2:$A$193,$A58,'Pair Results'!$B$2:$B$193,$B58,'Pair Results'!$C$2:$C$193,$C58,'Pair Results'!$J$2:$J$193,1)</x:f>
        <x:v>3</x:v>
      </x:c>
      <x:c r="G58" s="12" t="n">
        <x:f>COUNTIFS('Pair Results'!$A$2:$A$193,$A58,'Pair Results'!$B$2:$B$193,$B58,'Pair Results'!$C$2:$C$193,$C58,'Pair Results'!$Q$2:$Q$193,1)</x:f>
        <x:v>3</x:v>
      </x:c>
      <x:c r="H58" s="12" t="n">
        <x:f>COUNTIFS('Pair Results'!$A$2:$A$193,$A58,'Pair Results'!$B$2:$B$193,$B58,'Pair Results'!$C$2:$C$193,$C58,'Pair Results'!$Z$2:$Z$193,1)</x:f>
        <x:v>0</x:v>
      </x:c>
      <x:c r="I58" s="12" t="n">
        <x:f>SUMIFS('Pair Results'!$L$2:$L$193,'Pair Results'!$A$2:$A$193,$A58,'Pair Results'!$B$2:$B$193,$B58,'Pair Results'!$C$2:$C$193,$C58)</x:f>
        <x:v>0</x:v>
      </x:c>
      <x:c r="J58" s="90" t="n">
        <x:f>1000*AVERAGEIFS('Pair Results'!$N$2:$N$193,'Pair Results'!$A$2:$A$193,$A58,'Pair Results'!$B$2:$B$193,$B58,'Pair Results'!$C$2:$C$193,$C58)</x:f>
        <x:v>1.838233321905136</x:v>
      </x:c>
      <x:c r="K58" s="90" t="n">
        <x:f>IFERROR(AVERAGEIFS('Pair Results'!$F$2:$F$193,'Pair Results'!$A$2:$A$193,$A58,'Pair Results'!$B$2:$B$193,$B58,'Pair Results'!$C$2:$C$193,$C58,'Pair Results'!$W$2:$W$193,1),"")</x:f>
        <x:v>38</x:v>
      </x:c>
      <x:c r="L58" s="90" t="n">
        <x:f>IFERROR(AVERAGEIFS('Pair Results'!$P$2:$P$193,'Pair Results'!$A$2:$A$193,$A58,'Pair Results'!$B$2:$B$193,$B58,'Pair Results'!$C$2:$C$193,$C58,'Pair Results'!$W$2:$W$193,1),"")</x:f>
        <x:v>38</x:v>
      </x:c>
      <x:c r="M58" s="90" t="n">
        <x:f>IF(OR(K58="",L58=""),"",L58-K58)</x:f>
        <x:v>0</x:v>
      </x:c>
      <x:c r="N58" s="12" t="n">
        <x:f>COUNTIFS('Pair Results'!$A$2:$A$193,$A58,'Pair Results'!$B$2:$B$193,$B58,'Pair Results'!$C$2:$C$193,$C58,'Pair Results'!$Y$2:$Y$193,"repaired")</x:f>
        <x:v>0</x:v>
      </x:c>
      <x:c r="O58" s="12" t="n">
        <x:f>COUNTIFS('Pair Results'!$A$2:$A$193,$A58,'Pair Results'!$B$2:$B$193,$B58,'Pair Results'!$C$2:$C$193,$C58,'Pair Results'!$Y$2:$Y$193,"entropy")</x:f>
        <x:v>0</x:v>
      </x:c>
      <x:c r="P58" s="12" t="n">
        <x:f>COUNTIFS('Pair Results'!$A$2:$A$193,$A58,'Pair Results'!$B$2:$B$193,$B58,'Pair Results'!$C$2:$C$193,$C58,'Pair Results'!$Y$2:$Y$193,"tie")</x:f>
        <x:v>3</x:v>
      </x:c>
      <x:c r="Q58" s="12" t="n">
        <x:f>MAXIFS('Pair Results'!$L$2:$L$193,'Pair Results'!$A$2:$A$193,$A58,'Pair Results'!$B$2:$B$193,$B58,'Pair Results'!$C$2:$C$193,$C58)</x:f>
        <x:v>0</x:v>
      </x:c>
    </x:row>
    <x:row r="59">
      <x:c r="A59" s="10" t="str">
        <x:v>ICH</x:v>
      </x:c>
      <x:c r="B59" s="12" t="n">
        <x:v>100</x:v>
      </x:c>
      <x:c r="C59" s="14" t="n">
        <x:v>0.3</x:v>
      </x:c>
      <x:c r="D59" s="12" t="n">
        <x:f>COUNTIFS('Pair Results'!$A$2:$A$193,$A59,'Pair Results'!$B$2:$B$193,$B59,'Pair Results'!$C$2:$C$193,$C59)</x:f>
        <x:v>3</x:v>
      </x:c>
      <x:c r="E59" s="12" t="n">
        <x:f>COUNTIFS('Pair Results'!$A$2:$A$193,$A59,'Pair Results'!$B$2:$B$193,$B59,'Pair Results'!$C$2:$C$193,$C59,'Pair Results'!$G$2:$G$193,1)</x:f>
        <x:v>3</x:v>
      </x:c>
      <x:c r="F59" s="12" t="n">
        <x:f>COUNTIFS('Pair Results'!$A$2:$A$193,$A59,'Pair Results'!$B$2:$B$193,$B59,'Pair Results'!$C$2:$C$193,$C59,'Pair Results'!$J$2:$J$193,1)</x:f>
        <x:v>3</x:v>
      </x:c>
      <x:c r="G59" s="12" t="n">
        <x:f>COUNTIFS('Pair Results'!$A$2:$A$193,$A59,'Pair Results'!$B$2:$B$193,$B59,'Pair Results'!$C$2:$C$193,$C59,'Pair Results'!$Q$2:$Q$193,1)</x:f>
        <x:v>3</x:v>
      </x:c>
      <x:c r="H59" s="12" t="n">
        <x:f>COUNTIFS('Pair Results'!$A$2:$A$193,$A59,'Pair Results'!$B$2:$B$193,$B59,'Pair Results'!$C$2:$C$193,$C59,'Pair Results'!$Z$2:$Z$193,1)</x:f>
        <x:v>0</x:v>
      </x:c>
      <x:c r="I59" s="12" t="n">
        <x:f>SUMIFS('Pair Results'!$L$2:$L$193,'Pair Results'!$A$2:$A$193,$A59,'Pair Results'!$B$2:$B$193,$B59,'Pair Results'!$C$2:$C$193,$C59)</x:f>
        <x:v>0</x:v>
      </x:c>
      <x:c r="J59" s="90" t="n">
        <x:f>1000*AVERAGEIFS('Pair Results'!$N$2:$N$193,'Pair Results'!$A$2:$A$193,$A59,'Pair Results'!$B$2:$B$193,$B59,'Pair Results'!$C$2:$C$193,$C59)</x:f>
        <x:v>1.4649000174055498</x:v>
      </x:c>
      <x:c r="K59" s="90" t="n">
        <x:f>IFERROR(AVERAGEIFS('Pair Results'!$F$2:$F$193,'Pair Results'!$A$2:$A$193,$A59,'Pair Results'!$B$2:$B$193,$B59,'Pair Results'!$C$2:$C$193,$C59,'Pair Results'!$W$2:$W$193,1),"")</x:f>
        <x:v>20.666666666666668</x:v>
      </x:c>
      <x:c r="L59" s="90" t="n">
        <x:f>IFERROR(AVERAGEIFS('Pair Results'!$P$2:$P$193,'Pair Results'!$A$2:$A$193,$A59,'Pair Results'!$B$2:$B$193,$B59,'Pair Results'!$C$2:$C$193,$C59,'Pair Results'!$W$2:$W$193,1),"")</x:f>
        <x:v>21</x:v>
      </x:c>
      <x:c r="M59" s="90" t="n">
        <x:f>IF(OR(K59="",L59=""),"",L59-K59)</x:f>
        <x:v>0.33333333333333215</x:v>
      </x:c>
      <x:c r="N59" s="12" t="n">
        <x:f>COUNTIFS('Pair Results'!$A$2:$A$193,$A59,'Pair Results'!$B$2:$B$193,$B59,'Pair Results'!$C$2:$C$193,$C59,'Pair Results'!$Y$2:$Y$193,"repaired")</x:f>
        <x:v>0</x:v>
      </x:c>
      <x:c r="O59" s="12" t="n">
        <x:f>COUNTIFS('Pair Results'!$A$2:$A$193,$A59,'Pair Results'!$B$2:$B$193,$B59,'Pair Results'!$C$2:$C$193,$C59,'Pair Results'!$Y$2:$Y$193,"entropy")</x:f>
        <x:v>1</x:v>
      </x:c>
      <x:c r="P59" s="12" t="n">
        <x:f>COUNTIFS('Pair Results'!$A$2:$A$193,$A59,'Pair Results'!$B$2:$B$193,$B59,'Pair Results'!$C$2:$C$193,$C59,'Pair Results'!$Y$2:$Y$193,"tie")</x:f>
        <x:v>2</x:v>
      </x:c>
      <x:c r="Q59" s="12" t="n">
        <x:f>MAXIFS('Pair Results'!$L$2:$L$193,'Pair Results'!$A$2:$A$193,$A59,'Pair Results'!$B$2:$B$193,$B59,'Pair Results'!$C$2:$C$193,$C59)</x:f>
        <x:v>0</x:v>
      </x:c>
    </x:row>
    <x:row r="60">
      <x:c r="A60" s="10" t="str">
        <x:v>ICH</x:v>
      </x:c>
      <x:c r="B60" s="12" t="n">
        <x:v>100</x:v>
      </x:c>
      <x:c r="C60" s="14" t="n">
        <x:v>0.5</x:v>
      </x:c>
      <x:c r="D60" s="12" t="n">
        <x:f>COUNTIFS('Pair Results'!$A$2:$A$193,$A60,'Pair Results'!$B$2:$B$193,$B60,'Pair Results'!$C$2:$C$193,$C60)</x:f>
        <x:v>3</x:v>
      </x:c>
      <x:c r="E60" s="12" t="n">
        <x:f>COUNTIFS('Pair Results'!$A$2:$A$193,$A60,'Pair Results'!$B$2:$B$193,$B60,'Pair Results'!$C$2:$C$193,$C60,'Pair Results'!$G$2:$G$193,1)</x:f>
        <x:v>3</x:v>
      </x:c>
      <x:c r="F60" s="12" t="n">
        <x:f>COUNTIFS('Pair Results'!$A$2:$A$193,$A60,'Pair Results'!$B$2:$B$193,$B60,'Pair Results'!$C$2:$C$193,$C60,'Pair Results'!$J$2:$J$193,1)</x:f>
        <x:v>3</x:v>
      </x:c>
      <x:c r="G60" s="12" t="n">
        <x:f>COUNTIFS('Pair Results'!$A$2:$A$193,$A60,'Pair Results'!$B$2:$B$193,$B60,'Pair Results'!$C$2:$C$193,$C60,'Pair Results'!$Q$2:$Q$193,1)</x:f>
        <x:v>3</x:v>
      </x:c>
      <x:c r="H60" s="12" t="n">
        <x:f>COUNTIFS('Pair Results'!$A$2:$A$193,$A60,'Pair Results'!$B$2:$B$193,$B60,'Pair Results'!$C$2:$C$193,$C60,'Pair Results'!$Z$2:$Z$193,1)</x:f>
        <x:v>0</x:v>
      </x:c>
      <x:c r="I60" s="12" t="n">
        <x:f>SUMIFS('Pair Results'!$L$2:$L$193,'Pair Results'!$A$2:$A$193,$A60,'Pair Results'!$B$2:$B$193,$B60,'Pair Results'!$C$2:$C$193,$C60)</x:f>
        <x:v>0</x:v>
      </x:c>
      <x:c r="J60" s="90" t="n">
        <x:f>1000*AVERAGEIFS('Pair Results'!$N$2:$N$193,'Pair Results'!$A$2:$A$193,$A60,'Pair Results'!$B$2:$B$193,$B60,'Pair Results'!$C$2:$C$193,$C60)</x:f>
        <x:v>1.0432000271975994</x:v>
      </x:c>
      <x:c r="K60" s="90" t="n">
        <x:f>IFERROR(AVERAGEIFS('Pair Results'!$F$2:$F$193,'Pair Results'!$A$2:$A$193,$A60,'Pair Results'!$B$2:$B$193,$B60,'Pair Results'!$C$2:$C$193,$C60,'Pair Results'!$W$2:$W$193,1),"")</x:f>
        <x:v>23.333333333333332</x:v>
      </x:c>
      <x:c r="L60" s="90" t="n">
        <x:f>IFERROR(AVERAGEIFS('Pair Results'!$P$2:$P$193,'Pair Results'!$A$2:$A$193,$A60,'Pair Results'!$B$2:$B$193,$B60,'Pair Results'!$C$2:$C$193,$C60,'Pair Results'!$W$2:$W$193,1),"")</x:f>
        <x:v>22</x:v>
      </x:c>
      <x:c r="M60" s="90" t="n">
        <x:f>IF(OR(K60="",L60=""),"",L60-K60)</x:f>
        <x:v>-1.3333333333333321</x:v>
      </x:c>
      <x:c r="N60" s="12" t="n">
        <x:f>COUNTIFS('Pair Results'!$A$2:$A$193,$A60,'Pair Results'!$B$2:$B$193,$B60,'Pair Results'!$C$2:$C$193,$C60,'Pair Results'!$Y$2:$Y$193,"repaired")</x:f>
        <x:v>3</x:v>
      </x:c>
      <x:c r="O60" s="12" t="n">
        <x:f>COUNTIFS('Pair Results'!$A$2:$A$193,$A60,'Pair Results'!$B$2:$B$193,$B60,'Pair Results'!$C$2:$C$193,$C60,'Pair Results'!$Y$2:$Y$193,"entropy")</x:f>
        <x:v>0</x:v>
      </x:c>
      <x:c r="P60" s="12" t="n">
        <x:f>COUNTIFS('Pair Results'!$A$2:$A$193,$A60,'Pair Results'!$B$2:$B$193,$B60,'Pair Results'!$C$2:$C$193,$C60,'Pair Results'!$Y$2:$Y$193,"tie")</x:f>
        <x:v>0</x:v>
      </x:c>
      <x:c r="Q60" s="12" t="n">
        <x:f>MAXIFS('Pair Results'!$L$2:$L$193,'Pair Results'!$A$2:$A$193,$A60,'Pair Results'!$B$2:$B$193,$B60,'Pair Results'!$C$2:$C$193,$C60)</x:f>
        <x:v>0</x:v>
      </x:c>
    </x:row>
    <x:row r="61">
      <x:c r="A61" s="10" t="str">
        <x:v>ICH</x:v>
      </x:c>
      <x:c r="B61" s="12" t="n">
        <x:v>100</x:v>
      </x:c>
      <x:c r="C61" s="14" t="n">
        <x:v>0.7</x:v>
      </x:c>
      <x:c r="D61" s="12" t="n">
        <x:f>COUNTIFS('Pair Results'!$A$2:$A$193,$A61,'Pair Results'!$B$2:$B$193,$B61,'Pair Results'!$C$2:$C$193,$C61)</x:f>
        <x:v>3</x:v>
      </x:c>
      <x:c r="E61" s="12" t="n">
        <x:f>COUNTIFS('Pair Results'!$A$2:$A$193,$A61,'Pair Results'!$B$2:$B$193,$B61,'Pair Results'!$C$2:$C$193,$C61,'Pair Results'!$G$2:$G$193,1)</x:f>
        <x:v>3</x:v>
      </x:c>
      <x:c r="F61" s="12" t="n">
        <x:f>COUNTIFS('Pair Results'!$A$2:$A$193,$A61,'Pair Results'!$B$2:$B$193,$B61,'Pair Results'!$C$2:$C$193,$C61,'Pair Results'!$J$2:$J$193,1)</x:f>
        <x:v>3</x:v>
      </x:c>
      <x:c r="G61" s="12" t="n">
        <x:f>COUNTIFS('Pair Results'!$A$2:$A$193,$A61,'Pair Results'!$B$2:$B$193,$B61,'Pair Results'!$C$2:$C$193,$C61,'Pair Results'!$Q$2:$Q$193,1)</x:f>
        <x:v>3</x:v>
      </x:c>
      <x:c r="H61" s="12" t="n">
        <x:f>COUNTIFS('Pair Results'!$A$2:$A$193,$A61,'Pair Results'!$B$2:$B$193,$B61,'Pair Results'!$C$2:$C$193,$C61,'Pair Results'!$Z$2:$Z$193,1)</x:f>
        <x:v>0</x:v>
      </x:c>
      <x:c r="I61" s="12" t="n">
        <x:f>SUMIFS('Pair Results'!$L$2:$L$193,'Pair Results'!$A$2:$A$193,$A61,'Pair Results'!$B$2:$B$193,$B61,'Pair Results'!$C$2:$C$193,$C61)</x:f>
        <x:v>0</x:v>
      </x:c>
      <x:c r="J61" s="90" t="n">
        <x:f>1000*AVERAGEIFS('Pair Results'!$N$2:$N$193,'Pair Results'!$A$2:$A$193,$A61,'Pair Results'!$B$2:$B$193,$B61,'Pair Results'!$C$2:$C$193,$C61)</x:f>
        <x:v>1.743533299304545</x:v>
      </x:c>
      <x:c r="K61" s="90" t="n">
        <x:f>IFERROR(AVERAGEIFS('Pair Results'!$F$2:$F$193,'Pair Results'!$A$2:$A$193,$A61,'Pair Results'!$B$2:$B$193,$B61,'Pair Results'!$C$2:$C$193,$C61,'Pair Results'!$W$2:$W$193,1),"")</x:f>
        <x:v>32.333333333333336</x:v>
      </x:c>
      <x:c r="L61" s="90" t="n">
        <x:f>IFERROR(AVERAGEIFS('Pair Results'!$P$2:$P$193,'Pair Results'!$A$2:$A$193,$A61,'Pair Results'!$B$2:$B$193,$B61,'Pair Results'!$C$2:$C$193,$C61,'Pair Results'!$W$2:$W$193,1),"")</x:f>
        <x:v>32.333333333333336</x:v>
      </x:c>
      <x:c r="M61" s="90" t="n">
        <x:f>IF(OR(K61="",L61=""),"",L61-K61)</x:f>
        <x:v>0</x:v>
      </x:c>
      <x:c r="N61" s="12" t="n">
        <x:f>COUNTIFS('Pair Results'!$A$2:$A$193,$A61,'Pair Results'!$B$2:$B$193,$B61,'Pair Results'!$C$2:$C$193,$C61,'Pair Results'!$Y$2:$Y$193,"repaired")</x:f>
        <x:v>0</x:v>
      </x:c>
      <x:c r="O61" s="12" t="n">
        <x:f>COUNTIFS('Pair Results'!$A$2:$A$193,$A61,'Pair Results'!$B$2:$B$193,$B61,'Pair Results'!$C$2:$C$193,$C61,'Pair Results'!$Y$2:$Y$193,"entropy")</x:f>
        <x:v>0</x:v>
      </x:c>
      <x:c r="P61" s="12" t="n">
        <x:f>COUNTIFS('Pair Results'!$A$2:$A$193,$A61,'Pair Results'!$B$2:$B$193,$B61,'Pair Results'!$C$2:$C$193,$C61,'Pair Results'!$Y$2:$Y$193,"tie")</x:f>
        <x:v>3</x:v>
      </x:c>
      <x:c r="Q61" s="12" t="n">
        <x:f>MAXIFS('Pair Results'!$L$2:$L$193,'Pair Results'!$A$2:$A$193,$A61,'Pair Results'!$B$2:$B$193,$B61,'Pair Results'!$C$2:$C$193,$C61)</x:f>
        <x:v>0</x:v>
      </x:c>
    </x:row>
    <x:row r="62">
      <x:c r="A62" s="10" t="str">
        <x:v>ICH</x:v>
      </x:c>
      <x:c r="B62" s="12" t="n">
        <x:v>200</x:v>
      </x:c>
      <x:c r="C62" s="14" t="n">
        <x:v>0.1</x:v>
      </x:c>
      <x:c r="D62" s="12" t="n">
        <x:f>COUNTIFS('Pair Results'!$A$2:$A$193,$A62,'Pair Results'!$B$2:$B$193,$B62,'Pair Results'!$C$2:$C$193,$C62)</x:f>
        <x:v>3</x:v>
      </x:c>
      <x:c r="E62" s="12" t="n">
        <x:f>COUNTIFS('Pair Results'!$A$2:$A$193,$A62,'Pair Results'!$B$2:$B$193,$B62,'Pair Results'!$C$2:$C$193,$C62,'Pair Results'!$G$2:$G$193,1)</x:f>
        <x:v>3</x:v>
      </x:c>
      <x:c r="F62" s="12" t="n">
        <x:f>COUNTIFS('Pair Results'!$A$2:$A$193,$A62,'Pair Results'!$B$2:$B$193,$B62,'Pair Results'!$C$2:$C$193,$C62,'Pair Results'!$J$2:$J$193,1)</x:f>
        <x:v>3</x:v>
      </x:c>
      <x:c r="G62" s="12" t="n">
        <x:f>COUNTIFS('Pair Results'!$A$2:$A$193,$A62,'Pair Results'!$B$2:$B$193,$B62,'Pair Results'!$C$2:$C$193,$C62,'Pair Results'!$Q$2:$Q$193,1)</x:f>
        <x:v>3</x:v>
      </x:c>
      <x:c r="H62" s="12" t="n">
        <x:f>COUNTIFS('Pair Results'!$A$2:$A$193,$A62,'Pair Results'!$B$2:$B$193,$B62,'Pair Results'!$C$2:$C$193,$C62,'Pair Results'!$Z$2:$Z$193,1)</x:f>
        <x:v>0</x:v>
      </x:c>
      <x:c r="I62" s="12" t="n">
        <x:f>SUMIFS('Pair Results'!$L$2:$L$193,'Pair Results'!$A$2:$A$193,$A62,'Pair Results'!$B$2:$B$193,$B62,'Pair Results'!$C$2:$C$193,$C62)</x:f>
        <x:v>0</x:v>
      </x:c>
      <x:c r="J62" s="90" t="n">
        <x:f>1000*AVERAGEIFS('Pair Results'!$N$2:$N$193,'Pair Results'!$A$2:$A$193,$A62,'Pair Results'!$B$2:$B$193,$B62,'Pair Results'!$C$2:$C$193,$C62)</x:f>
        <x:v>5.066900048404932</x:v>
      </x:c>
      <x:c r="K62" s="90" t="n">
        <x:f>IFERROR(AVERAGEIFS('Pair Results'!$F$2:$F$193,'Pair Results'!$A$2:$A$193,$A62,'Pair Results'!$B$2:$B$193,$B62,'Pair Results'!$C$2:$C$193,$C62,'Pair Results'!$W$2:$W$193,1),"")</x:f>
        <x:v>40.666666666666664</x:v>
      </x:c>
      <x:c r="L62" s="90" t="n">
        <x:f>IFERROR(AVERAGEIFS('Pair Results'!$P$2:$P$193,'Pair Results'!$A$2:$A$193,$A62,'Pair Results'!$B$2:$B$193,$B62,'Pair Results'!$C$2:$C$193,$C62,'Pair Results'!$W$2:$W$193,1),"")</x:f>
        <x:v>40.666666666666664</x:v>
      </x:c>
      <x:c r="M62" s="90" t="n">
        <x:f>IF(OR(K62="",L62=""),"",L62-K62)</x:f>
        <x:v>0</x:v>
      </x:c>
      <x:c r="N62" s="12" t="n">
        <x:f>COUNTIFS('Pair Results'!$A$2:$A$193,$A62,'Pair Results'!$B$2:$B$193,$B62,'Pair Results'!$C$2:$C$193,$C62,'Pair Results'!$Y$2:$Y$193,"repaired")</x:f>
        <x:v>0</x:v>
      </x:c>
      <x:c r="O62" s="12" t="n">
        <x:f>COUNTIFS('Pair Results'!$A$2:$A$193,$A62,'Pair Results'!$B$2:$B$193,$B62,'Pair Results'!$C$2:$C$193,$C62,'Pair Results'!$Y$2:$Y$193,"entropy")</x:f>
        <x:v>0</x:v>
      </x:c>
      <x:c r="P62" s="12" t="n">
        <x:f>COUNTIFS('Pair Results'!$A$2:$A$193,$A62,'Pair Results'!$B$2:$B$193,$B62,'Pair Results'!$C$2:$C$193,$C62,'Pair Results'!$Y$2:$Y$193,"tie")</x:f>
        <x:v>3</x:v>
      </x:c>
      <x:c r="Q62" s="12" t="n">
        <x:f>MAXIFS('Pair Results'!$L$2:$L$193,'Pair Results'!$A$2:$A$193,$A62,'Pair Results'!$B$2:$B$193,$B62,'Pair Results'!$C$2:$C$193,$C62)</x:f>
        <x:v>0</x:v>
      </x:c>
    </x:row>
    <x:row r="63">
      <x:c r="A63" s="10" t="str">
        <x:v>ICH</x:v>
      </x:c>
      <x:c r="B63" s="12" t="n">
        <x:v>200</x:v>
      </x:c>
      <x:c r="C63" s="14" t="n">
        <x:v>0.3</x:v>
      </x:c>
      <x:c r="D63" s="12" t="n">
        <x:f>COUNTIFS('Pair Results'!$A$2:$A$193,$A63,'Pair Results'!$B$2:$B$193,$B63,'Pair Results'!$C$2:$C$193,$C63)</x:f>
        <x:v>3</x:v>
      </x:c>
      <x:c r="E63" s="12" t="n">
        <x:f>COUNTIFS('Pair Results'!$A$2:$A$193,$A63,'Pair Results'!$B$2:$B$193,$B63,'Pair Results'!$C$2:$C$193,$C63,'Pair Results'!$G$2:$G$193,1)</x:f>
        <x:v>3</x:v>
      </x:c>
      <x:c r="F63" s="12" t="n">
        <x:f>COUNTIFS('Pair Results'!$A$2:$A$193,$A63,'Pair Results'!$B$2:$B$193,$B63,'Pair Results'!$C$2:$C$193,$C63,'Pair Results'!$J$2:$J$193,1)</x:f>
        <x:v>3</x:v>
      </x:c>
      <x:c r="G63" s="12" t="n">
        <x:f>COUNTIFS('Pair Results'!$A$2:$A$193,$A63,'Pair Results'!$B$2:$B$193,$B63,'Pair Results'!$C$2:$C$193,$C63,'Pair Results'!$Q$2:$Q$193,1)</x:f>
        <x:v>3</x:v>
      </x:c>
      <x:c r="H63" s="12" t="n">
        <x:f>COUNTIFS('Pair Results'!$A$2:$A$193,$A63,'Pair Results'!$B$2:$B$193,$B63,'Pair Results'!$C$2:$C$193,$C63,'Pair Results'!$Z$2:$Z$193,1)</x:f>
        <x:v>0</x:v>
      </x:c>
      <x:c r="I63" s="12" t="n">
        <x:f>SUMIFS('Pair Results'!$L$2:$L$193,'Pair Results'!$A$2:$A$193,$A63,'Pair Results'!$B$2:$B$193,$B63,'Pair Results'!$C$2:$C$193,$C63)</x:f>
        <x:v>0</x:v>
      </x:c>
      <x:c r="J63" s="90" t="n">
        <x:f>1000*AVERAGEIFS('Pair Results'!$N$2:$N$193,'Pair Results'!$A$2:$A$193,$A63,'Pair Results'!$B$2:$B$193,$B63,'Pair Results'!$C$2:$C$193,$C63)</x:f>
        <x:v>4.451333351122837</x:v>
      </x:c>
      <x:c r="K63" s="90" t="n">
        <x:f>IFERROR(AVERAGEIFS('Pair Results'!$F$2:$F$193,'Pair Results'!$A$2:$A$193,$A63,'Pair Results'!$B$2:$B$193,$B63,'Pair Results'!$C$2:$C$193,$C63,'Pair Results'!$W$2:$W$193,1),"")</x:f>
        <x:v>30.333333333333332</x:v>
      </x:c>
      <x:c r="L63" s="90" t="n">
        <x:f>IFERROR(AVERAGEIFS('Pair Results'!$P$2:$P$193,'Pair Results'!$A$2:$A$193,$A63,'Pair Results'!$B$2:$B$193,$B63,'Pair Results'!$C$2:$C$193,$C63,'Pair Results'!$W$2:$W$193,1),"")</x:f>
        <x:v>31</x:v>
      </x:c>
      <x:c r="M63" s="90" t="n">
        <x:f>IF(OR(K63="",L63=""),"",L63-K63)</x:f>
        <x:v>0.6666666666666679</x:v>
      </x:c>
      <x:c r="N63" s="12" t="n">
        <x:f>COUNTIFS('Pair Results'!$A$2:$A$193,$A63,'Pair Results'!$B$2:$B$193,$B63,'Pair Results'!$C$2:$C$193,$C63,'Pair Results'!$Y$2:$Y$193,"repaired")</x:f>
        <x:v>1</x:v>
      </x:c>
      <x:c r="O63" s="12" t="n">
        <x:f>COUNTIFS('Pair Results'!$A$2:$A$193,$A63,'Pair Results'!$B$2:$B$193,$B63,'Pair Results'!$C$2:$C$193,$C63,'Pair Results'!$Y$2:$Y$193,"entropy")</x:f>
        <x:v>2</x:v>
      </x:c>
      <x:c r="P63" s="12" t="n">
        <x:f>COUNTIFS('Pair Results'!$A$2:$A$193,$A63,'Pair Results'!$B$2:$B$193,$B63,'Pair Results'!$C$2:$C$193,$C63,'Pair Results'!$Y$2:$Y$193,"tie")</x:f>
        <x:v>0</x:v>
      </x:c>
      <x:c r="Q63" s="12" t="n">
        <x:f>MAXIFS('Pair Results'!$L$2:$L$193,'Pair Results'!$A$2:$A$193,$A63,'Pair Results'!$B$2:$B$193,$B63,'Pair Results'!$C$2:$C$193,$C63)</x:f>
        <x:v>0</x:v>
      </x:c>
    </x:row>
    <x:row r="64">
      <x:c r="A64" s="10" t="str">
        <x:v>ICH</x:v>
      </x:c>
      <x:c r="B64" s="12" t="n">
        <x:v>200</x:v>
      </x:c>
      <x:c r="C64" s="14" t="n">
        <x:v>0.5</x:v>
      </x:c>
      <x:c r="D64" s="12" t="n">
        <x:f>COUNTIFS('Pair Results'!$A$2:$A$193,$A64,'Pair Results'!$B$2:$B$193,$B64,'Pair Results'!$C$2:$C$193,$C64)</x:f>
        <x:v>3</x:v>
      </x:c>
      <x:c r="E64" s="12" t="n">
        <x:f>COUNTIFS('Pair Results'!$A$2:$A$193,$A64,'Pair Results'!$B$2:$B$193,$B64,'Pair Results'!$C$2:$C$193,$C64,'Pair Results'!$G$2:$G$193,1)</x:f>
        <x:v>3</x:v>
      </x:c>
      <x:c r="F64" s="12" t="n">
        <x:f>COUNTIFS('Pair Results'!$A$2:$A$193,$A64,'Pair Results'!$B$2:$B$193,$B64,'Pair Results'!$C$2:$C$193,$C64,'Pair Results'!$J$2:$J$193,1)</x:f>
        <x:v>3</x:v>
      </x:c>
      <x:c r="G64" s="12" t="n">
        <x:f>COUNTIFS('Pair Results'!$A$2:$A$193,$A64,'Pair Results'!$B$2:$B$193,$B64,'Pair Results'!$C$2:$C$193,$C64,'Pair Results'!$Q$2:$Q$193,1)</x:f>
        <x:v>3</x:v>
      </x:c>
      <x:c r="H64" s="12" t="n">
        <x:f>COUNTIFS('Pair Results'!$A$2:$A$193,$A64,'Pair Results'!$B$2:$B$193,$B64,'Pair Results'!$C$2:$C$193,$C64,'Pair Results'!$Z$2:$Z$193,1)</x:f>
        <x:v>0</x:v>
      </x:c>
      <x:c r="I64" s="12" t="n">
        <x:f>SUMIFS('Pair Results'!$L$2:$L$193,'Pair Results'!$A$2:$A$193,$A64,'Pair Results'!$B$2:$B$193,$B64,'Pair Results'!$C$2:$C$193,$C64)</x:f>
        <x:v>0</x:v>
      </x:c>
      <x:c r="J64" s="90" t="n">
        <x:f>1000*AVERAGEIFS('Pair Results'!$N$2:$N$193,'Pair Results'!$A$2:$A$193,$A64,'Pair Results'!$B$2:$B$193,$B64,'Pair Results'!$C$2:$C$193,$C64)</x:f>
        <x:v>4.516933346167207</x:v>
      </x:c>
      <x:c r="K64" s="90" t="n">
        <x:f>IFERROR(AVERAGEIFS('Pair Results'!$F$2:$F$193,'Pair Results'!$A$2:$A$193,$A64,'Pair Results'!$B$2:$B$193,$B64,'Pair Results'!$C$2:$C$193,$C64,'Pair Results'!$W$2:$W$193,1),"")</x:f>
        <x:v>41</x:v>
      </x:c>
      <x:c r="L64" s="90" t="n">
        <x:f>IFERROR(AVERAGEIFS('Pair Results'!$P$2:$P$193,'Pair Results'!$A$2:$A$193,$A64,'Pair Results'!$B$2:$B$193,$B64,'Pair Results'!$C$2:$C$193,$C64,'Pair Results'!$W$2:$W$193,1),"")</x:f>
        <x:v>40.666666666666664</x:v>
      </x:c>
      <x:c r="M64" s="90" t="n">
        <x:f>IF(OR(K64="",L64=""),"",L64-K64)</x:f>
        <x:v>-0.3333333333333357</x:v>
      </x:c>
      <x:c r="N64" s="12" t="n">
        <x:f>COUNTIFS('Pair Results'!$A$2:$A$193,$A64,'Pair Results'!$B$2:$B$193,$B64,'Pair Results'!$C$2:$C$193,$C64,'Pair Results'!$Y$2:$Y$193,"repaired")</x:f>
        <x:v>1</x:v>
      </x:c>
      <x:c r="O64" s="12" t="n">
        <x:f>COUNTIFS('Pair Results'!$A$2:$A$193,$A64,'Pair Results'!$B$2:$B$193,$B64,'Pair Results'!$C$2:$C$193,$C64,'Pair Results'!$Y$2:$Y$193,"entropy")</x:f>
        <x:v>1</x:v>
      </x:c>
      <x:c r="P64" s="12" t="n">
        <x:f>COUNTIFS('Pair Results'!$A$2:$A$193,$A64,'Pair Results'!$B$2:$B$193,$B64,'Pair Results'!$C$2:$C$193,$C64,'Pair Results'!$Y$2:$Y$193,"tie")</x:f>
        <x:v>1</x:v>
      </x:c>
      <x:c r="Q64" s="12" t="n">
        <x:f>MAXIFS('Pair Results'!$L$2:$L$193,'Pair Results'!$A$2:$A$193,$A64,'Pair Results'!$B$2:$B$193,$B64,'Pair Results'!$C$2:$C$193,$C64)</x:f>
        <x:v>0</x:v>
      </x:c>
    </x:row>
    <x:row r="65">
      <x:c r="A65" s="10" t="str">
        <x:v>ICH</x:v>
      </x:c>
      <x:c r="B65" s="12" t="n">
        <x:v>200</x:v>
      </x:c>
      <x:c r="C65" s="14" t="n">
        <x:v>0.7</x:v>
      </x:c>
      <x:c r="D65" s="12" t="n">
        <x:f>COUNTIFS('Pair Results'!$A$2:$A$193,$A65,'Pair Results'!$B$2:$B$193,$B65,'Pair Results'!$C$2:$C$193,$C65)</x:f>
        <x:v>3</x:v>
      </x:c>
      <x:c r="E65" s="12" t="n">
        <x:f>COUNTIFS('Pair Results'!$A$2:$A$193,$A65,'Pair Results'!$B$2:$B$193,$B65,'Pair Results'!$C$2:$C$193,$C65,'Pair Results'!$G$2:$G$193,1)</x:f>
        <x:v>3</x:v>
      </x:c>
      <x:c r="F65" s="12" t="n">
        <x:f>COUNTIFS('Pair Results'!$A$2:$A$193,$A65,'Pair Results'!$B$2:$B$193,$B65,'Pair Results'!$C$2:$C$193,$C65,'Pair Results'!$J$2:$J$193,1)</x:f>
        <x:v>3</x:v>
      </x:c>
      <x:c r="G65" s="12" t="n">
        <x:f>COUNTIFS('Pair Results'!$A$2:$A$193,$A65,'Pair Results'!$B$2:$B$193,$B65,'Pair Results'!$C$2:$C$193,$C65,'Pair Results'!$Q$2:$Q$193,1)</x:f>
        <x:v>3</x:v>
      </x:c>
      <x:c r="H65" s="12" t="n">
        <x:f>COUNTIFS('Pair Results'!$A$2:$A$193,$A65,'Pair Results'!$B$2:$B$193,$B65,'Pair Results'!$C$2:$C$193,$C65,'Pair Results'!$Z$2:$Z$193,1)</x:f>
        <x:v>0</x:v>
      </x:c>
      <x:c r="I65" s="12" t="n">
        <x:f>SUMIFS('Pair Results'!$L$2:$L$193,'Pair Results'!$A$2:$A$193,$A65,'Pair Results'!$B$2:$B$193,$B65,'Pair Results'!$C$2:$C$193,$C65)</x:f>
        <x:v>0</x:v>
      </x:c>
      <x:c r="J65" s="90" t="n">
        <x:f>1000*AVERAGEIFS('Pair Results'!$N$2:$N$193,'Pair Results'!$A$2:$A$193,$A65,'Pair Results'!$B$2:$B$193,$B65,'Pair Results'!$C$2:$C$193,$C65)</x:f>
        <x:v>6.481933252265056</x:v>
      </x:c>
      <x:c r="K65" s="90" t="n">
        <x:f>IFERROR(AVERAGEIFS('Pair Results'!$F$2:$F$193,'Pair Results'!$A$2:$A$193,$A65,'Pair Results'!$B$2:$B$193,$B65,'Pair Results'!$C$2:$C$193,$C65,'Pair Results'!$W$2:$W$193,1),"")</x:f>
        <x:v>56.333333333333336</x:v>
      </x:c>
      <x:c r="L65" s="90" t="n">
        <x:f>IFERROR(AVERAGEIFS('Pair Results'!$P$2:$P$193,'Pair Results'!$A$2:$A$193,$A65,'Pair Results'!$B$2:$B$193,$B65,'Pair Results'!$C$2:$C$193,$C65,'Pair Results'!$W$2:$W$193,1),"")</x:f>
        <x:v>57.333333333333336</x:v>
      </x:c>
      <x:c r="M65" s="90" t="n">
        <x:f>IF(OR(K65="",L65=""),"",L65-K65)</x:f>
        <x:v>1</x:v>
      </x:c>
      <x:c r="N65" s="12" t="n">
        <x:f>COUNTIFS('Pair Results'!$A$2:$A$193,$A65,'Pair Results'!$B$2:$B$193,$B65,'Pair Results'!$C$2:$C$193,$C65,'Pair Results'!$Y$2:$Y$193,"repaired")</x:f>
        <x:v>1</x:v>
      </x:c>
      <x:c r="O65" s="12" t="n">
        <x:f>COUNTIFS('Pair Results'!$A$2:$A$193,$A65,'Pair Results'!$B$2:$B$193,$B65,'Pair Results'!$C$2:$C$193,$C65,'Pair Results'!$Y$2:$Y$193,"entropy")</x:f>
        <x:v>2</x:v>
      </x:c>
      <x:c r="P65" s="12" t="n">
        <x:f>COUNTIFS('Pair Results'!$A$2:$A$193,$A65,'Pair Results'!$B$2:$B$193,$B65,'Pair Results'!$C$2:$C$193,$C65,'Pair Results'!$Y$2:$Y$193,"tie")</x:f>
        <x:v>0</x:v>
      </x:c>
      <x:c r="Q65" s="12" t="n">
        <x:f>MAXIFS('Pair Results'!$L$2:$L$193,'Pair Results'!$A$2:$A$193,$A65,'Pair Results'!$B$2:$B$193,$B65,'Pair Results'!$C$2:$C$193,$C65)</x:f>
        <x:v>0</x:v>
      </x:c>
    </x:row>
    <x:row r="66">
      <x:c r="A66" s="10" t="str">
        <x:v>ICH</x:v>
      </x:c>
      <x:c r="B66" s="12" t="n">
        <x:v>500</x:v>
      </x:c>
      <x:c r="C66" s="14" t="n">
        <x:v>0.1</x:v>
      </x:c>
      <x:c r="D66" s="12" t="n">
        <x:f>COUNTIFS('Pair Results'!$A$2:$A$193,$A66,'Pair Results'!$B$2:$B$193,$B66,'Pair Results'!$C$2:$C$193,$C66)</x:f>
        <x:v>3</x:v>
      </x:c>
      <x:c r="E66" s="12" t="n">
        <x:f>COUNTIFS('Pair Results'!$A$2:$A$193,$A66,'Pair Results'!$B$2:$B$193,$B66,'Pair Results'!$C$2:$C$193,$C66,'Pair Results'!$G$2:$G$193,1)</x:f>
        <x:v>3</x:v>
      </x:c>
      <x:c r="F66" s="12" t="n">
        <x:f>COUNTIFS('Pair Results'!$A$2:$A$193,$A66,'Pair Results'!$B$2:$B$193,$B66,'Pair Results'!$C$2:$C$193,$C66,'Pair Results'!$J$2:$J$193,1)</x:f>
        <x:v>3</x:v>
      </x:c>
      <x:c r="G66" s="12" t="n">
        <x:f>COUNTIFS('Pair Results'!$A$2:$A$193,$A66,'Pair Results'!$B$2:$B$193,$B66,'Pair Results'!$C$2:$C$193,$C66,'Pair Results'!$Q$2:$Q$193,1)</x:f>
        <x:v>3</x:v>
      </x:c>
      <x:c r="H66" s="12" t="n">
        <x:f>COUNTIFS('Pair Results'!$A$2:$A$193,$A66,'Pair Results'!$B$2:$B$193,$B66,'Pair Results'!$C$2:$C$193,$C66,'Pair Results'!$Z$2:$Z$193,1)</x:f>
        <x:v>0</x:v>
      </x:c>
      <x:c r="I66" s="12" t="n">
        <x:f>SUMIFS('Pair Results'!$L$2:$L$193,'Pair Results'!$A$2:$A$193,$A66,'Pair Results'!$B$2:$B$193,$B66,'Pair Results'!$C$2:$C$193,$C66)</x:f>
        <x:v>0</x:v>
      </x:c>
      <x:c r="J66" s="90" t="n">
        <x:f>1000*AVERAGEIFS('Pair Results'!$N$2:$N$193,'Pair Results'!$A$2:$A$193,$A66,'Pair Results'!$B$2:$B$193,$B66,'Pair Results'!$C$2:$C$193,$C66)</x:f>
        <x:v>19.010266677166026</x:v>
      </x:c>
      <x:c r="K66" s="90" t="n">
        <x:f>IFERROR(AVERAGEIFS('Pair Results'!$F$2:$F$193,'Pair Results'!$A$2:$A$193,$A66,'Pair Results'!$B$2:$B$193,$B66,'Pair Results'!$C$2:$C$193,$C66,'Pair Results'!$W$2:$W$193,1),"")</x:f>
        <x:v>55.666666666666664</x:v>
      </x:c>
      <x:c r="L66" s="90" t="n">
        <x:f>IFERROR(AVERAGEIFS('Pair Results'!$P$2:$P$193,'Pair Results'!$A$2:$A$193,$A66,'Pair Results'!$B$2:$B$193,$B66,'Pair Results'!$C$2:$C$193,$C66,'Pair Results'!$W$2:$W$193,1),"")</x:f>
        <x:v>56.666666666666664</x:v>
      </x:c>
      <x:c r="M66" s="90" t="n">
        <x:f>IF(OR(K66="",L66=""),"",L66-K66)</x:f>
        <x:v>1</x:v>
      </x:c>
      <x:c r="N66" s="12" t="n">
        <x:f>COUNTIFS('Pair Results'!$A$2:$A$193,$A66,'Pair Results'!$B$2:$B$193,$B66,'Pair Results'!$C$2:$C$193,$C66,'Pair Results'!$Y$2:$Y$193,"repaired")</x:f>
        <x:v>1</x:v>
      </x:c>
      <x:c r="O66" s="12" t="n">
        <x:f>COUNTIFS('Pair Results'!$A$2:$A$193,$A66,'Pair Results'!$B$2:$B$193,$B66,'Pair Results'!$C$2:$C$193,$C66,'Pair Results'!$Y$2:$Y$193,"entropy")</x:f>
        <x:v>2</x:v>
      </x:c>
      <x:c r="P66" s="12" t="n">
        <x:f>COUNTIFS('Pair Results'!$A$2:$A$193,$A66,'Pair Results'!$B$2:$B$193,$B66,'Pair Results'!$C$2:$C$193,$C66,'Pair Results'!$Y$2:$Y$193,"tie")</x:f>
        <x:v>0</x:v>
      </x:c>
      <x:c r="Q66" s="12" t="n">
        <x:f>MAXIFS('Pair Results'!$L$2:$L$193,'Pair Results'!$A$2:$A$193,$A66,'Pair Results'!$B$2:$B$193,$B66,'Pair Results'!$C$2:$C$193,$C66)</x:f>
        <x:v>0</x:v>
      </x:c>
    </x:row>
    <x:row r="67">
      <x:c r="A67" s="10" t="str">
        <x:v>ICH</x:v>
      </x:c>
      <x:c r="B67" s="12" t="n">
        <x:v>500</x:v>
      </x:c>
      <x:c r="C67" s="14" t="n">
        <x:v>0.3</x:v>
      </x:c>
      <x:c r="D67" s="12" t="n">
        <x:f>COUNTIFS('Pair Results'!$A$2:$A$193,$A67,'Pair Results'!$B$2:$B$193,$B67,'Pair Results'!$C$2:$C$193,$C67)</x:f>
        <x:v>3</x:v>
      </x:c>
      <x:c r="E67" s="12" t="n">
        <x:f>COUNTIFS('Pair Results'!$A$2:$A$193,$A67,'Pair Results'!$B$2:$B$193,$B67,'Pair Results'!$C$2:$C$193,$C67,'Pair Results'!$G$2:$G$193,1)</x:f>
        <x:v>3</x:v>
      </x:c>
      <x:c r="F67" s="12" t="n">
        <x:f>COUNTIFS('Pair Results'!$A$2:$A$193,$A67,'Pair Results'!$B$2:$B$193,$B67,'Pair Results'!$C$2:$C$193,$C67,'Pair Results'!$J$2:$J$193,1)</x:f>
        <x:v>3</x:v>
      </x:c>
      <x:c r="G67" s="12" t="n">
        <x:f>COUNTIFS('Pair Results'!$A$2:$A$193,$A67,'Pair Results'!$B$2:$B$193,$B67,'Pair Results'!$C$2:$C$193,$C67,'Pair Results'!$Q$2:$Q$193,1)</x:f>
        <x:v>3</x:v>
      </x:c>
      <x:c r="H67" s="12" t="n">
        <x:f>COUNTIFS('Pair Results'!$A$2:$A$193,$A67,'Pair Results'!$B$2:$B$193,$B67,'Pair Results'!$C$2:$C$193,$C67,'Pair Results'!$Z$2:$Z$193,1)</x:f>
        <x:v>0</x:v>
      </x:c>
      <x:c r="I67" s="12" t="n">
        <x:f>SUMIFS('Pair Results'!$L$2:$L$193,'Pair Results'!$A$2:$A$193,$A67,'Pair Results'!$B$2:$B$193,$B67,'Pair Results'!$C$2:$C$193,$C67)</x:f>
        <x:v>0</x:v>
      </x:c>
      <x:c r="J67" s="90" t="n">
        <x:f>1000*AVERAGEIFS('Pair Results'!$N$2:$N$193,'Pair Results'!$A$2:$A$193,$A67,'Pair Results'!$B$2:$B$193,$B67,'Pair Results'!$C$2:$C$193,$C67)</x:f>
        <x:v>20.393266653021175</x:v>
      </x:c>
      <x:c r="K67" s="90" t="n">
        <x:f>IFERROR(AVERAGEIFS('Pair Results'!$F$2:$F$193,'Pair Results'!$A$2:$A$193,$A67,'Pair Results'!$B$2:$B$193,$B67,'Pair Results'!$C$2:$C$193,$C67,'Pair Results'!$W$2:$W$193,1),"")</x:f>
        <x:v>57.666666666666664</x:v>
      </x:c>
      <x:c r="L67" s="90" t="n">
        <x:f>IFERROR(AVERAGEIFS('Pair Results'!$P$2:$P$193,'Pair Results'!$A$2:$A$193,$A67,'Pair Results'!$B$2:$B$193,$B67,'Pair Results'!$C$2:$C$193,$C67,'Pair Results'!$W$2:$W$193,1),"")</x:f>
        <x:v>57.333333333333336</x:v>
      </x:c>
      <x:c r="M67" s="90" t="n">
        <x:f>IF(OR(K67="",L67=""),"",L67-K67)</x:f>
        <x:v>-0.3333333333333286</x:v>
      </x:c>
      <x:c r="N67" s="12" t="n">
        <x:f>COUNTIFS('Pair Results'!$A$2:$A$193,$A67,'Pair Results'!$B$2:$B$193,$B67,'Pair Results'!$C$2:$C$193,$C67,'Pair Results'!$Y$2:$Y$193,"repaired")</x:f>
        <x:v>2</x:v>
      </x:c>
      <x:c r="O67" s="12" t="n">
        <x:f>COUNTIFS('Pair Results'!$A$2:$A$193,$A67,'Pair Results'!$B$2:$B$193,$B67,'Pair Results'!$C$2:$C$193,$C67,'Pair Results'!$Y$2:$Y$193,"entropy")</x:f>
        <x:v>1</x:v>
      </x:c>
      <x:c r="P67" s="12" t="n">
        <x:f>COUNTIFS('Pair Results'!$A$2:$A$193,$A67,'Pair Results'!$B$2:$B$193,$B67,'Pair Results'!$C$2:$C$193,$C67,'Pair Results'!$Y$2:$Y$193,"tie")</x:f>
        <x:v>0</x:v>
      </x:c>
      <x:c r="Q67" s="12" t="n">
        <x:f>MAXIFS('Pair Results'!$L$2:$L$193,'Pair Results'!$A$2:$A$193,$A67,'Pair Results'!$B$2:$B$193,$B67,'Pair Results'!$C$2:$C$193,$C67)</x:f>
        <x:v>0</x:v>
      </x:c>
    </x:row>
    <x:row r="68">
      <x:c r="A68" s="10" t="str">
        <x:v>ICH</x:v>
      </x:c>
      <x:c r="B68" s="12" t="n">
        <x:v>500</x:v>
      </x:c>
      <x:c r="C68" s="14" t="n">
        <x:v>0.5</x:v>
      </x:c>
      <x:c r="D68" s="12" t="n">
        <x:f>COUNTIFS('Pair Results'!$A$2:$A$193,$A68,'Pair Results'!$B$2:$B$193,$B68,'Pair Results'!$C$2:$C$193,$C68)</x:f>
        <x:v>3</x:v>
      </x:c>
      <x:c r="E68" s="12" t="n">
        <x:f>COUNTIFS('Pair Results'!$A$2:$A$193,$A68,'Pair Results'!$B$2:$B$193,$B68,'Pair Results'!$C$2:$C$193,$C68,'Pair Results'!$G$2:$G$193,1)</x:f>
        <x:v>3</x:v>
      </x:c>
      <x:c r="F68" s="12" t="n">
        <x:f>COUNTIFS('Pair Results'!$A$2:$A$193,$A68,'Pair Results'!$B$2:$B$193,$B68,'Pair Results'!$C$2:$C$193,$C68,'Pair Results'!$J$2:$J$193,1)</x:f>
        <x:v>3</x:v>
      </x:c>
      <x:c r="G68" s="12" t="n">
        <x:f>COUNTIFS('Pair Results'!$A$2:$A$193,$A68,'Pair Results'!$B$2:$B$193,$B68,'Pair Results'!$C$2:$C$193,$C68,'Pair Results'!$Q$2:$Q$193,1)</x:f>
        <x:v>3</x:v>
      </x:c>
      <x:c r="H68" s="12" t="n">
        <x:f>COUNTIFS('Pair Results'!$A$2:$A$193,$A68,'Pair Results'!$B$2:$B$193,$B68,'Pair Results'!$C$2:$C$193,$C68,'Pair Results'!$Z$2:$Z$193,1)</x:f>
        <x:v>0</x:v>
      </x:c>
      <x:c r="I68" s="12" t="n">
        <x:f>SUMIFS('Pair Results'!$L$2:$L$193,'Pair Results'!$A$2:$A$193,$A68,'Pair Results'!$B$2:$B$193,$B68,'Pair Results'!$C$2:$C$193,$C68)</x:f>
        <x:v>0</x:v>
      </x:c>
      <x:c r="J68" s="90" t="n">
        <x:f>1000*AVERAGEIFS('Pair Results'!$N$2:$N$193,'Pair Results'!$A$2:$A$193,$A68,'Pair Results'!$B$2:$B$193,$B68,'Pair Results'!$C$2:$C$193,$C68)</x:f>
        <x:v>23.877933349770803</x:v>
      </x:c>
      <x:c r="K68" s="90" t="n">
        <x:f>IFERROR(AVERAGEIFS('Pair Results'!$F$2:$F$193,'Pair Results'!$A$2:$A$193,$A68,'Pair Results'!$B$2:$B$193,$B68,'Pair Results'!$C$2:$C$193,$C68,'Pair Results'!$W$2:$W$193,1),"")</x:f>
        <x:v>79</x:v>
      </x:c>
      <x:c r="L68" s="90" t="n">
        <x:f>IFERROR(AVERAGEIFS('Pair Results'!$P$2:$P$193,'Pair Results'!$A$2:$A$193,$A68,'Pair Results'!$B$2:$B$193,$B68,'Pair Results'!$C$2:$C$193,$C68,'Pair Results'!$W$2:$W$193,1),"")</x:f>
        <x:v>77.66666666666667</x:v>
      </x:c>
      <x:c r="M68" s="90" t="n">
        <x:f>IF(OR(K68="",L68=""),"",L68-K68)</x:f>
        <x:v>-1.3333333333333286</x:v>
      </x:c>
      <x:c r="N68" s="12" t="n">
        <x:f>COUNTIFS('Pair Results'!$A$2:$A$193,$A68,'Pair Results'!$B$2:$B$193,$B68,'Pair Results'!$C$2:$C$193,$C68,'Pair Results'!$Y$2:$Y$193,"repaired")</x:f>
        <x:v>2</x:v>
      </x:c>
      <x:c r="O68" s="12" t="n">
        <x:f>COUNTIFS('Pair Results'!$A$2:$A$193,$A68,'Pair Results'!$B$2:$B$193,$B68,'Pair Results'!$C$2:$C$193,$C68,'Pair Results'!$Y$2:$Y$193,"entropy")</x:f>
        <x:v>0</x:v>
      </x:c>
      <x:c r="P68" s="12" t="n">
        <x:f>COUNTIFS('Pair Results'!$A$2:$A$193,$A68,'Pair Results'!$B$2:$B$193,$B68,'Pair Results'!$C$2:$C$193,$C68,'Pair Results'!$Y$2:$Y$193,"tie")</x:f>
        <x:v>1</x:v>
      </x:c>
      <x:c r="Q68" s="12" t="n">
        <x:f>MAXIFS('Pair Results'!$L$2:$L$193,'Pair Results'!$A$2:$A$193,$A68,'Pair Results'!$B$2:$B$193,$B68,'Pair Results'!$C$2:$C$193,$C68)</x:f>
        <x:v>0</x:v>
      </x:c>
    </x:row>
    <x:row r="69">
      <x:c r="A69" s="10" t="str">
        <x:v>ICH</x:v>
      </x:c>
      <x:c r="B69" s="12" t="n">
        <x:v>500</x:v>
      </x:c>
      <x:c r="C69" s="14" t="n">
        <x:v>0.7</x:v>
      </x:c>
      <x:c r="D69" s="12" t="n">
        <x:f>COUNTIFS('Pair Results'!$A$2:$A$193,$A69,'Pair Results'!$B$2:$B$193,$B69,'Pair Results'!$C$2:$C$193,$C69)</x:f>
        <x:v>3</x:v>
      </x:c>
      <x:c r="E69" s="12" t="n">
        <x:f>COUNTIFS('Pair Results'!$A$2:$A$193,$A69,'Pair Results'!$B$2:$B$193,$B69,'Pair Results'!$C$2:$C$193,$C69,'Pair Results'!$G$2:$G$193,1)</x:f>
        <x:v>3</x:v>
      </x:c>
      <x:c r="F69" s="12" t="n">
        <x:f>COUNTIFS('Pair Results'!$A$2:$A$193,$A69,'Pair Results'!$B$2:$B$193,$B69,'Pair Results'!$C$2:$C$193,$C69,'Pair Results'!$J$2:$J$193,1)</x:f>
        <x:v>3</x:v>
      </x:c>
      <x:c r="G69" s="12" t="n">
        <x:f>COUNTIFS('Pair Results'!$A$2:$A$193,$A69,'Pair Results'!$B$2:$B$193,$B69,'Pair Results'!$C$2:$C$193,$C69,'Pair Results'!$Q$2:$Q$193,1)</x:f>
        <x:v>3</x:v>
      </x:c>
      <x:c r="H69" s="12" t="n">
        <x:f>COUNTIFS('Pair Results'!$A$2:$A$193,$A69,'Pair Results'!$B$2:$B$193,$B69,'Pair Results'!$C$2:$C$193,$C69,'Pair Results'!$Z$2:$Z$193,1)</x:f>
        <x:v>0</x:v>
      </x:c>
      <x:c r="I69" s="12" t="n">
        <x:f>SUMIFS('Pair Results'!$L$2:$L$193,'Pair Results'!$A$2:$A$193,$A69,'Pair Results'!$B$2:$B$193,$B69,'Pair Results'!$C$2:$C$193,$C69)</x:f>
        <x:v>0</x:v>
      </x:c>
      <x:c r="J69" s="90" t="n">
        <x:f>1000*AVERAGEIFS('Pair Results'!$N$2:$N$193,'Pair Results'!$A$2:$A$193,$A69,'Pair Results'!$B$2:$B$193,$B69,'Pair Results'!$C$2:$C$193,$C69)</x:f>
        <x:v>28.1230666829894</x:v>
      </x:c>
      <x:c r="K69" s="90" t="n">
        <x:f>IFERROR(AVERAGEIFS('Pair Results'!$F$2:$F$193,'Pair Results'!$A$2:$A$193,$A69,'Pair Results'!$B$2:$B$193,$B69,'Pair Results'!$C$2:$C$193,$C69,'Pair Results'!$W$2:$W$193,1),"")</x:f>
        <x:v>97.33333333333333</x:v>
      </x:c>
      <x:c r="L69" s="90" t="n">
        <x:f>IFERROR(AVERAGEIFS('Pair Results'!$P$2:$P$193,'Pair Results'!$A$2:$A$193,$A69,'Pair Results'!$B$2:$B$193,$B69,'Pair Results'!$C$2:$C$193,$C69,'Pair Results'!$W$2:$W$193,1),"")</x:f>
        <x:v>96.66666666666667</x:v>
      </x:c>
      <x:c r="M69" s="90" t="n">
        <x:f>IF(OR(K69="",L69=""),"",L69-K69)</x:f>
        <x:v>-0.6666666666666572</x:v>
      </x:c>
      <x:c r="N69" s="12" t="n">
        <x:f>COUNTIFS('Pair Results'!$A$2:$A$193,$A69,'Pair Results'!$B$2:$B$193,$B69,'Pair Results'!$C$2:$C$193,$C69,'Pair Results'!$Y$2:$Y$193,"repaired")</x:f>
        <x:v>2</x:v>
      </x:c>
      <x:c r="O69" s="12" t="n">
        <x:f>COUNTIFS('Pair Results'!$A$2:$A$193,$A69,'Pair Results'!$B$2:$B$193,$B69,'Pair Results'!$C$2:$C$193,$C69,'Pair Results'!$Y$2:$Y$193,"entropy")</x:f>
        <x:v>1</x:v>
      </x:c>
      <x:c r="P69" s="12" t="n">
        <x:f>COUNTIFS('Pair Results'!$A$2:$A$193,$A69,'Pair Results'!$B$2:$B$193,$B69,'Pair Results'!$C$2:$C$193,$C69,'Pair Results'!$Y$2:$Y$193,"tie")</x:f>
        <x:v>0</x:v>
      </x:c>
      <x:c r="Q69" s="12" t="n">
        <x:f>MAXIFS('Pair Results'!$L$2:$L$193,'Pair Results'!$A$2:$A$193,$A69,'Pair Results'!$B$2:$B$193,$B69,'Pair Results'!$C$2:$C$193,$C69)</x:f>
        <x:v>0</x:v>
      </x:c>
    </x:row>
  </x:sheetData>
  <x:mergeCells>
    <x:mergeCell ref="A1:Q1"/>
    <x:mergeCell ref="A2:Q2"/>
  </x:mergeCells>
  <x:conditionalFormatting sqref="M6:M69">
    <x:cfRule type="cellIs" dxfId="6" priority="1" operator="lessThan">
      <x:formula>0</x:formula>
    </x:cfRule>
    <x:cfRule type="cellIs" dxfId="7" priority="2" operator="greaterThan">
      <x:formula>0</x:formula>
    </x:cfRule>
  </x:conditionalFormatting>
  <x:pageMargins left="0.7" right="0.7" top="0.75" bottom="0.75" header="0.3" footer="0.3"/>
  <x:tableParts count="1">
    <x:tablePart xmlns:r="http://schemas.openxmlformats.org/officeDocument/2006/relationships" r:id="Rbdee43686e78445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1" hidden="0" customWidth="1"/>
    <x:col min="3" max="3" width="11" hidden="0" customWidth="1"/>
    <x:col min="4" max="4" width="11" hidden="0" customWidth="1"/>
    <x:col min="5" max="5" width="15" hidden="0" customWidth="1"/>
    <x:col min="6" max="6" width="12"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24" hidden="0" customWidth="1"/>
    <x:col min="19" max="19" width="20" hidden="0" customWidth="1"/>
  </x:cols>
  <x:sheetData>
    <x:row r="1" ht="36" customHeight="1">
      <x:c r="A1" s="24" t="str">
        <x:v>Rows That Required Global Repair</x:v>
      </x:c>
      <x:c r="B1" s="24"/>
      <x:c r="C1" s="24"/>
      <x:c r="D1" s="24"/>
      <x:c r="E1" s="24"/>
      <x:c r="F1" s="24"/>
      <x:c r="G1" s="24"/>
      <x:c r="H1" s="24"/>
      <x:c r="I1" s="24"/>
      <x:c r="J1" s="24"/>
      <x:c r="K1" s="24"/>
      <x:c r="L1" s="24"/>
      <x:c r="M1" s="24"/>
      <x:c r="N1" s="24"/>
      <x:c r="O1" s="24"/>
      <x:c r="P1" s="24"/>
      <x:c r="Q1" s="24"/>
      <x:c r="R1" s="24"/>
      <x:c r="S1" s="24"/>
    </x:row>
    <x:row r="2" ht="26" customHeight="1">
      <x:c r="A2" s="30" t="str">
        <x:v>These 13 original Collision outputs were invalid. A globally selected probe was added until no whole-graph signature collisions remained, then the set was pruned and verified.</x:v>
      </x:c>
      <x:c r="B2" s="30"/>
      <x:c r="C2" s="30"/>
      <x:c r="D2" s="30"/>
      <x:c r="E2" s="30"/>
      <x:c r="F2" s="30"/>
      <x:c r="G2" s="30"/>
      <x:c r="H2" s="30"/>
      <x:c r="I2" s="30"/>
      <x:c r="J2" s="30"/>
      <x:c r="K2" s="30"/>
      <x:c r="L2" s="30"/>
      <x:c r="M2" s="30"/>
      <x:c r="N2" s="30"/>
      <x:c r="O2" s="30"/>
      <x:c r="P2" s="30"/>
      <x:c r="Q2" s="30"/>
      <x:c r="R2" s="30"/>
      <x:c r="S2" s="30"/>
    </x:row>
    <x:row r="3">
      <x:c r="A3" s="38" t="str">
        <x:v>Rows repaired</x:v>
      </x:c>
      <x:c r="B3" s="38"/>
      <x:c r="C3" s="38"/>
      <x:c r="D3" s="38" t="str">
        <x:v>Grid rows</x:v>
      </x:c>
      <x:c r="E3" s="38"/>
      <x:c r="F3" s="38"/>
      <x:c r="G3" s="38" t="str">
        <x:v>Zoomed rows</x:v>
      </x:c>
      <x:c r="H3" s="38"/>
      <x:c r="I3" s="38"/>
      <x:c r="J3" s="38" t="str">
        <x:v>Total probes</x:v>
      </x:c>
      <x:c r="K3" s="38"/>
      <x:c r="L3" s="38"/>
      <x:c r="M3" s="38" t="str">
        <x:v>Maximum probes</x:v>
      </x:c>
      <x:c r="N3" s="38"/>
      <x:c r="O3" s="38"/>
    </x:row>
    <x:row r="4">
      <x:c r="A4" s="46" t="n">
        <x:f>SUM('Pair Results'!$Z$2:$Z$193)</x:f>
        <x:v>13</x:v>
      </x:c>
      <x:c r="B4" s="46"/>
      <x:c r="C4" s="46"/>
      <x:c r="D4" s="46" t="n">
        <x:f>COUNTIFS('Pair Results'!$A$2:$A$193,"Grid",'Pair Results'!$Z$2:$Z$193,1)</x:f>
        <x:v>12</x:v>
      </x:c>
      <x:c r="E4" s="46"/>
      <x:c r="F4" s="46"/>
      <x:c r="G4" s="46" t="n">
        <x:f>COUNTIFS('Pair Results'!$A$2:$A$193,"Zoomed Square",'Pair Results'!$Z$2:$Z$193,1)</x:f>
        <x:v>1</x:v>
      </x:c>
      <x:c r="H4" s="46"/>
      <x:c r="I4" s="46"/>
      <x:c r="J4" s="46" t="n">
        <x:f>SUM('Pair Results'!$L$2:$L$193)</x:f>
        <x:v>42</x:v>
      </x:c>
      <x:c r="K4" s="46"/>
      <x:c r="L4" s="46"/>
      <x:c r="M4" s="46" t="n">
        <x:f>MAX('Pair Results'!$L$2:$L$193)</x:f>
        <x:v>8</x:v>
      </x:c>
      <x:c r="N4" s="46"/>
      <x:c r="O4" s="46"/>
    </x:row>
    <x:row r="7" ht="34" customHeight="1">
      <x:c r="A7" s="70" t="str">
        <x:v>Family</x:v>
      </x:c>
      <x:c r="B7" s="71" t="str">
        <x:v>n</x:v>
      </x:c>
      <x:c r="C7" s="71" t="str">
        <x:v>radius</x:v>
      </x:c>
      <x:c r="D7" s="71" t="str">
        <x:v>repeat</x:v>
      </x:c>
      <x:c r="E7" s="71" t="str">
        <x:v>graph_seed</x:v>
      </x:c>
      <x:c r="F7" s="71" t="str">
        <x:v>Components</x:v>
      </x:c>
      <x:c r="G7" s="71" t="str">
        <x:v>Original valid</x:v>
      </x:c>
      <x:c r="H7" s="71" t="str">
        <x:v>Pairs before</x:v>
      </x:c>
      <x:c r="I7" s="71" t="str">
        <x:v>Repair probes</x:v>
      </x:c>
      <x:c r="J7" s="71" t="str">
        <x:v>Original reported</x:v>
      </x:c>
      <x:c r="K7" s="71" t="str">
        <x:v>Repaired pre-prune</x:v>
      </x:c>
      <x:c r="L7" s="71" t="str">
        <x:v>Pruned after</x:v>
      </x:c>
      <x:c r="M7" s="71" t="str">
        <x:v>Repaired final</x:v>
      </x:c>
      <x:c r="N7" s="71" t="str">
        <x:v>Entropy valid</x:v>
      </x:c>
      <x:c r="O7" s="71" t="str">
        <x:v>Entropy size</x:v>
      </x:c>
      <x:c r="P7" s="71" t="str">
        <x:v>Repaired - Entropy</x:v>
      </x:c>
      <x:c r="Q7" s="71" t="str">
        <x:v>Repair time (ms)</x:v>
      </x:c>
      <x:c r="R7" s="71" t="str">
        <x:v>Probe IDs</x:v>
      </x:c>
      <x:c r="S7" s="72" t="str">
        <x:v>Outcome</x:v>
      </x:c>
    </x:row>
    <x:row r="8">
      <x:c r="A8" s="73" t="str">
        <x:f>'Pair Results'!A2</x:f>
        <x:v>Grid</x:v>
      </x:c>
      <x:c r="B8" s="74" t="n">
        <x:f>'Pair Results'!B2</x:f>
        <x:v>50</x:v>
      </x:c>
      <x:c r="C8" s="75" t="n">
        <x:f>'Pair Results'!C2</x:f>
        <x:v>0.1</x:v>
      </x:c>
      <x:c r="D8" s="74" t="n">
        <x:f>'Pair Results'!D2</x:f>
        <x:v>1</x:v>
      </x:c>
      <x:c r="E8" s="74" t="n">
        <x:f>'Pair Results'!E2</x:f>
        <x:v>209009057</x:v>
      </x:c>
      <x:c r="F8" s="74" t="n">
        <x:f>VALUE('Raw Results'!$F$2)</x:f>
        <x:v>24</x:v>
      </x:c>
      <x:c r="G8" s="74" t="str">
        <x:f>IF('Pair Results'!J2=1,"Yes","No")</x:f>
        <x:v>No</x:v>
      </x:c>
      <x:c r="H8" s="74" t="n">
        <x:f>'Pair Results'!K2</x:f>
        <x:v>18</x:v>
      </x:c>
      <x:c r="I8" s="74" t="n">
        <x:f>'Pair Results'!L2</x:f>
        <x:v>6</x:v>
      </x:c>
      <x:c r="J8" s="74" t="n">
        <x:f>'Pair Results'!I2</x:f>
        <x:v>27</x:v>
      </x:c>
      <x:c r="K8" s="74" t="n">
        <x:f>'Pair Results'!O2</x:f>
        <x:v>33</x:v>
      </x:c>
      <x:c r="L8" s="74" t="n">
        <x:f>'Pair Results'!R2</x:f>
        <x:v>5</x:v>
      </x:c>
      <x:c r="M8" s="74" t="n">
        <x:f>'Pair Results'!P2</x:f>
        <x:v>28</x:v>
      </x:c>
      <x:c r="N8" s="74" t="str">
        <x:f>IF('Pair Results'!G2=1,"Yes","No")</x:f>
        <x:v>No</x:v>
      </x:c>
      <x:c r="O8" s="74" t="n">
        <x:f>'Pair Results'!F2</x:f>
        <x:v>28</x:v>
      </x:c>
      <x:c r="P8" s="76" t="str">
        <x:f>IF(N8="Yes",M8-O8,"")</x:f>
      </x:c>
      <x:c r="Q8" s="77" t="n">
        <x:f>1000*'Pair Results'!N2</x:f>
        <x:v>5.0388999516144395</x:v>
      </x:c>
      <x:c r="R8" s="78" t="str">
        <x:f>'Pair Results'!M2</x:f>
        <x:v>6,12,30,36,35,41</x:v>
      </x:c>
      <x:c r="S8" s="79" t="str">
        <x:f>IF(N8="No","Repaired only valid",IF(P8&lt;0,"Repaired smaller",IF(P8&gt;0,"Entropy smaller","Tie")))</x:f>
        <x:v>Repaired only valid</x:v>
      </x:c>
    </x:row>
    <x:row r="9">
      <x:c r="A9" s="73" t="str">
        <x:f>'Pair Results'!A6</x:f>
        <x:v>Grid</x:v>
      </x:c>
      <x:c r="B9" s="74" t="n">
        <x:f>'Pair Results'!B6</x:f>
        <x:v>50</x:v>
      </x:c>
      <x:c r="C9" s="75" t="n">
        <x:f>'Pair Results'!C6</x:f>
        <x:v>0.1</x:v>
      </x:c>
      <x:c r="D9" s="74" t="n">
        <x:f>'Pair Results'!D6</x:f>
        <x:v>2</x:v>
      </x:c>
      <x:c r="E9" s="74" t="n">
        <x:f>'Pair Results'!E6</x:f>
        <x:v>19468622</x:v>
      </x:c>
      <x:c r="F9" s="74" t="n">
        <x:f>VALUE('Raw Results'!$F$3)</x:f>
        <x:v>23</x:v>
      </x:c>
      <x:c r="G9" s="74" t="str">
        <x:f>IF('Pair Results'!J6=1,"Yes","No")</x:f>
        <x:v>No</x:v>
      </x:c>
      <x:c r="H9" s="74" t="n">
        <x:f>'Pair Results'!K6</x:f>
        <x:v>6</x:v>
      </x:c>
      <x:c r="I9" s="74" t="n">
        <x:f>'Pair Results'!L6</x:f>
        <x:v>2</x:v>
      </x:c>
      <x:c r="J9" s="74" t="n">
        <x:f>'Pair Results'!I6</x:f>
        <x:v>29</x:v>
      </x:c>
      <x:c r="K9" s="74" t="n">
        <x:f>'Pair Results'!O6</x:f>
        <x:v>31</x:v>
      </x:c>
      <x:c r="L9" s="74" t="n">
        <x:f>'Pair Results'!R6</x:f>
        <x:v>4</x:v>
      </x:c>
      <x:c r="M9" s="74" t="n">
        <x:f>'Pair Results'!P6</x:f>
        <x:v>27</x:v>
      </x:c>
      <x:c r="N9" s="74" t="str">
        <x:f>IF('Pair Results'!G6=1,"Yes","No")</x:f>
        <x:v>No</x:v>
      </x:c>
      <x:c r="O9" s="74" t="n">
        <x:f>'Pair Results'!F6</x:f>
        <x:v>32</x:v>
      </x:c>
      <x:c r="P9" s="76" t="str">
        <x:f>IF(N9="Yes",M9-O9,"")</x:f>
      </x:c>
      <x:c r="Q9" s="77" t="n">
        <x:f>1000*'Pair Results'!N6</x:f>
        <x:v>2.634100033901632</x:v>
      </x:c>
      <x:c r="R9" s="78" t="str">
        <x:f>'Pair Results'!M6</x:f>
        <x:v>43,21</x:v>
      </x:c>
      <x:c r="S9" s="79" t="str">
        <x:f>IF(N9="No","Repaired only valid",IF(P9&lt;0,"Repaired smaller",IF(P9&gt;0,"Entropy smaller","Tie")))</x:f>
        <x:v>Repaired only valid</x:v>
      </x:c>
    </x:row>
    <x:row r="10">
      <x:c r="A10" s="73" t="str">
        <x:f>'Pair Results'!A10</x:f>
        <x:v>Grid</x:v>
      </x:c>
      <x:c r="B10" s="74" t="n">
        <x:f>'Pair Results'!B10</x:f>
        <x:v>50</x:v>
      </x:c>
      <x:c r="C10" s="75" t="n">
        <x:f>'Pair Results'!C10</x:f>
        <x:v>0.1</x:v>
      </x:c>
      <x:c r="D10" s="74" t="n">
        <x:f>'Pair Results'!D10</x:f>
        <x:v>3</x:v>
      </x:c>
      <x:c r="E10" s="74" t="n">
        <x:f>'Pair Results'!E10</x:f>
        <x:v>2553414308</x:v>
      </x:c>
      <x:c r="F10" s="74" t="n">
        <x:f>VALUE('Raw Results'!$F$4)</x:f>
        <x:v>27</x:v>
      </x:c>
      <x:c r="G10" s="74" t="str">
        <x:f>IF('Pair Results'!J10=1,"Yes","No")</x:f>
        <x:v>No</x:v>
      </x:c>
      <x:c r="H10" s="74" t="n">
        <x:f>'Pair Results'!K10</x:f>
        <x:v>21</x:v>
      </x:c>
      <x:c r="I10" s="74" t="n">
        <x:f>'Pair Results'!L10</x:f>
        <x:v>6</x:v>
      </x:c>
      <x:c r="J10" s="74" t="n">
        <x:f>'Pair Results'!I10</x:f>
        <x:v>28</x:v>
      </x:c>
      <x:c r="K10" s="74" t="n">
        <x:f>'Pair Results'!O10</x:f>
        <x:v>34</x:v>
      </x:c>
      <x:c r="L10" s="74" t="n">
        <x:f>'Pair Results'!R10</x:f>
        <x:v>4</x:v>
      </x:c>
      <x:c r="M10" s="74" t="n">
        <x:f>'Pair Results'!P10</x:f>
        <x:v>30</x:v>
      </x:c>
      <x:c r="N10" s="74" t="str">
        <x:f>IF('Pair Results'!G10=1,"Yes","No")</x:f>
        <x:v>No</x:v>
      </x:c>
      <x:c r="O10" s="74" t="n">
        <x:f>'Pair Results'!F10</x:f>
        <x:v>28</x:v>
      </x:c>
      <x:c r="P10" s="76" t="str">
        <x:f>IF(N10="Yes",M10-O10,"")</x:f>
      </x:c>
      <x:c r="Q10" s="77" t="n">
        <x:f>1000*'Pair Results'!N10</x:f>
        <x:v>4.94699995033443</x:v>
      </x:c>
      <x:c r="R10" s="78" t="str">
        <x:f>'Pair Results'!M10</x:f>
        <x:v>7,16,32,36,37,39</x:v>
      </x:c>
      <x:c r="S10" s="79" t="str">
        <x:f>IF(N10="No","Repaired only valid",IF(P10&lt;0,"Repaired smaller",IF(P10&gt;0,"Entropy smaller","Tie")))</x:f>
        <x:v>Repaired only valid</x:v>
      </x:c>
    </x:row>
    <x:row r="11">
      <x:c r="A11" s="73" t="str">
        <x:f>'Pair Results'!A18</x:f>
        <x:v>Grid</x:v>
      </x:c>
      <x:c r="B11" s="74" t="n">
        <x:f>'Pair Results'!B18</x:f>
        <x:v>50</x:v>
      </x:c>
      <x:c r="C11" s="75" t="n">
        <x:f>'Pair Results'!C18</x:f>
        <x:v>0.3</x:v>
      </x:c>
      <x:c r="D11" s="74" t="n">
        <x:f>'Pair Results'!D18</x:f>
        <x:v>2</x:v>
      </x:c>
      <x:c r="E11" s="74" t="n">
        <x:f>'Pair Results'!E18</x:f>
        <x:v>3034549</x:v>
      </x:c>
      <x:c r="F11" s="74" t="n">
        <x:f>VALUE('Raw Results'!$F$6)</x:f>
        <x:v>1</x:v>
      </x:c>
      <x:c r="G11" s="74" t="str">
        <x:f>IF('Pair Results'!J18=1,"Yes","No")</x:f>
        <x:v>No</x:v>
      </x:c>
      <x:c r="H11" s="74" t="n">
        <x:f>'Pair Results'!K18</x:f>
        <x:v>1</x:v>
      </x:c>
      <x:c r="I11" s="74" t="n">
        <x:f>'Pair Results'!L18</x:f>
        <x:v>1</x:v>
      </x:c>
      <x:c r="J11" s="74" t="n">
        <x:f>'Pair Results'!I18</x:f>
        <x:v>22</x:v>
      </x:c>
      <x:c r="K11" s="74" t="n">
        <x:f>'Pair Results'!O18</x:f>
        <x:v>23</x:v>
      </x:c>
      <x:c r="L11" s="74" t="n">
        <x:f>'Pair Results'!R18</x:f>
        <x:v>10</x:v>
      </x:c>
      <x:c r="M11" s="74" t="n">
        <x:f>'Pair Results'!P18</x:f>
        <x:v>13</x:v>
      </x:c>
      <x:c r="N11" s="74" t="str">
        <x:f>IF('Pair Results'!G18=1,"Yes","No")</x:f>
        <x:v>Yes</x:v>
      </x:c>
      <x:c r="O11" s="74" t="n">
        <x:f>'Pair Results'!F18</x:f>
        <x:v>12</x:v>
      </x:c>
      <x:c r="P11" s="76" t="n">
        <x:f>IF(N11="Yes",M11-O11,"")</x:f>
        <x:v>1</x:v>
      </x:c>
      <x:c r="Q11" s="77" t="n">
        <x:f>1000*'Pair Results'!N18</x:f>
        <x:v>3.1105000525712967</x:v>
      </x:c>
      <x:c r="R11" s="78" t="str">
        <x:f>'Pair Results'!M18</x:f>
        <x:v>18</x:v>
      </x:c>
      <x:c r="S11" s="79" t="str">
        <x:f>IF(N11="No","Repaired only valid",IF(P11&lt;0,"Repaired smaller",IF(P11&gt;0,"Entropy smaller","Tie")))</x:f>
        <x:v>Entropy smaller</x:v>
      </x:c>
    </x:row>
    <x:row r="12">
      <x:c r="A12" s="73" t="str">
        <x:f>'Pair Results'!A50</x:f>
        <x:v>Grid</x:v>
      </x:c>
      <x:c r="B12" s="74" t="n">
        <x:f>'Pair Results'!B50</x:f>
        <x:v>100</x:v>
      </x:c>
      <x:c r="C12" s="75" t="n">
        <x:f>'Pair Results'!C50</x:f>
        <x:v>0.1</x:v>
      </x:c>
      <x:c r="D12" s="74" t="n">
        <x:f>'Pair Results'!D50</x:f>
        <x:v>1</x:v>
      </x:c>
      <x:c r="E12" s="74" t="n">
        <x:f>'Pair Results'!E50</x:f>
        <x:v>1235212459</x:v>
      </x:c>
      <x:c r="F12" s="74" t="n">
        <x:f>VALUE('Raw Results'!$F$14)</x:f>
        <x:v>20</x:v>
      </x:c>
      <x:c r="G12" s="74" t="str">
        <x:f>IF('Pair Results'!J50=1,"Yes","No")</x:f>
        <x:v>No</x:v>
      </x:c>
      <x:c r="H12" s="74" t="n">
        <x:f>'Pair Results'!K50</x:f>
        <x:v>18</x:v>
      </x:c>
      <x:c r="I12" s="74" t="n">
        <x:f>'Pair Results'!L50</x:f>
        <x:v>8</x:v>
      </x:c>
      <x:c r="J12" s="74" t="n">
        <x:f>'Pair Results'!I50</x:f>
        <x:v>41</x:v>
      </x:c>
      <x:c r="K12" s="74" t="n">
        <x:f>'Pair Results'!O50</x:f>
        <x:v>49</x:v>
      </x:c>
      <x:c r="L12" s="74" t="n">
        <x:f>'Pair Results'!R50</x:f>
        <x:v>11</x:v>
      </x:c>
      <x:c r="M12" s="74" t="n">
        <x:f>'Pair Results'!P50</x:f>
        <x:v>38</x:v>
      </x:c>
      <x:c r="N12" s="74" t="str">
        <x:f>IF('Pair Results'!G50=1,"Yes","No")</x:f>
        <x:v>No</x:v>
      </x:c>
      <x:c r="O12" s="74" t="n">
        <x:f>'Pair Results'!F50</x:f>
        <x:v>47</x:v>
      </x:c>
      <x:c r="P12" s="76" t="str">
        <x:f>IF(N12="Yes",M12-O12,"")</x:f>
      </x:c>
      <x:c r="Q12" s="77" t="n">
        <x:f>1000*'Pair Results'!N50</x:f>
        <x:v>31.143600004725158</x:v>
      </x:c>
      <x:c r="R12" s="78" t="str">
        <x:f>'Pair Results'!M50</x:f>
        <x:v>1,30,41,56,2,36,46,60</x:v>
      </x:c>
      <x:c r="S12" s="79" t="str">
        <x:f>IF(N12="No","Repaired only valid",IF(P12&lt;0,"Repaired smaller",IF(P12&gt;0,"Entropy smaller","Tie")))</x:f>
        <x:v>Repaired only valid</x:v>
      </x:c>
    </x:row>
    <x:row r="13">
      <x:c r="A13" s="73" t="str">
        <x:f>'Pair Results'!A54</x:f>
        <x:v>Grid</x:v>
      </x:c>
      <x:c r="B13" s="74" t="n">
        <x:f>'Pair Results'!B54</x:f>
        <x:v>100</x:v>
      </x:c>
      <x:c r="C13" s="75" t="n">
        <x:f>'Pair Results'!C54</x:f>
        <x:v>0.1</x:v>
      </x:c>
      <x:c r="D13" s="74" t="n">
        <x:f>'Pair Results'!D54</x:f>
        <x:v>2</x:v>
      </x:c>
      <x:c r="E13" s="74" t="n">
        <x:f>'Pair Results'!E54</x:f>
        <x:v>2254199506</x:v>
      </x:c>
      <x:c r="F13" s="74" t="n">
        <x:f>VALUE('Raw Results'!$F$15)</x:f>
        <x:v>22</x:v>
      </x:c>
      <x:c r="G13" s="74" t="str">
        <x:f>IF('Pair Results'!J54=1,"Yes","No")</x:f>
        <x:v>No</x:v>
      </x:c>
      <x:c r="H13" s="74" t="n">
        <x:f>'Pair Results'!K54</x:f>
        <x:v>9</x:v>
      </x:c>
      <x:c r="I13" s="74" t="n">
        <x:f>'Pair Results'!L54</x:f>
        <x:v>6</x:v>
      </x:c>
      <x:c r="J13" s="74" t="n">
        <x:f>'Pair Results'!I54</x:f>
        <x:v>45</x:v>
      </x:c>
      <x:c r="K13" s="74" t="n">
        <x:f>'Pair Results'!O54</x:f>
        <x:v>51</x:v>
      </x:c>
      <x:c r="L13" s="74" t="n">
        <x:f>'Pair Results'!R54</x:f>
        <x:v>12</x:v>
      </x:c>
      <x:c r="M13" s="74" t="n">
        <x:f>'Pair Results'!P54</x:f>
        <x:v>39</x:v>
      </x:c>
      <x:c r="N13" s="74" t="str">
        <x:f>IF('Pair Results'!G54=1,"Yes","No")</x:f>
        <x:v>No</x:v>
      </x:c>
      <x:c r="O13" s="74" t="n">
        <x:f>'Pair Results'!F54</x:f>
        <x:v>53</x:v>
      </x:c>
      <x:c r="P13" s="76" t="str">
        <x:f>IF(N13="Yes",M13-O13,"")</x:f>
      </x:c>
      <x:c r="Q13" s="77" t="n">
        <x:f>1000*'Pair Results'!N54</x:f>
        <x:v>21.774000022560358</x:v>
      </x:c>
      <x:c r="R13" s="78" t="str">
        <x:f>'Pair Results'!M54</x:f>
        <x:v>18,31,9,17,83,91</x:v>
      </x:c>
      <x:c r="S13" s="79" t="str">
        <x:f>IF(N13="No","Repaired only valid",IF(P13&lt;0,"Repaired smaller",IF(P13&gt;0,"Entropy smaller","Tie")))</x:f>
        <x:v>Repaired only valid</x:v>
      </x:c>
    </x:row>
    <x:row r="14">
      <x:c r="A14" s="73" t="str">
        <x:f>'Pair Results'!A58</x:f>
        <x:v>Grid</x:v>
      </x:c>
      <x:c r="B14" s="74" t="n">
        <x:f>'Pair Results'!B58</x:f>
        <x:v>100</x:v>
      </x:c>
      <x:c r="C14" s="75" t="n">
        <x:f>'Pair Results'!C58</x:f>
        <x:v>0.1</x:v>
      </x:c>
      <x:c r="D14" s="74" t="n">
        <x:f>'Pair Results'!D58</x:f>
        <x:v>3</x:v>
      </x:c>
      <x:c r="E14" s="74" t="n">
        <x:f>'Pair Results'!E58</x:f>
        <x:v>983702907</x:v>
      </x:c>
      <x:c r="F14" s="74" t="n">
        <x:f>VALUE('Raw Results'!$F$16)</x:f>
        <x:v>19</x:v>
      </x:c>
      <x:c r="G14" s="74" t="str">
        <x:f>IF('Pair Results'!J58=1,"Yes","No")</x:f>
        <x:v>No</x:v>
      </x:c>
      <x:c r="H14" s="74" t="n">
        <x:f>'Pair Results'!K58</x:f>
        <x:v>11</x:v>
      </x:c>
      <x:c r="I14" s="74" t="n">
        <x:f>'Pair Results'!L58</x:f>
        <x:v>5</x:v>
      </x:c>
      <x:c r="J14" s="74" t="n">
        <x:f>'Pair Results'!I58</x:f>
        <x:v>52</x:v>
      </x:c>
      <x:c r="K14" s="74" t="n">
        <x:f>'Pair Results'!O58</x:f>
        <x:v>57</x:v>
      </x:c>
      <x:c r="L14" s="74" t="n">
        <x:f>'Pair Results'!R58</x:f>
        <x:v>19</x:v>
      </x:c>
      <x:c r="M14" s="74" t="n">
        <x:f>'Pair Results'!P58</x:f>
        <x:v>38</x:v>
      </x:c>
      <x:c r="N14" s="74" t="str">
        <x:f>IF('Pair Results'!G58=1,"Yes","No")</x:f>
        <x:v>No</x:v>
      </x:c>
      <x:c r="O14" s="74" t="n">
        <x:f>'Pair Results'!F58</x:f>
        <x:v>57</x:v>
      </x:c>
      <x:c r="P14" s="76" t="str">
        <x:f>IF(N14="Yes",M14-O14,"")</x:f>
      </x:c>
      <x:c r="Q14" s="77" t="n">
        <x:f>1000*'Pair Results'!N58</x:f>
        <x:v>23.509499966166914</x:v>
      </x:c>
      <x:c r="R14" s="78" t="str">
        <x:f>'Pair Results'!M58</x:f>
        <x:v>5,17,20,16,49</x:v>
      </x:c>
      <x:c r="S14" s="79" t="str">
        <x:f>IF(N14="No","Repaired only valid",IF(P14&lt;0,"Repaired smaller",IF(P14&gt;0,"Entropy smaller","Tie")))</x:f>
        <x:v>Repaired only valid</x:v>
      </x:c>
    </x:row>
    <x:row r="15">
      <x:c r="A15" s="73" t="str">
        <x:f>'Pair Results'!A66</x:f>
        <x:v>Grid</x:v>
      </x:c>
      <x:c r="B15" s="74" t="n">
        <x:f>'Pair Results'!B66</x:f>
        <x:v>100</x:v>
      </x:c>
      <x:c r="C15" s="75" t="n">
        <x:f>'Pair Results'!C66</x:f>
        <x:v>0.3</x:v>
      </x:c>
      <x:c r="D15" s="74" t="n">
        <x:f>'Pair Results'!D66</x:f>
        <x:v>2</x:v>
      </x:c>
      <x:c r="E15" s="74" t="n">
        <x:f>'Pair Results'!E66</x:f>
        <x:v>1469195711</x:v>
      </x:c>
      <x:c r="F15" s="74" t="n">
        <x:f>VALUE('Raw Results'!$F$18)</x:f>
        <x:v>1</x:v>
      </x:c>
      <x:c r="G15" s="74" t="str">
        <x:f>IF('Pair Results'!J66=1,"Yes","No")</x:f>
        <x:v>No</x:v>
      </x:c>
      <x:c r="H15" s="74" t="n">
        <x:f>'Pair Results'!K66</x:f>
        <x:v>1</x:v>
      </x:c>
      <x:c r="I15" s="74" t="n">
        <x:f>'Pair Results'!L66</x:f>
        <x:v>1</x:v>
      </x:c>
      <x:c r="J15" s="74" t="n">
        <x:f>'Pair Results'!I66</x:f>
        <x:v>41</x:v>
      </x:c>
      <x:c r="K15" s="74" t="n">
        <x:f>'Pair Results'!O66</x:f>
        <x:v>42</x:v>
      </x:c>
      <x:c r="L15" s="74" t="n">
        <x:f>'Pair Results'!R66</x:f>
        <x:v>23</x:v>
      </x:c>
      <x:c r="M15" s="74" t="n">
        <x:f>'Pair Results'!P66</x:f>
        <x:v>19</x:v>
      </x:c>
      <x:c r="N15" s="74" t="str">
        <x:f>IF('Pair Results'!G66=1,"Yes","No")</x:f>
        <x:v>Yes</x:v>
      </x:c>
      <x:c r="O15" s="74" t="n">
        <x:f>'Pair Results'!F66</x:f>
        <x:v>22</x:v>
      </x:c>
      <x:c r="P15" s="76" t="n">
        <x:f>IF(N15="Yes",M15-O15,"")</x:f>
        <x:v>-3</x:v>
      </x:c>
      <x:c r="Q15" s="77" t="n">
        <x:f>1000*'Pair Results'!N66</x:f>
        <x:v>11.232599965296686</x:v>
      </x:c>
      <x:c r="R15" s="78" t="str">
        <x:f>'Pair Results'!M66</x:f>
        <x:v>2</x:v>
      </x:c>
      <x:c r="S15" s="79" t="str">
        <x:f>IF(N15="No","Repaired only valid",IF(P15&lt;0,"Repaired smaller",IF(P15&gt;0,"Entropy smaller","Tie")))</x:f>
        <x:v>Repaired smaller</x:v>
      </x:c>
    </x:row>
    <x:row r="16">
      <x:c r="A16" s="73" t="str">
        <x:f>'Pair Results'!A98</x:f>
        <x:v>Grid</x:v>
      </x:c>
      <x:c r="B16" s="74" t="n">
        <x:f>'Pair Results'!B98</x:f>
        <x:v>200</x:v>
      </x:c>
      <x:c r="C16" s="75" t="n">
        <x:f>'Pair Results'!C98</x:f>
        <x:v>0.1</x:v>
      </x:c>
      <x:c r="D16" s="74" t="n">
        <x:f>'Pair Results'!D98</x:f>
        <x:v>1</x:v>
      </x:c>
      <x:c r="E16" s="74" t="n">
        <x:f>'Pair Results'!E98</x:f>
        <x:v>1851999943</x:v>
      </x:c>
      <x:c r="F16" s="74" t="n">
        <x:f>VALUE('Raw Results'!$F$26)</x:f>
        <x:v>4</x:v>
      </x:c>
      <x:c r="G16" s="74" t="str">
        <x:f>IF('Pair Results'!J98=1,"Yes","No")</x:f>
        <x:v>No</x:v>
      </x:c>
      <x:c r="H16" s="74" t="n">
        <x:f>'Pair Results'!K98</x:f>
        <x:v>2</x:v>
      </x:c>
      <x:c r="I16" s="74" t="n">
        <x:f>'Pair Results'!L98</x:f>
        <x:v>2</x:v>
      </x:c>
      <x:c r="J16" s="74" t="n">
        <x:f>'Pair Results'!I98</x:f>
        <x:v>82</x:v>
      </x:c>
      <x:c r="K16" s="74" t="n">
        <x:f>'Pair Results'!O98</x:f>
        <x:v>84</x:v>
      </x:c>
      <x:c r="L16" s="74" t="n">
        <x:f>'Pair Results'!R98</x:f>
        <x:v>51</x:v>
      </x:c>
      <x:c r="M16" s="74" t="n">
        <x:f>'Pair Results'!P98</x:f>
        <x:v>33</x:v>
      </x:c>
      <x:c r="N16" s="74" t="str">
        <x:f>IF('Pair Results'!G98=1,"Yes","No")</x:f>
        <x:v>No</x:v>
      </x:c>
      <x:c r="O16" s="74" t="n">
        <x:f>'Pair Results'!F98</x:f>
        <x:v>117</x:v>
      </x:c>
      <x:c r="P16" s="76" t="str">
        <x:f>IF(N16="Yes",M16-O16,"")</x:f>
      </x:c>
      <x:c r="Q16" s="77" t="n">
        <x:f>1000*'Pair Results'!N98</x:f>
        <x:v>83.60420004464686</x:v>
      </x:c>
      <x:c r="R16" s="78" t="str">
        <x:f>'Pair Results'!M98</x:f>
        <x:v>19,86</x:v>
      </x:c>
      <x:c r="S16" s="79" t="str">
        <x:f>IF(N16="No","Repaired only valid",IF(P16&lt;0,"Repaired smaller",IF(P16&gt;0,"Entropy smaller","Tie")))</x:f>
        <x:v>Repaired only valid</x:v>
      </x:c>
    </x:row>
    <x:row r="17">
      <x:c r="A17" s="73" t="str">
        <x:f>'Pair Results'!A102</x:f>
        <x:v>Grid</x:v>
      </x:c>
      <x:c r="B17" s="74" t="n">
        <x:f>'Pair Results'!B102</x:f>
        <x:v>200</x:v>
      </x:c>
      <x:c r="C17" s="75" t="n">
        <x:f>'Pair Results'!C102</x:f>
        <x:v>0.1</x:v>
      </x:c>
      <x:c r="D17" s="74" t="n">
        <x:f>'Pair Results'!D102</x:f>
        <x:v>2</x:v>
      </x:c>
      <x:c r="E17" s="74" t="n">
        <x:f>'Pair Results'!E102</x:f>
        <x:v>1039340281</x:v>
      </x:c>
      <x:c r="F17" s="74" t="n">
        <x:f>VALUE('Raw Results'!$F$27)</x:f>
        <x:v>4</x:v>
      </x:c>
      <x:c r="G17" s="74" t="str">
        <x:f>IF('Pair Results'!J102=1,"Yes","No")</x:f>
        <x:v>No</x:v>
      </x:c>
      <x:c r="H17" s="74" t="n">
        <x:f>'Pair Results'!K102</x:f>
        <x:v>2</x:v>
      </x:c>
      <x:c r="I17" s="74" t="n">
        <x:f>'Pair Results'!L102</x:f>
        <x:v>2</x:v>
      </x:c>
      <x:c r="J17" s="74" t="n">
        <x:f>'Pair Results'!I102</x:f>
        <x:v>87</x:v>
      </x:c>
      <x:c r="K17" s="74" t="n">
        <x:f>'Pair Results'!O102</x:f>
        <x:v>89</x:v>
      </x:c>
      <x:c r="L17" s="74" t="n">
        <x:f>'Pair Results'!R102</x:f>
        <x:v>45</x:v>
      </x:c>
      <x:c r="M17" s="74" t="n">
        <x:f>'Pair Results'!P102</x:f>
        <x:v>44</x:v>
      </x:c>
      <x:c r="N17" s="74" t="str">
        <x:f>IF('Pair Results'!G102=1,"Yes","No")</x:f>
        <x:v>Yes</x:v>
      </x:c>
      <x:c r="O17" s="74" t="n">
        <x:f>'Pair Results'!F102</x:f>
        <x:v>44</x:v>
      </x:c>
      <x:c r="P17" s="76" t="n">
        <x:f>IF(N17="Yes",M17-O17,"")</x:f>
        <x:v>0</x:v>
      </x:c>
      <x:c r="Q17" s="77" t="n">
        <x:f>1000*'Pair Results'!N102</x:f>
        <x:v>82.88480003830045</x:v>
      </x:c>
      <x:c r="R17" s="78" t="str">
        <x:f>'Pair Results'!M102</x:f>
        <x:v>142,159</x:v>
      </x:c>
      <x:c r="S17" s="79" t="str">
        <x:f>IF(N17="No","Repaired only valid",IF(P17&lt;0,"Repaired smaller",IF(P17&gt;0,"Entropy smaller","Tie")))</x:f>
        <x:v>Tie</x:v>
      </x:c>
    </x:row>
    <x:row r="18">
      <x:c r="A18" s="73" t="str">
        <x:f>'Pair Results'!A106</x:f>
        <x:v>Grid</x:v>
      </x:c>
      <x:c r="B18" s="74" t="n">
        <x:f>'Pair Results'!B106</x:f>
        <x:v>200</x:v>
      </x:c>
      <x:c r="C18" s="75" t="n">
        <x:f>'Pair Results'!C106</x:f>
        <x:v>0.1</x:v>
      </x:c>
      <x:c r="D18" s="74" t="n">
        <x:f>'Pair Results'!D106</x:f>
        <x:v>3</x:v>
      </x:c>
      <x:c r="E18" s="74" t="n">
        <x:f>'Pair Results'!E106</x:f>
        <x:v>1100460246</x:v>
      </x:c>
      <x:c r="F18" s="74" t="n">
        <x:f>VALUE('Raw Results'!$F$28)</x:f>
        <x:v>5</x:v>
      </x:c>
      <x:c r="G18" s="74" t="str">
        <x:f>IF('Pair Results'!J106=1,"Yes","No")</x:f>
        <x:v>No</x:v>
      </x:c>
      <x:c r="H18" s="74" t="n">
        <x:f>'Pair Results'!K106</x:f>
        <x:v>1</x:v>
      </x:c>
      <x:c r="I18" s="74" t="n">
        <x:f>'Pair Results'!L106</x:f>
        <x:v>1</x:v>
      </x:c>
      <x:c r="J18" s="74" t="n">
        <x:f>'Pair Results'!I106</x:f>
        <x:v>84</x:v>
      </x:c>
      <x:c r="K18" s="74" t="n">
        <x:f>'Pair Results'!O106</x:f>
        <x:v>85</x:v>
      </x:c>
      <x:c r="L18" s="74" t="n">
        <x:f>'Pair Results'!R106</x:f>
        <x:v>41</x:v>
      </x:c>
      <x:c r="M18" s="74" t="n">
        <x:f>'Pair Results'!P106</x:f>
        <x:v>44</x:v>
      </x:c>
      <x:c r="N18" s="74" t="str">
        <x:f>IF('Pair Results'!G106=1,"Yes","No")</x:f>
        <x:v>No</x:v>
      </x:c>
      <x:c r="O18" s="74" t="n">
        <x:f>'Pair Results'!F106</x:f>
        <x:v>118</x:v>
      </x:c>
      <x:c r="P18" s="76" t="str">
        <x:f>IF(N18="Yes",M18-O18,"")</x:f>
      </x:c>
      <x:c r="Q18" s="77" t="n">
        <x:f>1000*'Pair Results'!N106</x:f>
        <x:v>86.74499997869134</x:v>
      </x:c>
      <x:c r="R18" s="78" t="str">
        <x:f>'Pair Results'!M106</x:f>
        <x:v>164</x:v>
      </x:c>
      <x:c r="S18" s="79" t="str">
        <x:f>IF(N18="No","Repaired only valid",IF(P18&lt;0,"Repaired smaller",IF(P18&gt;0,"Entropy smaller","Tie")))</x:f>
        <x:v>Repaired only valid</x:v>
      </x:c>
    </x:row>
    <x:row r="19">
      <x:c r="A19" s="73" t="str">
        <x:f>'Pair Results'!A118</x:f>
        <x:v>Grid</x:v>
      </x:c>
      <x:c r="B19" s="74" t="n">
        <x:f>'Pair Results'!B118</x:f>
        <x:v>200</x:v>
      </x:c>
      <x:c r="C19" s="75" t="n">
        <x:f>'Pair Results'!C118</x:f>
        <x:v>0.3</x:v>
      </x:c>
      <x:c r="D19" s="74" t="n">
        <x:f>'Pair Results'!D118</x:f>
        <x:v>3</x:v>
      </x:c>
      <x:c r="E19" s="74" t="n">
        <x:f>'Pair Results'!E118</x:f>
        <x:v>1876551989</x:v>
      </x:c>
      <x:c r="F19" s="74" t="n">
        <x:f>VALUE('Raw Results'!$F$31)</x:f>
        <x:v>1</x:v>
      </x:c>
      <x:c r="G19" s="74" t="str">
        <x:f>IF('Pair Results'!J118=1,"Yes","No")</x:f>
        <x:v>No</x:v>
      </x:c>
      <x:c r="H19" s="74" t="n">
        <x:f>'Pair Results'!K118</x:f>
        <x:v>1</x:v>
      </x:c>
      <x:c r="I19" s="74" t="n">
        <x:f>'Pair Results'!L118</x:f>
        <x:v>1</x:v>
      </x:c>
      <x:c r="J19" s="74" t="n">
        <x:f>'Pair Results'!I118</x:f>
        <x:v>66</x:v>
      </x:c>
      <x:c r="K19" s="74" t="n">
        <x:f>'Pair Results'!O118</x:f>
        <x:v>67</x:v>
      </x:c>
      <x:c r="L19" s="74" t="n">
        <x:f>'Pair Results'!R118</x:f>
        <x:v>36</x:v>
      </x:c>
      <x:c r="M19" s="74" t="n">
        <x:f>'Pair Results'!P118</x:f>
        <x:v>31</x:v>
      </x:c>
      <x:c r="N19" s="74" t="str">
        <x:f>IF('Pair Results'!G118=1,"Yes","No")</x:f>
        <x:v>Yes</x:v>
      </x:c>
      <x:c r="O19" s="74" t="n">
        <x:f>'Pair Results'!F118</x:f>
        <x:v>32</x:v>
      </x:c>
      <x:c r="P19" s="76" t="n">
        <x:f>IF(N19="Yes",M19-O19,"")</x:f>
        <x:v>-1</x:v>
      </x:c>
      <x:c r="Q19" s="77" t="n">
        <x:f>1000*'Pair Results'!N118</x:f>
        <x:v>57.92920000385493</x:v>
      </x:c>
      <x:c r="R19" s="78" t="str">
        <x:f>'Pair Results'!M118</x:f>
        <x:v>54</x:v>
      </x:c>
      <x:c r="S19" s="79" t="str">
        <x:f>IF(N19="No","Repaired only valid",IF(P19&lt;0,"Repaired smaller",IF(P19&gt;0,"Entropy smaller","Tie")))</x:f>
        <x:v>Repaired smaller</x:v>
      </x:c>
    </x:row>
    <x:row r="20">
      <x:c r="A20" s="73" t="str">
        <x:f>'Pair Results'!A184</x:f>
        <x:v>Zoomed Square</x:v>
      </x:c>
      <x:c r="B20" s="74" t="n">
        <x:f>'Pair Results'!B184</x:f>
        <x:v>500</x:v>
      </x:c>
      <x:c r="C20" s="75" t="n">
        <x:f>'Pair Results'!C184</x:f>
        <x:v>0.7</x:v>
      </x:c>
      <x:c r="D20" s="74" t="n">
        <x:f>'Pair Results'!D184</x:f>
        <x:v>1</x:v>
      </x:c>
      <x:c r="E20" s="74" t="n">
        <x:f>'Pair Results'!E184</x:f>
        <x:v>4260616327</x:v>
      </x:c>
      <x:c r="F20" s="74" t="n">
        <x:f>VALUE('Raw Results'!$F$47)</x:f>
        <x:v>1</x:v>
      </x:c>
      <x:c r="G20" s="74" t="str">
        <x:f>IF('Pair Results'!J184=1,"Yes","No")</x:f>
        <x:v>No</x:v>
      </x:c>
      <x:c r="H20" s="74" t="n">
        <x:f>'Pair Results'!K184</x:f>
        <x:v>1</x:v>
      </x:c>
      <x:c r="I20" s="74" t="n">
        <x:f>'Pair Results'!L184</x:f>
        <x:v>1</x:v>
      </x:c>
      <x:c r="J20" s="74" t="n">
        <x:f>'Pair Results'!I184</x:f>
        <x:v>246</x:v>
      </x:c>
      <x:c r="K20" s="74" t="n">
        <x:f>'Pair Results'!O184</x:f>
        <x:v>247</x:v>
      </x:c>
      <x:c r="L20" s="74" t="n">
        <x:f>'Pair Results'!R184</x:f>
        <x:v>139</x:v>
      </x:c>
      <x:c r="M20" s="74" t="n">
        <x:f>'Pair Results'!P184</x:f>
        <x:v>108</x:v>
      </x:c>
      <x:c r="N20" s="74" t="str">
        <x:f>IF('Pair Results'!G184=1,"Yes","No")</x:f>
        <x:v>Yes</x:v>
      </x:c>
      <x:c r="O20" s="74" t="n">
        <x:f>'Pair Results'!F184</x:f>
        <x:v>126</x:v>
      </x:c>
      <x:c r="P20" s="76" t="n">
        <x:f>IF(N20="Yes",M20-O20,"")</x:f>
        <x:v>-18</x:v>
      </x:c>
      <x:c r="Q20" s="77" t="n">
        <x:f>1000*'Pair Results'!N184</x:f>
        <x:v>1047.3935999907553</x:v>
      </x:c>
      <x:c r="R20" s="78" t="str">
        <x:f>'Pair Results'!M184</x:f>
        <x:v>1</x:v>
      </x:c>
      <x:c r="S20" s="79" t="str">
        <x:f>IF(N20="No","Repaired only valid",IF(P20&lt;0,"Repaired smaller",IF(P20&gt;0,"Entropy smaller","Tie")))</x:f>
        <x:v>Repaired smaller</x:v>
      </x:c>
    </x:row>
  </x:sheetData>
  <x:mergeCells>
    <x:mergeCell ref="A1:S1"/>
    <x:mergeCell ref="A2:S2"/>
    <x:mergeCell ref="A3:C3"/>
    <x:mergeCell ref="A4:C4"/>
    <x:mergeCell ref="D3:F3"/>
    <x:mergeCell ref="D4:F4"/>
    <x:mergeCell ref="G3:I3"/>
    <x:mergeCell ref="G4:I4"/>
    <x:mergeCell ref="J3:L3"/>
    <x:mergeCell ref="J4:L4"/>
    <x:mergeCell ref="M3:O3"/>
    <x:mergeCell ref="M4:O4"/>
  </x:mergeCells>
  <x:conditionalFormatting sqref="P8:P20">
    <x:cfRule type="cellIs" dxfId="4" priority="1" operator="lessThan">
      <x:formula>0</x:formula>
    </x:cfRule>
    <x:cfRule type="cellIs" dxfId="5" priority="2" operator="greaterThan">
      <x:formula>0</x:formula>
    </x:cfRule>
  </x:conditionalFormatting>
  <x:pageMargins left="0.7" right="0.7" top="0.75" bottom="0.75" header="0.3" footer="0.3"/>
  <x:tableParts count="1">
    <x:tablePart xmlns:r="http://schemas.openxmlformats.org/officeDocument/2006/relationships" r:id="R52e34a239a95497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11" hidden="0" customWidth="1"/>
    <x:col min="3" max="3" width="11" hidden="0" customWidth="1"/>
    <x:col min="4" max="4" width="11" hidden="0" customWidth="1"/>
    <x:col min="5" max="5" width="11"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22"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s>
  <x:sheetData>
    <x:row r="1" ht="34" customHeight="1">
      <x:c r="A1" s="8" t="str">
        <x:v>Family</x:v>
      </x:c>
      <x:c r="B1" s="8" t="str">
        <x:v>n</x:v>
      </x:c>
      <x:c r="C1" s="8" t="str">
        <x:v>radius</x:v>
      </x:c>
      <x:c r="D1" s="8" t="str">
        <x:v>repeat</x:v>
      </x:c>
      <x:c r="E1" s="8" t="str">
        <x:v>graph_seed</x:v>
      </x:c>
      <x:c r="F1" s="8" t="str">
        <x:v>Entropy size</x:v>
      </x:c>
      <x:c r="G1" s="8" t="str">
        <x:v>Entropy valid</x:v>
      </x:c>
      <x:c r="H1" s="8" t="str">
        <x:v>Original pre-prune</x:v>
      </x:c>
      <x:c r="I1" s="8" t="str">
        <x:v>Original final</x:v>
      </x:c>
      <x:c r="J1" s="8" t="str">
        <x:v>Original valid</x:v>
      </x:c>
      <x:c r="K1" s="8" t="str">
        <x:v>Global pairs before</x:v>
      </x:c>
      <x:c r="L1" s="8" t="str">
        <x:v>Repair probes</x:v>
      </x:c>
      <x:c r="M1" s="8" t="str">
        <x:v>Repair probe IDs</x:v>
      </x:c>
      <x:c r="N1" s="8" t="str">
        <x:v>Repair time (s)</x:v>
      </x:c>
      <x:c r="O1" s="8" t="str">
        <x:v>Repaired pre-prune</x:v>
      </x:c>
      <x:c r="P1" s="8" t="str">
        <x:v>Repaired final</x:v>
      </x:c>
      <x:c r="Q1" s="8" t="str">
        <x:v>Repaired valid</x:v>
      </x:c>
      <x:c r="R1" s="8" t="str">
        <x:v>Pruned after repair</x:v>
      </x:c>
      <x:c r="S1" s="8" t="str">
        <x:v>Final change vs original</x:v>
      </x:c>
      <x:c r="T1" s="8" t="str">
        <x:v>Original time (s)</x:v>
      </x:c>
      <x:c r="U1" s="8" t="str">
        <x:v>Wrapper total time (s)</x:v>
      </x:c>
      <x:c r="V1" s="8" t="str">
        <x:v>Repair/original time</x:v>
      </x:c>
      <x:c r="W1" s="8" t="str">
        <x:v>Entropy + repaired valid</x:v>
      </x:c>
      <x:c r="X1" s="8" t="str">
        <x:v>Repaired - Entropy</x:v>
      </x:c>
      <x:c r="Y1" s="8" t="str">
        <x:v>Size winner</x:v>
      </x:c>
      <x:c r="Z1" s="8" t="str">
        <x:v>Repair needed</x:v>
      </x:c>
      <x:c r="AA1" s="8" t="str">
        <x:v>Baseline reproduced</x:v>
      </x:c>
      <x:c r="AB1" s="8" t="str">
        <x:v>Validity restored</x:v>
      </x:c>
      <x:c r="AC1" s="8" t="str">
        <x:v>Repaired - original</x:v>
      </x:c>
      <x:c r="AD1" s="8" t="str">
        <x:v>Entropy valid / original invalid</x:v>
      </x:c>
      <x:c r="AE1" s="8" t="str">
        <x:v>Repaired only valid</x:v>
      </x:c>
    </x:row>
    <x:row r="2">
      <x:c r="A2" s="10" t="str">
        <x:f>"Grid"</x:f>
        <x:v>Grid</x:v>
      </x:c>
      <x:c r="B2" s="12" t="n">
        <x:f>VALUE('Raw Results'!$A$2)</x:f>
        <x:v>50</x:v>
      </x:c>
      <x:c r="C2" s="14" t="n">
        <x:f>VALUE('Raw Results'!$B$2)</x:f>
        <x:v>0.1</x:v>
      </x:c>
      <x:c r="D2" s="12" t="n">
        <x:f>VALUE('Raw Results'!$C$2)</x:f>
        <x:v>1</x:v>
      </x:c>
      <x:c r="E2" s="12" t="n">
        <x:f>VALUE('Raw Results'!$D$2)</x:f>
        <x:v>209009057</x:v>
      </x:c>
      <x:c r="F2" s="12" t="n">
        <x:f>VALUE('Raw Results'!$M$2)</x:f>
        <x:v>28</x:v>
      </x:c>
      <x:c r="G2" s="12" t="n">
        <x:f>IF('Raw Results'!$O$2="True",1,0)</x:f>
        <x:v>0</x:v>
      </x:c>
      <x:c r="H2" s="12" t="n">
        <x:f>VALUE('Raw Results'!$R$2)</x:f>
        <x:v>27</x:v>
      </x:c>
      <x:c r="I2" s="12" t="n">
        <x:f>VALUE('Raw Results'!$S$2)</x:f>
        <x:v>27</x:v>
      </x:c>
      <x:c r="J2" s="12" t="n">
        <x:f>IF('Raw Results'!$U$2="True",1,0)</x:f>
        <x:v>0</x:v>
      </x:c>
      <x:c r="K2" s="12" t="n">
        <x:f>VALUE('Raw Results'!$X$2)</x:f>
        <x:v>18</x:v>
      </x:c>
      <x:c r="L2" s="12" t="n">
        <x:f>VALUE('Raw Results'!$Y$2)</x:f>
        <x:v>6</x:v>
      </x:c>
      <x:c r="M2" s="10" t="str">
        <x:f>'Raw Results'!$Z$2</x:f>
        <x:v>6,12,30,36,35,41</x:v>
      </x:c>
      <x:c r="N2" s="16" t="n">
        <x:f>VALUE('Raw Results'!$AA$2)</x:f>
        <x:v>0.0050388999516144395</x:v>
      </x:c>
      <x:c r="O2" s="12" t="n">
        <x:f>VALUE('Raw Results'!$AB$2)</x:f>
        <x:v>33</x:v>
      </x:c>
      <x:c r="P2" s="12" t="n">
        <x:f>VALUE('Raw Results'!$AC$2)</x:f>
        <x:v>28</x:v>
      </x:c>
      <x:c r="Q2" s="12" t="n">
        <x:f>IF('Raw Results'!$AE$2="True",1,0)</x:f>
        <x:v>1</x:v>
      </x:c>
      <x:c r="R2" s="12" t="n">
        <x:f>VALUE('Raw Results'!$AG$2)</x:f>
        <x:v>5</x:v>
      </x:c>
      <x:c r="S2" s="12" t="n">
        <x:f>VALUE('Raw Results'!$AH$2)</x:f>
        <x:v>1</x:v>
      </x:c>
      <x:c r="T2" s="16" t="n">
        <x:f>VALUE('Raw Results'!$T$2)</x:f>
        <x:v>0.0018949999939650297</x:v>
      </x:c>
      <x:c r="U2" s="16" t="n">
        <x:f>VALUE('Raw Results'!$AD$2)</x:f>
        <x:v>0.006933899945579469</x:v>
      </x:c>
      <x:c r="V2" s="18" t="n">
        <x:f>IF(T2=0,0,N2/T2)</x:f>
        <x:v>2.65905011486107</x:v>
      </x:c>
      <x:c r="W2" s="10" t="n">
        <x:f>IF(AND(G2=1,Q2=1),1,0)</x:f>
        <x:v>0</x:v>
      </x:c>
      <x:c r="X2" s="20" t="str">
        <x:f>IF(W2=1,P2-F2,"")</x:f>
      </x:c>
      <x:c r="Y2" s="10" t="str">
        <x:f>IF(W2=0,"excluded",IF(X2&lt;0,"repaired",IF(X2&gt;0,"entropy","tie")))</x:f>
        <x:v>excluded</x:v>
      </x:c>
      <x:c r="Z2" s="10" t="n">
        <x:f>IF(VALUE(L2)&gt;0,1,0)</x:f>
        <x:v>1</x:v>
      </x:c>
      <x:c r="AA2" s="10" t="n">
        <x:f>IF(AND('Raw Results'!$V$2="True",'Raw Results'!$W$2="True"),1,0)</x:f>
        <x:v>1</x:v>
      </x:c>
      <x:c r="AB2" s="10" t="n">
        <x:f>IF(AND(J2=0,Q2=1),1,0)</x:f>
        <x:v>1</x:v>
      </x:c>
      <x:c r="AC2" s="20" t="n">
        <x:f>P2-I2</x:f>
        <x:v>1</x:v>
      </x:c>
      <x:c r="AD2" s="10" t="n">
        <x:f>IF(AND(G2=1,J2=0),1,0)</x:f>
        <x:v>0</x:v>
      </x:c>
      <x:c r="AE2" s="10" t="n">
        <x:f>IF(AND(G2=0,Q2=1),1,0)</x:f>
        <x:v>1</x:v>
      </x:c>
    </x:row>
    <x:row r="3">
      <x:c r="A3" s="10" t="str">
        <x:f>"Circle"</x:f>
        <x:v>Circle</x:v>
      </x:c>
      <x:c r="B3" s="12" t="n">
        <x:f>VALUE('Raw Results'!$A$2)</x:f>
        <x:v>50</x:v>
      </x:c>
      <x:c r="C3" s="14" t="n">
        <x:f>VALUE('Raw Results'!$B$2)</x:f>
        <x:v>0.1</x:v>
      </x:c>
      <x:c r="D3" s="12" t="n">
        <x:f>VALUE('Raw Results'!$C$2)</x:f>
        <x:v>1</x:v>
      </x:c>
      <x:c r="E3" s="12" t="n">
        <x:f>VALUE('Raw Results'!$D$2)</x:f>
        <x:v>209009057</x:v>
      </x:c>
      <x:c r="F3" s="12" t="n">
        <x:f>VALUE('Raw Results'!$AI$2)</x:f>
        <x:v>28</x:v>
      </x:c>
      <x:c r="G3" s="12" t="n">
        <x:f>IF('Raw Results'!$AK$2="True",1,0)</x:f>
        <x:v>1</x:v>
      </x:c>
      <x:c r="H3" s="12" t="n">
        <x:f>VALUE('Raw Results'!$AN$2)</x:f>
        <x:v>33</x:v>
      </x:c>
      <x:c r="I3" s="12" t="n">
        <x:f>VALUE('Raw Results'!$AO$2)</x:f>
        <x:v>28</x:v>
      </x:c>
      <x:c r="J3" s="12" t="n">
        <x:f>IF('Raw Results'!$AQ$2="True",1,0)</x:f>
        <x:v>1</x:v>
      </x:c>
      <x:c r="K3" s="12" t="n">
        <x:f>VALUE('Raw Results'!$AT$2)</x:f>
        <x:v>0</x:v>
      </x:c>
      <x:c r="L3" s="12" t="n">
        <x:f>VALUE('Raw Results'!$AU$2)</x:f>
        <x:v>0</x:v>
      </x:c>
      <x:c r="M3" s="10" t="str">
        <x:f>'Raw Results'!$AV$2</x:f>
      </x:c>
      <x:c r="N3" s="16" t="n">
        <x:f>VALUE('Raw Results'!$AW$2)</x:f>
        <x:v>0.0006278000073507428</x:v>
      </x:c>
      <x:c r="O3" s="12" t="n">
        <x:f>VALUE('Raw Results'!$AX$2)</x:f>
        <x:v>28</x:v>
      </x:c>
      <x:c r="P3" s="12" t="n">
        <x:f>VALUE('Raw Results'!$AY$2)</x:f>
        <x:v>28</x:v>
      </x:c>
      <x:c r="Q3" s="12" t="n">
        <x:f>IF('Raw Results'!$BA$2="True",1,0)</x:f>
        <x:v>1</x:v>
      </x:c>
      <x:c r="R3" s="12" t="n">
        <x:f>VALUE('Raw Results'!$BC$2)</x:f>
        <x:v>0</x:v>
      </x:c>
      <x:c r="S3" s="12" t="n">
        <x:f>VALUE('Raw Results'!$BD$2)</x:f>
        <x:v>0</x:v>
      </x:c>
      <x:c r="T3" s="16" t="n">
        <x:f>VALUE('Raw Results'!$AP$2)</x:f>
        <x:v>0.0030867999885231256</x:v>
      </x:c>
      <x:c r="U3" s="16" t="n">
        <x:f>VALUE('Raw Results'!$AZ$2)</x:f>
        <x:v>0.0037145999958738685</x:v>
      </x:c>
      <x:c r="V3" s="18" t="n">
        <x:f>IF(T3=0,0,N3/T3)</x:f>
        <x:v>0.2033821464574751</x:v>
      </x:c>
      <x:c r="W3" s="10" t="n">
        <x:f>IF(AND(G3=1,Q3=1),1,0)</x:f>
        <x:v>1</x:v>
      </x:c>
      <x:c r="X3" s="20" t="n">
        <x:f>IF(W3=1,P3-F3,"")</x:f>
        <x:v>0</x:v>
      </x:c>
      <x:c r="Y3" s="10" t="str">
        <x:f>IF(W3=0,"excluded",IF(X3&lt;0,"repaired",IF(X3&gt;0,"entropy","tie")))</x:f>
        <x:v>tie</x:v>
      </x:c>
      <x:c r="Z3" s="10" t="n">
        <x:f>IF(VALUE(L3)&gt;0,1,0)</x:f>
        <x:v>0</x:v>
      </x:c>
      <x:c r="AA3" s="10" t="n">
        <x:f>IF(AND('Raw Results'!$AR$2="True",'Raw Results'!$AS$2="True"),1,0)</x:f>
        <x:v>1</x:v>
      </x:c>
      <x:c r="AB3" s="10" t="n">
        <x:f>IF(AND(J3=0,Q3=1),1,0)</x:f>
        <x:v>0</x:v>
      </x:c>
      <x:c r="AC3" s="20" t="n">
        <x:f>P3-I3</x:f>
        <x:v>0</x:v>
      </x:c>
      <x:c r="AD3" s="10" t="n">
        <x:f>IF(AND(G3=1,J3=0),1,0)</x:f>
        <x:v>0</x:v>
      </x:c>
      <x:c r="AE3" s="10" t="n">
        <x:f>IF(AND(G3=0,Q3=1),1,0)</x:f>
        <x:v>0</x:v>
      </x:c>
    </x:row>
    <x:row r="4">
      <x:c r="A4" s="10" t="str">
        <x:f>"Zoomed Square"</x:f>
        <x:v>Zoomed Square</x:v>
      </x:c>
      <x:c r="B4" s="12" t="n">
        <x:f>VALUE('Raw Results'!$A$2)</x:f>
        <x:v>50</x:v>
      </x:c>
      <x:c r="C4" s="14" t="n">
        <x:f>VALUE('Raw Results'!$B$2)</x:f>
        <x:v>0.1</x:v>
      </x:c>
      <x:c r="D4" s="12" t="n">
        <x:f>VALUE('Raw Results'!$C$2)</x:f>
        <x:v>1</x:v>
      </x:c>
      <x:c r="E4" s="12" t="n">
        <x:f>VALUE('Raw Results'!$D$2)</x:f>
        <x:v>209009057</x:v>
      </x:c>
      <x:c r="F4" s="12" t="n">
        <x:f>VALUE('Raw Results'!$BE$2)</x:f>
        <x:v>28</x:v>
      </x:c>
      <x:c r="G4" s="12" t="n">
        <x:f>IF('Raw Results'!$BG$2="True",1,0)</x:f>
        <x:v>1</x:v>
      </x:c>
      <x:c r="H4" s="12" t="n">
        <x:f>VALUE('Raw Results'!$BJ$2)</x:f>
        <x:v>35</x:v>
      </x:c>
      <x:c r="I4" s="12" t="n">
        <x:f>VALUE('Raw Results'!$BK$2)</x:f>
        <x:v>28</x:v>
      </x:c>
      <x:c r="J4" s="12" t="n">
        <x:f>IF('Raw Results'!$BM$2="True",1,0)</x:f>
        <x:v>1</x:v>
      </x:c>
      <x:c r="K4" s="12" t="n">
        <x:f>VALUE('Raw Results'!$BP$2)</x:f>
        <x:v>0</x:v>
      </x:c>
      <x:c r="L4" s="12" t="n">
        <x:f>VALUE('Raw Results'!$BQ$2)</x:f>
        <x:v>0</x:v>
      </x:c>
      <x:c r="M4" s="10" t="str">
        <x:f>'Raw Results'!$BR$2</x:f>
      </x:c>
      <x:c r="N4" s="16" t="n">
        <x:f>VALUE('Raw Results'!$BS$2)</x:f>
        <x:v>0.0006723999977111816</x:v>
      </x:c>
      <x:c r="O4" s="12" t="n">
        <x:f>VALUE('Raw Results'!$BT$2)</x:f>
        <x:v>28</x:v>
      </x:c>
      <x:c r="P4" s="12" t="n">
        <x:f>VALUE('Raw Results'!$BU$2)</x:f>
        <x:v>28</x:v>
      </x:c>
      <x:c r="Q4" s="12" t="n">
        <x:f>IF('Raw Results'!$BW$2="True",1,0)</x:f>
        <x:v>1</x:v>
      </x:c>
      <x:c r="R4" s="12" t="n">
        <x:f>VALUE('Raw Results'!$BY$2)</x:f>
        <x:v>0</x:v>
      </x:c>
      <x:c r="S4" s="12" t="n">
        <x:f>VALUE('Raw Results'!$BZ$2)</x:f>
        <x:v>0</x:v>
      </x:c>
      <x:c r="T4" s="16" t="n">
        <x:f>VALUE('Raw Results'!$BL$2)</x:f>
        <x:v>0.0036413000198081136</x:v>
      </x:c>
      <x:c r="U4" s="16" t="n">
        <x:f>VALUE('Raw Results'!$BV$2)</x:f>
        <x:v>0.004313700017519295</x:v>
      </x:c>
      <x:c r="V4" s="18" t="n">
        <x:f>IF(T4=0,0,N4/T4)</x:f>
        <x:v>0.184659323333268</x:v>
      </x:c>
      <x:c r="W4" s="10" t="n">
        <x:f>IF(AND(G4=1,Q4=1),1,0)</x:f>
        <x:v>1</x:v>
      </x:c>
      <x:c r="X4" s="20" t="n">
        <x:f>IF(W4=1,P4-F4,"")</x:f>
        <x:v>0</x:v>
      </x:c>
      <x:c r="Y4" s="10" t="str">
        <x:f>IF(W4=0,"excluded",IF(X4&lt;0,"repaired",IF(X4&gt;0,"entropy","tie")))</x:f>
        <x:v>tie</x:v>
      </x:c>
      <x:c r="Z4" s="10" t="n">
        <x:f>IF(VALUE(L4)&gt;0,1,0)</x:f>
        <x:v>0</x:v>
      </x:c>
      <x:c r="AA4" s="10" t="n">
        <x:f>IF(AND('Raw Results'!$BN$2="True",'Raw Results'!$BO$2="True"),1,0)</x:f>
        <x:v>1</x:v>
      </x:c>
      <x:c r="AB4" s="10" t="n">
        <x:f>IF(AND(J4=0,Q4=1),1,0)</x:f>
        <x:v>0</x:v>
      </x:c>
      <x:c r="AC4" s="20" t="n">
        <x:f>P4-I4</x:f>
        <x:v>0</x:v>
      </x:c>
      <x:c r="AD4" s="10" t="n">
        <x:f>IF(AND(G4=1,J4=0),1,0)</x:f>
        <x:v>0</x:v>
      </x:c>
      <x:c r="AE4" s="10" t="n">
        <x:f>IF(AND(G4=0,Q4=1),1,0)</x:f>
        <x:v>0</x:v>
      </x:c>
    </x:row>
    <x:row r="5">
      <x:c r="A5" s="10" t="str">
        <x:f>"ICH"</x:f>
        <x:v>ICH</x:v>
      </x:c>
      <x:c r="B5" s="12" t="n">
        <x:f>VALUE('Raw Results'!$A$2)</x:f>
        <x:v>50</x:v>
      </x:c>
      <x:c r="C5" s="14" t="n">
        <x:f>VALUE('Raw Results'!$B$2)</x:f>
        <x:v>0.1</x:v>
      </x:c>
      <x:c r="D5" s="12" t="n">
        <x:f>VALUE('Raw Results'!$C$2)</x:f>
        <x:v>1</x:v>
      </x:c>
      <x:c r="E5" s="12" t="n">
        <x:f>VALUE('Raw Results'!$D$2)</x:f>
        <x:v>209009057</x:v>
      </x:c>
      <x:c r="F5" s="12" t="n">
        <x:f>VALUE('Raw Results'!$CA$2)</x:f>
        <x:v>28</x:v>
      </x:c>
      <x:c r="G5" s="12" t="n">
        <x:f>IF('Raw Results'!$CC$2="True",1,0)</x:f>
        <x:v>1</x:v>
      </x:c>
      <x:c r="H5" s="12" t="n">
        <x:f>VALUE('Raw Results'!$CF$2)</x:f>
        <x:v>28</x:v>
      </x:c>
      <x:c r="I5" s="12" t="n">
        <x:f>VALUE('Raw Results'!$CG$2)</x:f>
        <x:v>28</x:v>
      </x:c>
      <x:c r="J5" s="12" t="n">
        <x:f>IF('Raw Results'!$CI$2="True",1,0)</x:f>
        <x:v>1</x:v>
      </x:c>
      <x:c r="K5" s="12" t="n">
        <x:f>VALUE('Raw Results'!$CL$2)</x:f>
        <x:v>0</x:v>
      </x:c>
      <x:c r="L5" s="12" t="n">
        <x:f>VALUE('Raw Results'!$CM$2)</x:f>
        <x:v>0</x:v>
      </x:c>
      <x:c r="M5" s="10" t="str">
        <x:f>'Raw Results'!$CN$2</x:f>
      </x:c>
      <x:c r="N5" s="16" t="n">
        <x:f>VALUE('Raw Results'!$CO$2)</x:f>
        <x:v>0.000672199996188283</x:v>
      </x:c>
      <x:c r="O5" s="12" t="n">
        <x:f>VALUE('Raw Results'!$CP$2)</x:f>
        <x:v>28</x:v>
      </x:c>
      <x:c r="P5" s="12" t="n">
        <x:f>VALUE('Raw Results'!$CQ$2)</x:f>
        <x:v>28</x:v>
      </x:c>
      <x:c r="Q5" s="12" t="n">
        <x:f>IF('Raw Results'!$CS$2="True",1,0)</x:f>
        <x:v>1</x:v>
      </x:c>
      <x:c r="R5" s="12" t="n">
        <x:f>VALUE('Raw Results'!$CU$2)</x:f>
        <x:v>0</x:v>
      </x:c>
      <x:c r="S5" s="12" t="n">
        <x:f>VALUE('Raw Results'!$CV$2)</x:f>
        <x:v>0</x:v>
      </x:c>
      <x:c r="T5" s="16" t="n">
        <x:f>VALUE('Raw Results'!$CH$2)</x:f>
        <x:v>0.03645919996779412</x:v>
      </x:c>
      <x:c r="U5" s="16" t="n">
        <x:f>VALUE('Raw Results'!$CR$2)</x:f>
        <x:v>0.0371313999639824</x:v>
      </x:c>
      <x:c r="V5" s="18" t="n">
        <x:f>IF(T5=0,0,N5/T5)</x:f>
        <x:v>0.018437047351068162</x:v>
      </x:c>
      <x:c r="W5" s="10" t="n">
        <x:f>IF(AND(G5=1,Q5=1),1,0)</x:f>
        <x:v>1</x:v>
      </x:c>
      <x:c r="X5" s="20" t="n">
        <x:f>IF(W5=1,P5-F5,"")</x:f>
        <x:v>0</x:v>
      </x:c>
      <x:c r="Y5" s="10" t="str">
        <x:f>IF(W5=0,"excluded",IF(X5&lt;0,"repaired",IF(X5&gt;0,"entropy","tie")))</x:f>
        <x:v>tie</x:v>
      </x:c>
      <x:c r="Z5" s="10" t="n">
        <x:f>IF(VALUE(L5)&gt;0,1,0)</x:f>
        <x:v>0</x:v>
      </x:c>
      <x:c r="AA5" s="10" t="n">
        <x:f>IF(AND('Raw Results'!$CJ$2="True",'Raw Results'!$CK$2="True"),1,0)</x:f>
        <x:v>1</x:v>
      </x:c>
      <x:c r="AB5" s="10" t="n">
        <x:f>IF(AND(J5=0,Q5=1),1,0)</x:f>
        <x:v>0</x:v>
      </x:c>
      <x:c r="AC5" s="20" t="n">
        <x:f>P5-I5</x:f>
        <x:v>0</x:v>
      </x:c>
      <x:c r="AD5" s="10" t="n">
        <x:f>IF(AND(G5=1,J5=0),1,0)</x:f>
        <x:v>0</x:v>
      </x:c>
      <x:c r="AE5" s="10" t="n">
        <x:f>IF(AND(G5=0,Q5=1),1,0)</x:f>
        <x:v>0</x:v>
      </x:c>
    </x:row>
    <x:row r="6">
      <x:c r="A6" s="10" t="str">
        <x:f>"Grid"</x:f>
        <x:v>Grid</x:v>
      </x:c>
      <x:c r="B6" s="12" t="n">
        <x:f>VALUE('Raw Results'!$A$3)</x:f>
        <x:v>50</x:v>
      </x:c>
      <x:c r="C6" s="14" t="n">
        <x:f>VALUE('Raw Results'!$B$3)</x:f>
        <x:v>0.1</x:v>
      </x:c>
      <x:c r="D6" s="12" t="n">
        <x:f>VALUE('Raw Results'!$C$3)</x:f>
        <x:v>2</x:v>
      </x:c>
      <x:c r="E6" s="12" t="n">
        <x:f>VALUE('Raw Results'!$D$3)</x:f>
        <x:v>19468622</x:v>
      </x:c>
      <x:c r="F6" s="12" t="n">
        <x:f>VALUE('Raw Results'!$M$3)</x:f>
        <x:v>32</x:v>
      </x:c>
      <x:c r="G6" s="12" t="n">
        <x:f>IF('Raw Results'!$O$3="True",1,0)</x:f>
        <x:v>0</x:v>
      </x:c>
      <x:c r="H6" s="12" t="n">
        <x:f>VALUE('Raw Results'!$R$3)</x:f>
        <x:v>29</x:v>
      </x:c>
      <x:c r="I6" s="12" t="n">
        <x:f>VALUE('Raw Results'!$S$3)</x:f>
        <x:v>29</x:v>
      </x:c>
      <x:c r="J6" s="12" t="n">
        <x:f>IF('Raw Results'!$U$3="True",1,0)</x:f>
        <x:v>0</x:v>
      </x:c>
      <x:c r="K6" s="12" t="n">
        <x:f>VALUE('Raw Results'!$X$3)</x:f>
        <x:v>6</x:v>
      </x:c>
      <x:c r="L6" s="12" t="n">
        <x:f>VALUE('Raw Results'!$Y$3)</x:f>
        <x:v>2</x:v>
      </x:c>
      <x:c r="M6" s="10" t="str">
        <x:f>'Raw Results'!$Z$3</x:f>
        <x:v>43,21</x:v>
      </x:c>
      <x:c r="N6" s="16" t="n">
        <x:f>VALUE('Raw Results'!$AA$3)</x:f>
        <x:v>0.002634100033901632</x:v>
      </x:c>
      <x:c r="O6" s="12" t="n">
        <x:f>VALUE('Raw Results'!$AB$3)</x:f>
        <x:v>31</x:v>
      </x:c>
      <x:c r="P6" s="12" t="n">
        <x:f>VALUE('Raw Results'!$AC$3)</x:f>
        <x:v>27</x:v>
      </x:c>
      <x:c r="Q6" s="12" t="n">
        <x:f>IF('Raw Results'!$AE$3="True",1,0)</x:f>
        <x:v>1</x:v>
      </x:c>
      <x:c r="R6" s="12" t="n">
        <x:f>VALUE('Raw Results'!$AG$3)</x:f>
        <x:v>4</x:v>
      </x:c>
      <x:c r="S6" s="12" t="n">
        <x:f>VALUE('Raw Results'!$AH$3)</x:f>
        <x:v>-2</x:v>
      </x:c>
      <x:c r="T6" s="16" t="n">
        <x:f>VALUE('Raw Results'!$T$3)</x:f>
        <x:v>0.0018478999845683575</x:v>
      </x:c>
      <x:c r="U6" s="16" t="n">
        <x:f>VALUE('Raw Results'!$AD$3)</x:f>
        <x:v>0.004482000018469989</x:v>
      </x:c>
      <x:c r="V6" s="18" t="n">
        <x:f>IF(T6=0,0,N6/T6)</x:f>
        <x:v>1.425455953189436</x:v>
      </x:c>
      <x:c r="W6" s="10" t="n">
        <x:f>IF(AND(G6=1,Q6=1),1,0)</x:f>
        <x:v>0</x:v>
      </x:c>
      <x:c r="X6" s="20" t="str">
        <x:f>IF(W6=1,P6-F6,"")</x:f>
      </x:c>
      <x:c r="Y6" s="10" t="str">
        <x:f>IF(W6=0,"excluded",IF(X6&lt;0,"repaired",IF(X6&gt;0,"entropy","tie")))</x:f>
        <x:v>excluded</x:v>
      </x:c>
      <x:c r="Z6" s="10" t="n">
        <x:f>IF(VALUE(L6)&gt;0,1,0)</x:f>
        <x:v>1</x:v>
      </x:c>
      <x:c r="AA6" s="10" t="n">
        <x:f>IF(AND('Raw Results'!$V$3="True",'Raw Results'!$W$3="True"),1,0)</x:f>
        <x:v>1</x:v>
      </x:c>
      <x:c r="AB6" s="10" t="n">
        <x:f>IF(AND(J6=0,Q6=1),1,0)</x:f>
        <x:v>1</x:v>
      </x:c>
      <x:c r="AC6" s="20" t="n">
        <x:f>P6-I6</x:f>
        <x:v>-2</x:v>
      </x:c>
      <x:c r="AD6" s="10" t="n">
        <x:f>IF(AND(G6=1,J6=0),1,0)</x:f>
        <x:v>0</x:v>
      </x:c>
      <x:c r="AE6" s="10" t="n">
        <x:f>IF(AND(G6=0,Q6=1),1,0)</x:f>
        <x:v>1</x:v>
      </x:c>
    </x:row>
    <x:row r="7">
      <x:c r="A7" s="10" t="str">
        <x:f>"Circle"</x:f>
        <x:v>Circle</x:v>
      </x:c>
      <x:c r="B7" s="12" t="n">
        <x:f>VALUE('Raw Results'!$A$3)</x:f>
        <x:v>50</x:v>
      </x:c>
      <x:c r="C7" s="14" t="n">
        <x:f>VALUE('Raw Results'!$B$3)</x:f>
        <x:v>0.1</x:v>
      </x:c>
      <x:c r="D7" s="12" t="n">
        <x:f>VALUE('Raw Results'!$C$3)</x:f>
        <x:v>2</x:v>
      </x:c>
      <x:c r="E7" s="12" t="n">
        <x:f>VALUE('Raw Results'!$D$3)</x:f>
        <x:v>19468622</x:v>
      </x:c>
      <x:c r="F7" s="12" t="n">
        <x:f>VALUE('Raw Results'!$AI$3)</x:f>
        <x:v>27</x:v>
      </x:c>
      <x:c r="G7" s="12" t="n">
        <x:f>IF('Raw Results'!$AK$3="True",1,0)</x:f>
        <x:v>1</x:v>
      </x:c>
      <x:c r="H7" s="12" t="n">
        <x:f>VALUE('Raw Results'!$AN$3)</x:f>
        <x:v>32</x:v>
      </x:c>
      <x:c r="I7" s="12" t="n">
        <x:f>VALUE('Raw Results'!$AO$3)</x:f>
        <x:v>27</x:v>
      </x:c>
      <x:c r="J7" s="12" t="n">
        <x:f>IF('Raw Results'!$AQ$3="True",1,0)</x:f>
        <x:v>1</x:v>
      </x:c>
      <x:c r="K7" s="12" t="n">
        <x:f>VALUE('Raw Results'!$AT$3)</x:f>
        <x:v>0</x:v>
      </x:c>
      <x:c r="L7" s="12" t="n">
        <x:f>VALUE('Raw Results'!$AU$3)</x:f>
        <x:v>0</x:v>
      </x:c>
      <x:c r="M7" s="10" t="str">
        <x:f>'Raw Results'!$AV$3</x:f>
      </x:c>
      <x:c r="N7" s="16" t="n">
        <x:f>VALUE('Raw Results'!$AW$3)</x:f>
        <x:v>0.0006435000104829669</x:v>
      </x:c>
      <x:c r="O7" s="12" t="n">
        <x:f>VALUE('Raw Results'!$AX$3)</x:f>
        <x:v>27</x:v>
      </x:c>
      <x:c r="P7" s="12" t="n">
        <x:f>VALUE('Raw Results'!$AY$3)</x:f>
        <x:v>27</x:v>
      </x:c>
      <x:c r="Q7" s="12" t="n">
        <x:f>IF('Raw Results'!$BA$3="True",1,0)</x:f>
        <x:v>1</x:v>
      </x:c>
      <x:c r="R7" s="12" t="n">
        <x:f>VALUE('Raw Results'!$BC$3)</x:f>
        <x:v>0</x:v>
      </x:c>
      <x:c r="S7" s="12" t="n">
        <x:f>VALUE('Raw Results'!$BD$3)</x:f>
        <x:v>0</x:v>
      </x:c>
      <x:c r="T7" s="16" t="n">
        <x:f>VALUE('Raw Results'!$AP$3)</x:f>
        <x:v>0.0034742000279948115</x:v>
      </x:c>
      <x:c r="U7" s="16" t="n">
        <x:f>VALUE('Raw Results'!$AZ$3)</x:f>
        <x:v>0.0041177000384777784</x:v>
      </x:c>
      <x:c r="V7" s="18" t="n">
        <x:f>IF(T7=0,0,N7/T7)</x:f>
        <x:v>0.185222498790426</x:v>
      </x:c>
      <x:c r="W7" s="10" t="n">
        <x:f>IF(AND(G7=1,Q7=1),1,0)</x:f>
        <x:v>1</x:v>
      </x:c>
      <x:c r="X7" s="20" t="n">
        <x:f>IF(W7=1,P7-F7,"")</x:f>
        <x:v>0</x:v>
      </x:c>
      <x:c r="Y7" s="10" t="str">
        <x:f>IF(W7=0,"excluded",IF(X7&lt;0,"repaired",IF(X7&gt;0,"entropy","tie")))</x:f>
        <x:v>tie</x:v>
      </x:c>
      <x:c r="Z7" s="10" t="n">
        <x:f>IF(VALUE(L7)&gt;0,1,0)</x:f>
        <x:v>0</x:v>
      </x:c>
      <x:c r="AA7" s="10" t="n">
        <x:f>IF(AND('Raw Results'!$AR$3="True",'Raw Results'!$AS$3="True"),1,0)</x:f>
        <x:v>1</x:v>
      </x:c>
      <x:c r="AB7" s="10" t="n">
        <x:f>IF(AND(J7=0,Q7=1),1,0)</x:f>
        <x:v>0</x:v>
      </x:c>
      <x:c r="AC7" s="20" t="n">
        <x:f>P7-I7</x:f>
        <x:v>0</x:v>
      </x:c>
      <x:c r="AD7" s="10" t="n">
        <x:f>IF(AND(G7=1,J7=0),1,0)</x:f>
        <x:v>0</x:v>
      </x:c>
      <x:c r="AE7" s="10" t="n">
        <x:f>IF(AND(G7=0,Q7=1),1,0)</x:f>
        <x:v>0</x:v>
      </x:c>
    </x:row>
    <x:row r="8">
      <x:c r="A8" s="10" t="str">
        <x:f>"Zoomed Square"</x:f>
        <x:v>Zoomed Square</x:v>
      </x:c>
      <x:c r="B8" s="12" t="n">
        <x:f>VALUE('Raw Results'!$A$3)</x:f>
        <x:v>50</x:v>
      </x:c>
      <x:c r="C8" s="14" t="n">
        <x:f>VALUE('Raw Results'!$B$3)</x:f>
        <x:v>0.1</x:v>
      </x:c>
      <x:c r="D8" s="12" t="n">
        <x:f>VALUE('Raw Results'!$C$3)</x:f>
        <x:v>2</x:v>
      </x:c>
      <x:c r="E8" s="12" t="n">
        <x:f>VALUE('Raw Results'!$D$3)</x:f>
        <x:v>19468622</x:v>
      </x:c>
      <x:c r="F8" s="12" t="n">
        <x:f>VALUE('Raw Results'!$BE$3)</x:f>
        <x:v>27</x:v>
      </x:c>
      <x:c r="G8" s="12" t="n">
        <x:f>IF('Raw Results'!$BG$3="True",1,0)</x:f>
        <x:v>1</x:v>
      </x:c>
      <x:c r="H8" s="12" t="n">
        <x:f>VALUE('Raw Results'!$BJ$3)</x:f>
        <x:v>35</x:v>
      </x:c>
      <x:c r="I8" s="12" t="n">
        <x:f>VALUE('Raw Results'!$BK$3)</x:f>
        <x:v>27</x:v>
      </x:c>
      <x:c r="J8" s="12" t="n">
        <x:f>IF('Raw Results'!$BM$3="True",1,0)</x:f>
        <x:v>1</x:v>
      </x:c>
      <x:c r="K8" s="12" t="n">
        <x:f>VALUE('Raw Results'!$BP$3)</x:f>
        <x:v>0</x:v>
      </x:c>
      <x:c r="L8" s="12" t="n">
        <x:f>VALUE('Raw Results'!$BQ$3)</x:f>
        <x:v>0</x:v>
      </x:c>
      <x:c r="M8" s="10" t="str">
        <x:f>'Raw Results'!$BR$3</x:f>
      </x:c>
      <x:c r="N8" s="16" t="n">
        <x:f>VALUE('Raw Results'!$BS$3)</x:f>
        <x:v>0.0006354000652208924</x:v>
      </x:c>
      <x:c r="O8" s="12" t="n">
        <x:f>VALUE('Raw Results'!$BT$3)</x:f>
        <x:v>27</x:v>
      </x:c>
      <x:c r="P8" s="12" t="n">
        <x:f>VALUE('Raw Results'!$BU$3)</x:f>
        <x:v>27</x:v>
      </x:c>
      <x:c r="Q8" s="12" t="n">
        <x:f>IF('Raw Results'!$BW$3="True",1,0)</x:f>
        <x:v>1</x:v>
      </x:c>
      <x:c r="R8" s="12" t="n">
        <x:f>VALUE('Raw Results'!$BY$3)</x:f>
        <x:v>0</x:v>
      </x:c>
      <x:c r="S8" s="12" t="n">
        <x:f>VALUE('Raw Results'!$BZ$3)</x:f>
        <x:v>0</x:v>
      </x:c>
      <x:c r="T8" s="16" t="n">
        <x:f>VALUE('Raw Results'!$BL$3)</x:f>
        <x:v>0.0034084999933838844</x:v>
      </x:c>
      <x:c r="U8" s="16" t="n">
        <x:f>VALUE('Raw Results'!$BV$3)</x:f>
        <x:v>0.004043900058604777</x:v>
      </x:c>
      <x:c r="V8" s="18" t="n">
        <x:f>IF(T8=0,0,N8/T8)</x:f>
        <x:v>0.186416331657399</x:v>
      </x:c>
      <x:c r="W8" s="10" t="n">
        <x:f>IF(AND(G8=1,Q8=1),1,0)</x:f>
        <x:v>1</x:v>
      </x:c>
      <x:c r="X8" s="20" t="n">
        <x:f>IF(W8=1,P8-F8,"")</x:f>
        <x:v>0</x:v>
      </x:c>
      <x:c r="Y8" s="10" t="str">
        <x:f>IF(W8=0,"excluded",IF(X8&lt;0,"repaired",IF(X8&gt;0,"entropy","tie")))</x:f>
        <x:v>tie</x:v>
      </x:c>
      <x:c r="Z8" s="10" t="n">
        <x:f>IF(VALUE(L8)&gt;0,1,0)</x:f>
        <x:v>0</x:v>
      </x:c>
      <x:c r="AA8" s="10" t="n">
        <x:f>IF(AND('Raw Results'!$BN$3="True",'Raw Results'!$BO$3="True"),1,0)</x:f>
        <x:v>1</x:v>
      </x:c>
      <x:c r="AB8" s="10" t="n">
        <x:f>IF(AND(J8=0,Q8=1),1,0)</x:f>
        <x:v>0</x:v>
      </x:c>
      <x:c r="AC8" s="20" t="n">
        <x:f>P8-I8</x:f>
        <x:v>0</x:v>
      </x:c>
      <x:c r="AD8" s="10" t="n">
        <x:f>IF(AND(G8=1,J8=0),1,0)</x:f>
        <x:v>0</x:v>
      </x:c>
      <x:c r="AE8" s="10" t="n">
        <x:f>IF(AND(G8=0,Q8=1),1,0)</x:f>
        <x:v>0</x:v>
      </x:c>
    </x:row>
    <x:row r="9">
      <x:c r="A9" s="10" t="str">
        <x:f>"ICH"</x:f>
        <x:v>ICH</x:v>
      </x:c>
      <x:c r="B9" s="12" t="n">
        <x:f>VALUE('Raw Results'!$A$3)</x:f>
        <x:v>50</x:v>
      </x:c>
      <x:c r="C9" s="14" t="n">
        <x:f>VALUE('Raw Results'!$B$3)</x:f>
        <x:v>0.1</x:v>
      </x:c>
      <x:c r="D9" s="12" t="n">
        <x:f>VALUE('Raw Results'!$C$3)</x:f>
        <x:v>2</x:v>
      </x:c>
      <x:c r="E9" s="12" t="n">
        <x:f>VALUE('Raw Results'!$D$3)</x:f>
        <x:v>19468622</x:v>
      </x:c>
      <x:c r="F9" s="12" t="n">
        <x:f>VALUE('Raw Results'!$CA$3)</x:f>
        <x:v>27</x:v>
      </x:c>
      <x:c r="G9" s="12" t="n">
        <x:f>IF('Raw Results'!$CC$3="True",1,0)</x:f>
        <x:v>1</x:v>
      </x:c>
      <x:c r="H9" s="12" t="n">
        <x:f>VALUE('Raw Results'!$CF$3)</x:f>
        <x:v>27</x:v>
      </x:c>
      <x:c r="I9" s="12" t="n">
        <x:f>VALUE('Raw Results'!$CG$3)</x:f>
        <x:v>27</x:v>
      </x:c>
      <x:c r="J9" s="12" t="n">
        <x:f>IF('Raw Results'!$CI$3="True",1,0)</x:f>
        <x:v>1</x:v>
      </x:c>
      <x:c r="K9" s="12" t="n">
        <x:f>VALUE('Raw Results'!$CL$3)</x:f>
        <x:v>0</x:v>
      </x:c>
      <x:c r="L9" s="12" t="n">
        <x:f>VALUE('Raw Results'!$CM$3)</x:f>
        <x:v>0</x:v>
      </x:c>
      <x:c r="M9" s="10" t="str">
        <x:f>'Raw Results'!$CN$3</x:f>
      </x:c>
      <x:c r="N9" s="16" t="n">
        <x:f>VALUE('Raw Results'!$CO$3)</x:f>
        <x:v>0.0005741999484598637</x:v>
      </x:c>
      <x:c r="O9" s="12" t="n">
        <x:f>VALUE('Raw Results'!$CP$3)</x:f>
        <x:v>27</x:v>
      </x:c>
      <x:c r="P9" s="12" t="n">
        <x:f>VALUE('Raw Results'!$CQ$3)</x:f>
        <x:v>27</x:v>
      </x:c>
      <x:c r="Q9" s="12" t="n">
        <x:f>IF('Raw Results'!$CS$3="True",1,0)</x:f>
        <x:v>1</x:v>
      </x:c>
      <x:c r="R9" s="12" t="n">
        <x:f>VALUE('Raw Results'!$CU$3)</x:f>
        <x:v>0</x:v>
      </x:c>
      <x:c r="S9" s="12" t="n">
        <x:f>VALUE('Raw Results'!$CV$3)</x:f>
        <x:v>0</x:v>
      </x:c>
      <x:c r="T9" s="16" t="n">
        <x:f>VALUE('Raw Results'!$CH$3)</x:f>
        <x:v>0.0333909000037238</x:v>
      </x:c>
      <x:c r="U9" s="16" t="n">
        <x:f>VALUE('Raw Results'!$CR$3)</x:f>
        <x:v>0.033965099952183664</x:v>
      </x:c>
      <x:c r="V9" s="18" t="n">
        <x:f>IF(T9=0,0,N9/T9)</x:f>
        <x:v>0.017196300441013213</x:v>
      </x:c>
      <x:c r="W9" s="10" t="n">
        <x:f>IF(AND(G9=1,Q9=1),1,0)</x:f>
        <x:v>1</x:v>
      </x:c>
      <x:c r="X9" s="20" t="n">
        <x:f>IF(W9=1,P9-F9,"")</x:f>
        <x:v>0</x:v>
      </x:c>
      <x:c r="Y9" s="10" t="str">
        <x:f>IF(W9=0,"excluded",IF(X9&lt;0,"repaired",IF(X9&gt;0,"entropy","tie")))</x:f>
        <x:v>tie</x:v>
      </x:c>
      <x:c r="Z9" s="10" t="n">
        <x:f>IF(VALUE(L9)&gt;0,1,0)</x:f>
        <x:v>0</x:v>
      </x:c>
      <x:c r="AA9" s="10" t="n">
        <x:f>IF(AND('Raw Results'!$CJ$3="True",'Raw Results'!$CK$3="True"),1,0)</x:f>
        <x:v>1</x:v>
      </x:c>
      <x:c r="AB9" s="10" t="n">
        <x:f>IF(AND(J9=0,Q9=1),1,0)</x:f>
        <x:v>0</x:v>
      </x:c>
      <x:c r="AC9" s="20" t="n">
        <x:f>P9-I9</x:f>
        <x:v>0</x:v>
      </x:c>
      <x:c r="AD9" s="10" t="n">
        <x:f>IF(AND(G9=1,J9=0),1,0)</x:f>
        <x:v>0</x:v>
      </x:c>
      <x:c r="AE9" s="10" t="n">
        <x:f>IF(AND(G9=0,Q9=1),1,0)</x:f>
        <x:v>0</x:v>
      </x:c>
    </x:row>
    <x:row r="10">
      <x:c r="A10" s="10" t="str">
        <x:f>"Grid"</x:f>
        <x:v>Grid</x:v>
      </x:c>
      <x:c r="B10" s="12" t="n">
        <x:f>VALUE('Raw Results'!$A$4)</x:f>
        <x:v>50</x:v>
      </x:c>
      <x:c r="C10" s="14" t="n">
        <x:f>VALUE('Raw Results'!$B$4)</x:f>
        <x:v>0.1</x:v>
      </x:c>
      <x:c r="D10" s="12" t="n">
        <x:f>VALUE('Raw Results'!$C$4)</x:f>
        <x:v>3</x:v>
      </x:c>
      <x:c r="E10" s="12" t="n">
        <x:f>VALUE('Raw Results'!$D$4)</x:f>
        <x:v>2553414308</x:v>
      </x:c>
      <x:c r="F10" s="12" t="n">
        <x:f>VALUE('Raw Results'!$M$4)</x:f>
        <x:v>28</x:v>
      </x:c>
      <x:c r="G10" s="12" t="n">
        <x:f>IF('Raw Results'!$O$4="True",1,0)</x:f>
        <x:v>0</x:v>
      </x:c>
      <x:c r="H10" s="12" t="n">
        <x:f>VALUE('Raw Results'!$R$4)</x:f>
        <x:v>28</x:v>
      </x:c>
      <x:c r="I10" s="12" t="n">
        <x:f>VALUE('Raw Results'!$S$4)</x:f>
        <x:v>28</x:v>
      </x:c>
      <x:c r="J10" s="12" t="n">
        <x:f>IF('Raw Results'!$U$4="True",1,0)</x:f>
        <x:v>0</x:v>
      </x:c>
      <x:c r="K10" s="12" t="n">
        <x:f>VALUE('Raw Results'!$X$4)</x:f>
        <x:v>21</x:v>
      </x:c>
      <x:c r="L10" s="12" t="n">
        <x:f>VALUE('Raw Results'!$Y$4)</x:f>
        <x:v>6</x:v>
      </x:c>
      <x:c r="M10" s="10" t="str">
        <x:f>'Raw Results'!$Z$4</x:f>
        <x:v>7,16,32,36,37,39</x:v>
      </x:c>
      <x:c r="N10" s="16" t="n">
        <x:f>VALUE('Raw Results'!$AA$4)</x:f>
        <x:v>0.00494699995033443</x:v>
      </x:c>
      <x:c r="O10" s="12" t="n">
        <x:f>VALUE('Raw Results'!$AB$4)</x:f>
        <x:v>34</x:v>
      </x:c>
      <x:c r="P10" s="12" t="n">
        <x:f>VALUE('Raw Results'!$AC$4)</x:f>
        <x:v>30</x:v>
      </x:c>
      <x:c r="Q10" s="12" t="n">
        <x:f>IF('Raw Results'!$AE$4="True",1,0)</x:f>
        <x:v>1</x:v>
      </x:c>
      <x:c r="R10" s="12" t="n">
        <x:f>VALUE('Raw Results'!$AG$4)</x:f>
        <x:v>4</x:v>
      </x:c>
      <x:c r="S10" s="12" t="n">
        <x:f>VALUE('Raw Results'!$AH$4)</x:f>
        <x:v>2</x:v>
      </x:c>
      <x:c r="T10" s="16" t="n">
        <x:f>VALUE('Raw Results'!$T$4)</x:f>
        <x:v>0.0019035000586882234</x:v>
      </x:c>
      <x:c r="U10" s="16" t="n">
        <x:f>VALUE('Raw Results'!$AD$4)</x:f>
        <x:v>0.006850500009022653</x:v>
      </x:c>
      <x:c r="V10" s="18" t="n">
        <x:f>IF(T10=0,0,N10/T10)</x:f>
        <x:v>2.59889666288931</x:v>
      </x:c>
      <x:c r="W10" s="10" t="n">
        <x:f>IF(AND(G10=1,Q10=1),1,0)</x:f>
        <x:v>0</x:v>
      </x:c>
      <x:c r="X10" s="20" t="str">
        <x:f>IF(W10=1,P10-F10,"")</x:f>
      </x:c>
      <x:c r="Y10" s="10" t="str">
        <x:f>IF(W10=0,"excluded",IF(X10&lt;0,"repaired",IF(X10&gt;0,"entropy","tie")))</x:f>
        <x:v>excluded</x:v>
      </x:c>
      <x:c r="Z10" s="10" t="n">
        <x:f>IF(VALUE(L10)&gt;0,1,0)</x:f>
        <x:v>1</x:v>
      </x:c>
      <x:c r="AA10" s="10" t="n">
        <x:f>IF(AND('Raw Results'!$V$4="True",'Raw Results'!$W$4="True"),1,0)</x:f>
        <x:v>1</x:v>
      </x:c>
      <x:c r="AB10" s="10" t="n">
        <x:f>IF(AND(J10=0,Q10=1),1,0)</x:f>
        <x:v>1</x:v>
      </x:c>
      <x:c r="AC10" s="20" t="n">
        <x:f>P10-I10</x:f>
        <x:v>2</x:v>
      </x:c>
      <x:c r="AD10" s="10" t="n">
        <x:f>IF(AND(G10=1,J10=0),1,0)</x:f>
        <x:v>0</x:v>
      </x:c>
      <x:c r="AE10" s="10" t="n">
        <x:f>IF(AND(G10=0,Q10=1),1,0)</x:f>
        <x:v>1</x:v>
      </x:c>
    </x:row>
    <x:row r="11">
      <x:c r="A11" s="10" t="str">
        <x:f>"Circle"</x:f>
        <x:v>Circle</x:v>
      </x:c>
      <x:c r="B11" s="12" t="n">
        <x:f>VALUE('Raw Results'!$A$4)</x:f>
        <x:v>50</x:v>
      </x:c>
      <x:c r="C11" s="14" t="n">
        <x:f>VALUE('Raw Results'!$B$4)</x:f>
        <x:v>0.1</x:v>
      </x:c>
      <x:c r="D11" s="12" t="n">
        <x:f>VALUE('Raw Results'!$C$4)</x:f>
        <x:v>3</x:v>
      </x:c>
      <x:c r="E11" s="12" t="n">
        <x:f>VALUE('Raw Results'!$D$4)</x:f>
        <x:v>2553414308</x:v>
      </x:c>
      <x:c r="F11" s="12" t="n">
        <x:f>VALUE('Raw Results'!$AI$4)</x:f>
        <x:v>30</x:v>
      </x:c>
      <x:c r="G11" s="12" t="n">
        <x:f>IF('Raw Results'!$AK$4="True",1,0)</x:f>
        <x:v>1</x:v>
      </x:c>
      <x:c r="H11" s="12" t="n">
        <x:f>VALUE('Raw Results'!$AN$4)</x:f>
        <x:v>35</x:v>
      </x:c>
      <x:c r="I11" s="12" t="n">
        <x:f>VALUE('Raw Results'!$AO$4)</x:f>
        <x:v>30</x:v>
      </x:c>
      <x:c r="J11" s="12" t="n">
        <x:f>IF('Raw Results'!$AQ$4="True",1,0)</x:f>
        <x:v>1</x:v>
      </x:c>
      <x:c r="K11" s="12" t="n">
        <x:f>VALUE('Raw Results'!$AT$4)</x:f>
        <x:v>0</x:v>
      </x:c>
      <x:c r="L11" s="12" t="n">
        <x:f>VALUE('Raw Results'!$AU$4)</x:f>
        <x:v>0</x:v>
      </x:c>
      <x:c r="M11" s="10" t="str">
        <x:f>'Raw Results'!$AV$4</x:f>
      </x:c>
      <x:c r="N11" s="16" t="n">
        <x:f>VALUE('Raw Results'!$AW$4)</x:f>
        <x:v>0.0006303000263869762</x:v>
      </x:c>
      <x:c r="O11" s="12" t="n">
        <x:f>VALUE('Raw Results'!$AX$4)</x:f>
        <x:v>30</x:v>
      </x:c>
      <x:c r="P11" s="12" t="n">
        <x:f>VALUE('Raw Results'!$AY$4)</x:f>
        <x:v>30</x:v>
      </x:c>
      <x:c r="Q11" s="12" t="n">
        <x:f>IF('Raw Results'!$BA$4="True",1,0)</x:f>
        <x:v>1</x:v>
      </x:c>
      <x:c r="R11" s="12" t="n">
        <x:f>VALUE('Raw Results'!$BC$4)</x:f>
        <x:v>0</x:v>
      </x:c>
      <x:c r="S11" s="12" t="n">
        <x:f>VALUE('Raw Results'!$BD$4)</x:f>
        <x:v>0</x:v>
      </x:c>
      <x:c r="T11" s="16" t="n">
        <x:f>VALUE('Raw Results'!$AP$4)</x:f>
        <x:v>0.0031996999168768525</x:v>
      </x:c>
      <x:c r="U11" s="16" t="n">
        <x:f>VALUE('Raw Results'!$AZ$4)</x:f>
        <x:v>0.0038299999432638288</x:v>
      </x:c>
      <x:c r="V11" s="18" t="n">
        <x:f>IF(T11=0,0,N11/T11)</x:f>
        <x:v>0.1969872309157655</x:v>
      </x:c>
      <x:c r="W11" s="10" t="n">
        <x:f>IF(AND(G11=1,Q11=1),1,0)</x:f>
        <x:v>1</x:v>
      </x:c>
      <x:c r="X11" s="20" t="n">
        <x:f>IF(W11=1,P11-F11,"")</x:f>
        <x:v>0</x:v>
      </x:c>
      <x:c r="Y11" s="10" t="str">
        <x:f>IF(W11=0,"excluded",IF(X11&lt;0,"repaired",IF(X11&gt;0,"entropy","tie")))</x:f>
        <x:v>tie</x:v>
      </x:c>
      <x:c r="Z11" s="10" t="n">
        <x:f>IF(VALUE(L11)&gt;0,1,0)</x:f>
        <x:v>0</x:v>
      </x:c>
      <x:c r="AA11" s="10" t="n">
        <x:f>IF(AND('Raw Results'!$AR$4="True",'Raw Results'!$AS$4="True"),1,0)</x:f>
        <x:v>1</x:v>
      </x:c>
      <x:c r="AB11" s="10" t="n">
        <x:f>IF(AND(J11=0,Q11=1),1,0)</x:f>
        <x:v>0</x:v>
      </x:c>
      <x:c r="AC11" s="20" t="n">
        <x:f>P11-I11</x:f>
        <x:v>0</x:v>
      </x:c>
      <x:c r="AD11" s="10" t="n">
        <x:f>IF(AND(G11=1,J11=0),1,0)</x:f>
        <x:v>0</x:v>
      </x:c>
      <x:c r="AE11" s="10" t="n">
        <x:f>IF(AND(G11=0,Q11=1),1,0)</x:f>
        <x:v>0</x:v>
      </x:c>
    </x:row>
    <x:row r="12">
      <x:c r="A12" s="10" t="str">
        <x:f>"Zoomed Square"</x:f>
        <x:v>Zoomed Square</x:v>
      </x:c>
      <x:c r="B12" s="12" t="n">
        <x:f>VALUE('Raw Results'!$A$4)</x:f>
        <x:v>50</x:v>
      </x:c>
      <x:c r="C12" s="14" t="n">
        <x:f>VALUE('Raw Results'!$B$4)</x:f>
        <x:v>0.1</x:v>
      </x:c>
      <x:c r="D12" s="12" t="n">
        <x:f>VALUE('Raw Results'!$C$4)</x:f>
        <x:v>3</x:v>
      </x:c>
      <x:c r="E12" s="12" t="n">
        <x:f>VALUE('Raw Results'!$D$4)</x:f>
        <x:v>2553414308</x:v>
      </x:c>
      <x:c r="F12" s="12" t="n">
        <x:f>VALUE('Raw Results'!$BE$4)</x:f>
        <x:v>30</x:v>
      </x:c>
      <x:c r="G12" s="12" t="n">
        <x:f>IF('Raw Results'!$BG$4="True",1,0)</x:f>
        <x:v>1</x:v>
      </x:c>
      <x:c r="H12" s="12" t="n">
        <x:f>VALUE('Raw Results'!$BJ$4)</x:f>
        <x:v>34</x:v>
      </x:c>
      <x:c r="I12" s="12" t="n">
        <x:f>VALUE('Raw Results'!$BK$4)</x:f>
        <x:v>30</x:v>
      </x:c>
      <x:c r="J12" s="12" t="n">
        <x:f>IF('Raw Results'!$BM$4="True",1,0)</x:f>
        <x:v>1</x:v>
      </x:c>
      <x:c r="K12" s="12" t="n">
        <x:f>VALUE('Raw Results'!$BP$4)</x:f>
        <x:v>0</x:v>
      </x:c>
      <x:c r="L12" s="12" t="n">
        <x:f>VALUE('Raw Results'!$BQ$4)</x:f>
        <x:v>0</x:v>
      </x:c>
      <x:c r="M12" s="10" t="str">
        <x:f>'Raw Results'!$BR$4</x:f>
      </x:c>
      <x:c r="N12" s="16" t="n">
        <x:f>VALUE('Raw Results'!$BS$4)</x:f>
        <x:v>0.0005591000663116574</x:v>
      </x:c>
      <x:c r="O12" s="12" t="n">
        <x:f>VALUE('Raw Results'!$BT$4)</x:f>
        <x:v>30</x:v>
      </x:c>
      <x:c r="P12" s="12" t="n">
        <x:f>VALUE('Raw Results'!$BU$4)</x:f>
        <x:v>30</x:v>
      </x:c>
      <x:c r="Q12" s="12" t="n">
        <x:f>IF('Raw Results'!$BW$4="True",1,0)</x:f>
        <x:v>1</x:v>
      </x:c>
      <x:c r="R12" s="12" t="n">
        <x:f>VALUE('Raw Results'!$BY$4)</x:f>
        <x:v>0</x:v>
      </x:c>
      <x:c r="S12" s="12" t="n">
        <x:f>VALUE('Raw Results'!$BZ$4)</x:f>
        <x:v>0</x:v>
      </x:c>
      <x:c r="T12" s="16" t="n">
        <x:f>VALUE('Raw Results'!$BL$4)</x:f>
        <x:v>0.002772600040771067</x:v>
      </x:c>
      <x:c r="U12" s="16" t="n">
        <x:f>VALUE('Raw Results'!$BV$4)</x:f>
        <x:v>0.0033317001070827246</x:v>
      </x:c>
      <x:c r="V12" s="18" t="n">
        <x:f>IF(T12=0,0,N12/T12)</x:f>
        <x:v>0.20165190005413486</x:v>
      </x:c>
      <x:c r="W12" s="10" t="n">
        <x:f>IF(AND(G12=1,Q12=1),1,0)</x:f>
        <x:v>1</x:v>
      </x:c>
      <x:c r="X12" s="20" t="n">
        <x:f>IF(W12=1,P12-F12,"")</x:f>
        <x:v>0</x:v>
      </x:c>
      <x:c r="Y12" s="10" t="str">
        <x:f>IF(W12=0,"excluded",IF(X12&lt;0,"repaired",IF(X12&gt;0,"entropy","tie")))</x:f>
        <x:v>tie</x:v>
      </x:c>
      <x:c r="Z12" s="10" t="n">
        <x:f>IF(VALUE(L12)&gt;0,1,0)</x:f>
        <x:v>0</x:v>
      </x:c>
      <x:c r="AA12" s="10" t="n">
        <x:f>IF(AND('Raw Results'!$BN$4="True",'Raw Results'!$BO$4="True"),1,0)</x:f>
        <x:v>1</x:v>
      </x:c>
      <x:c r="AB12" s="10" t="n">
        <x:f>IF(AND(J12=0,Q12=1),1,0)</x:f>
        <x:v>0</x:v>
      </x:c>
      <x:c r="AC12" s="20" t="n">
        <x:f>P12-I12</x:f>
        <x:v>0</x:v>
      </x:c>
      <x:c r="AD12" s="10" t="n">
        <x:f>IF(AND(G12=1,J12=0),1,0)</x:f>
        <x:v>0</x:v>
      </x:c>
      <x:c r="AE12" s="10" t="n">
        <x:f>IF(AND(G12=0,Q12=1),1,0)</x:f>
        <x:v>0</x:v>
      </x:c>
    </x:row>
    <x:row r="13">
      <x:c r="A13" s="10" t="str">
        <x:f>"ICH"</x:f>
        <x:v>ICH</x:v>
      </x:c>
      <x:c r="B13" s="12" t="n">
        <x:f>VALUE('Raw Results'!$A$4)</x:f>
        <x:v>50</x:v>
      </x:c>
      <x:c r="C13" s="14" t="n">
        <x:f>VALUE('Raw Results'!$B$4)</x:f>
        <x:v>0.1</x:v>
      </x:c>
      <x:c r="D13" s="12" t="n">
        <x:f>VALUE('Raw Results'!$C$4)</x:f>
        <x:v>3</x:v>
      </x:c>
      <x:c r="E13" s="12" t="n">
        <x:f>VALUE('Raw Results'!$D$4)</x:f>
        <x:v>2553414308</x:v>
      </x:c>
      <x:c r="F13" s="12" t="n">
        <x:f>VALUE('Raw Results'!$CA$4)</x:f>
        <x:v>30</x:v>
      </x:c>
      <x:c r="G13" s="12" t="n">
        <x:f>IF('Raw Results'!$CC$4="True",1,0)</x:f>
        <x:v>1</x:v>
      </x:c>
      <x:c r="H13" s="12" t="n">
        <x:f>VALUE('Raw Results'!$CF$4)</x:f>
        <x:v>30</x:v>
      </x:c>
      <x:c r="I13" s="12" t="n">
        <x:f>VALUE('Raw Results'!$CG$4)</x:f>
        <x:v>30</x:v>
      </x:c>
      <x:c r="J13" s="12" t="n">
        <x:f>IF('Raw Results'!$CI$4="True",1,0)</x:f>
        <x:v>1</x:v>
      </x:c>
      <x:c r="K13" s="12" t="n">
        <x:f>VALUE('Raw Results'!$CL$4)</x:f>
        <x:v>0</x:v>
      </x:c>
      <x:c r="L13" s="12" t="n">
        <x:f>VALUE('Raw Results'!$CM$4)</x:f>
        <x:v>0</x:v>
      </x:c>
      <x:c r="M13" s="10" t="str">
        <x:f>'Raw Results'!$CN$4</x:f>
      </x:c>
      <x:c r="N13" s="16" t="n">
        <x:f>VALUE('Raw Results'!$CO$4)</x:f>
        <x:v>0.0006834000814706087</x:v>
      </x:c>
      <x:c r="O13" s="12" t="n">
        <x:f>VALUE('Raw Results'!$CP$4)</x:f>
        <x:v>30</x:v>
      </x:c>
      <x:c r="P13" s="12" t="n">
        <x:f>VALUE('Raw Results'!$CQ$4)</x:f>
        <x:v>30</x:v>
      </x:c>
      <x:c r="Q13" s="12" t="n">
        <x:f>IF('Raw Results'!$CS$4="True",1,0)</x:f>
        <x:v>1</x:v>
      </x:c>
      <x:c r="R13" s="12" t="n">
        <x:f>VALUE('Raw Results'!$CU$4)</x:f>
        <x:v>0</x:v>
      </x:c>
      <x:c r="S13" s="12" t="n">
        <x:f>VALUE('Raw Results'!$CV$4)</x:f>
        <x:v>0</x:v>
      </x:c>
      <x:c r="T13" s="16" t="n">
        <x:f>VALUE('Raw Results'!$CH$4)</x:f>
        <x:v>0.03391549992375076</x:v>
      </x:c>
      <x:c r="U13" s="16" t="n">
        <x:f>VALUE('Raw Results'!$CR$4)</x:f>
        <x:v>0.03459890000522137</x:v>
      </x:c>
      <x:c r="V13" s="18" t="n">
        <x:f>IF(T13=0,0,N13/T13)</x:f>
        <x:v>0.020150081319958046</x:v>
      </x:c>
      <x:c r="W13" s="10" t="n">
        <x:f>IF(AND(G13=1,Q13=1),1,0)</x:f>
        <x:v>1</x:v>
      </x:c>
      <x:c r="X13" s="20" t="n">
        <x:f>IF(W13=1,P13-F13,"")</x:f>
        <x:v>0</x:v>
      </x:c>
      <x:c r="Y13" s="10" t="str">
        <x:f>IF(W13=0,"excluded",IF(X13&lt;0,"repaired",IF(X13&gt;0,"entropy","tie")))</x:f>
        <x:v>tie</x:v>
      </x:c>
      <x:c r="Z13" s="10" t="n">
        <x:f>IF(VALUE(L13)&gt;0,1,0)</x:f>
        <x:v>0</x:v>
      </x:c>
      <x:c r="AA13" s="10" t="n">
        <x:f>IF(AND('Raw Results'!$CJ$4="True",'Raw Results'!$CK$4="True"),1,0)</x:f>
        <x:v>1</x:v>
      </x:c>
      <x:c r="AB13" s="10" t="n">
        <x:f>IF(AND(J13=0,Q13=1),1,0)</x:f>
        <x:v>0</x:v>
      </x:c>
      <x:c r="AC13" s="20" t="n">
        <x:f>P13-I13</x:f>
        <x:v>0</x:v>
      </x:c>
      <x:c r="AD13" s="10" t="n">
        <x:f>IF(AND(G13=1,J13=0),1,0)</x:f>
        <x:v>0</x:v>
      </x:c>
      <x:c r="AE13" s="10" t="n">
        <x:f>IF(AND(G13=0,Q13=1),1,0)</x:f>
        <x:v>0</x:v>
      </x:c>
    </x:row>
    <x:row r="14">
      <x:c r="A14" s="10" t="str">
        <x:f>"Grid"</x:f>
        <x:v>Grid</x:v>
      </x:c>
      <x:c r="B14" s="12" t="n">
        <x:f>VALUE('Raw Results'!$A$5)</x:f>
        <x:v>50</x:v>
      </x:c>
      <x:c r="C14" s="14" t="n">
        <x:f>VALUE('Raw Results'!$B$5)</x:f>
        <x:v>0.3</x:v>
      </x:c>
      <x:c r="D14" s="12" t="n">
        <x:f>VALUE('Raw Results'!$C$5)</x:f>
        <x:v>1</x:v>
      </x:c>
      <x:c r="E14" s="12" t="n">
        <x:f>VALUE('Raw Results'!$D$5)</x:f>
        <x:v>4165256226</x:v>
      </x:c>
      <x:c r="F14" s="12" t="n">
        <x:f>VALUE('Raw Results'!$M$5)</x:f>
        <x:v>12</x:v>
      </x:c>
      <x:c r="G14" s="12" t="n">
        <x:f>IF('Raw Results'!$O$5="True",1,0)</x:f>
        <x:v>1</x:v>
      </x:c>
      <x:c r="H14" s="12" t="n">
        <x:f>VALUE('Raw Results'!$R$5)</x:f>
        <x:v>24</x:v>
      </x:c>
      <x:c r="I14" s="12" t="n">
        <x:f>VALUE('Raw Results'!$S$5)</x:f>
        <x:v>12</x:v>
      </x:c>
      <x:c r="J14" s="12" t="n">
        <x:f>IF('Raw Results'!$U$5="True",1,0)</x:f>
        <x:v>1</x:v>
      </x:c>
      <x:c r="K14" s="12" t="n">
        <x:f>VALUE('Raw Results'!$X$5)</x:f>
        <x:v>0</x:v>
      </x:c>
      <x:c r="L14" s="12" t="n">
        <x:f>VALUE('Raw Results'!$Y$5)</x:f>
        <x:v>0</x:v>
      </x:c>
      <x:c r="M14" s="10" t="str">
        <x:f>'Raw Results'!$Z$5</x:f>
      </x:c>
      <x:c r="N14" s="16" t="n">
        <x:f>VALUE('Raw Results'!$AA$5)</x:f>
        <x:v>0.00035500002559274435</x:v>
      </x:c>
      <x:c r="O14" s="12" t="n">
        <x:f>VALUE('Raw Results'!$AB$5)</x:f>
        <x:v>12</x:v>
      </x:c>
      <x:c r="P14" s="12" t="n">
        <x:f>VALUE('Raw Results'!$AC$5)</x:f>
        <x:v>12</x:v>
      </x:c>
      <x:c r="Q14" s="12" t="n">
        <x:f>IF('Raw Results'!$AE$5="True",1,0)</x:f>
        <x:v>1</x:v>
      </x:c>
      <x:c r="R14" s="12" t="n">
        <x:f>VALUE('Raw Results'!$AG$5)</x:f>
        <x:v>0</x:v>
      </x:c>
      <x:c r="S14" s="12" t="n">
        <x:f>VALUE('Raw Results'!$AH$5)</x:f>
        <x:v>0</x:v>
      </x:c>
      <x:c r="T14" s="16" t="n">
        <x:f>VALUE('Raw Results'!$T$5)</x:f>
        <x:v>0.004463599994778633</x:v>
      </x:c>
      <x:c r="U14" s="16" t="n">
        <x:f>VALUE('Raw Results'!$AD$5)</x:f>
        <x:v>0.0048186000203713775</x:v>
      </x:c>
      <x:c r="V14" s="18" t="n">
        <x:f>IF(T14=0,0,N14/T14)</x:f>
        <x:v>0.0795322219750899</x:v>
      </x:c>
      <x:c r="W14" s="10" t="n">
        <x:f>IF(AND(G14=1,Q14=1),1,0)</x:f>
        <x:v>1</x:v>
      </x:c>
      <x:c r="X14" s="20" t="n">
        <x:f>IF(W14=1,P14-F14,"")</x:f>
        <x:v>0</x:v>
      </x:c>
      <x:c r="Y14" s="10" t="str">
        <x:f>IF(W14=0,"excluded",IF(X14&lt;0,"repaired",IF(X14&gt;0,"entropy","tie")))</x:f>
        <x:v>tie</x:v>
      </x:c>
      <x:c r="Z14" s="10" t="n">
        <x:f>IF(VALUE(L14)&gt;0,1,0)</x:f>
        <x:v>0</x:v>
      </x:c>
      <x:c r="AA14" s="10" t="n">
        <x:f>IF(AND('Raw Results'!$V$5="True",'Raw Results'!$W$5="True"),1,0)</x:f>
        <x:v>1</x:v>
      </x:c>
      <x:c r="AB14" s="10" t="n">
        <x:f>IF(AND(J14=0,Q14=1),1,0)</x:f>
        <x:v>0</x:v>
      </x:c>
      <x:c r="AC14" s="20" t="n">
        <x:f>P14-I14</x:f>
        <x:v>0</x:v>
      </x:c>
      <x:c r="AD14" s="10" t="n">
        <x:f>IF(AND(G14=1,J14=0),1,0)</x:f>
        <x:v>0</x:v>
      </x:c>
      <x:c r="AE14" s="10" t="n">
        <x:f>IF(AND(G14=0,Q14=1),1,0)</x:f>
        <x:v>0</x:v>
      </x:c>
    </x:row>
    <x:row r="15">
      <x:c r="A15" s="10" t="str">
        <x:f>"Circle"</x:f>
        <x:v>Circle</x:v>
      </x:c>
      <x:c r="B15" s="12" t="n">
        <x:f>VALUE('Raw Results'!$A$5)</x:f>
        <x:v>50</x:v>
      </x:c>
      <x:c r="C15" s="14" t="n">
        <x:f>VALUE('Raw Results'!$B$5)</x:f>
        <x:v>0.3</x:v>
      </x:c>
      <x:c r="D15" s="12" t="n">
        <x:f>VALUE('Raw Results'!$C$5)</x:f>
        <x:v>1</x:v>
      </x:c>
      <x:c r="E15" s="12" t="n">
        <x:f>VALUE('Raw Results'!$D$5)</x:f>
        <x:v>4165256226</x:v>
      </x:c>
      <x:c r="F15" s="12" t="n">
        <x:f>VALUE('Raw Results'!$AI$5)</x:f>
        <x:v>12</x:v>
      </x:c>
      <x:c r="G15" s="12" t="n">
        <x:f>IF('Raw Results'!$AK$5="True",1,0)</x:f>
        <x:v>1</x:v>
      </x:c>
      <x:c r="H15" s="12" t="n">
        <x:f>VALUE('Raw Results'!$AN$5)</x:f>
        <x:v>27</x:v>
      </x:c>
      <x:c r="I15" s="12" t="n">
        <x:f>VALUE('Raw Results'!$AO$5)</x:f>
        <x:v>13</x:v>
      </x:c>
      <x:c r="J15" s="12" t="n">
        <x:f>IF('Raw Results'!$AQ$5="True",1,0)</x:f>
        <x:v>1</x:v>
      </x:c>
      <x:c r="K15" s="12" t="n">
        <x:f>VALUE('Raw Results'!$AT$5)</x:f>
        <x:v>0</x:v>
      </x:c>
      <x:c r="L15" s="12" t="n">
        <x:f>VALUE('Raw Results'!$AU$5)</x:f>
        <x:v>0</x:v>
      </x:c>
      <x:c r="M15" s="10" t="str">
        <x:f>'Raw Results'!$AV$5</x:f>
      </x:c>
      <x:c r="N15" s="16" t="n">
        <x:f>VALUE('Raw Results'!$AW$5)</x:f>
        <x:v>0.0003418000414967537</x:v>
      </x:c>
      <x:c r="O15" s="12" t="n">
        <x:f>VALUE('Raw Results'!$AX$5)</x:f>
        <x:v>13</x:v>
      </x:c>
      <x:c r="P15" s="12" t="n">
        <x:f>VALUE('Raw Results'!$AY$5)</x:f>
        <x:v>13</x:v>
      </x:c>
      <x:c r="Q15" s="12" t="n">
        <x:f>IF('Raw Results'!$BA$5="True",1,0)</x:f>
        <x:v>1</x:v>
      </x:c>
      <x:c r="R15" s="12" t="n">
        <x:f>VALUE('Raw Results'!$BC$5)</x:f>
        <x:v>0</x:v>
      </x:c>
      <x:c r="S15" s="12" t="n">
        <x:f>VALUE('Raw Results'!$BD$5)</x:f>
        <x:v>0</x:v>
      </x:c>
      <x:c r="T15" s="16" t="n">
        <x:f>VALUE('Raw Results'!$AP$5)</x:f>
        <x:v>0.004028999945148826</x:v>
      </x:c>
      <x:c r="U15" s="16" t="n">
        <x:f>VALUE('Raw Results'!$AZ$5)</x:f>
        <x:v>0.004370799986645579</x:v>
      </x:c>
      <x:c r="V15" s="18" t="n">
        <x:f>IF(T15=0,0,N15/T15)</x:f>
        <x:v>0.0848349580913504</x:v>
      </x:c>
      <x:c r="W15" s="10" t="n">
        <x:f>IF(AND(G15=1,Q15=1),1,0)</x:f>
        <x:v>1</x:v>
      </x:c>
      <x:c r="X15" s="20" t="n">
        <x:f>IF(W15=1,P15-F15,"")</x:f>
        <x:v>1</x:v>
      </x:c>
      <x:c r="Y15" s="10" t="str">
        <x:f>IF(W15=0,"excluded",IF(X15&lt;0,"repaired",IF(X15&gt;0,"entropy","tie")))</x:f>
        <x:v>entropy</x:v>
      </x:c>
      <x:c r="Z15" s="10" t="n">
        <x:f>IF(VALUE(L15)&gt;0,1,0)</x:f>
        <x:v>0</x:v>
      </x:c>
      <x:c r="AA15" s="10" t="n">
        <x:f>IF(AND('Raw Results'!$AR$5="True",'Raw Results'!$AS$5="True"),1,0)</x:f>
        <x:v>1</x:v>
      </x:c>
      <x:c r="AB15" s="10" t="n">
        <x:f>IF(AND(J15=0,Q15=1),1,0)</x:f>
        <x:v>0</x:v>
      </x:c>
      <x:c r="AC15" s="20" t="n">
        <x:f>P15-I15</x:f>
        <x:v>0</x:v>
      </x:c>
      <x:c r="AD15" s="10" t="n">
        <x:f>IF(AND(G15=1,J15=0),1,0)</x:f>
        <x:v>0</x:v>
      </x:c>
      <x:c r="AE15" s="10" t="n">
        <x:f>IF(AND(G15=0,Q15=1),1,0)</x:f>
        <x:v>0</x:v>
      </x:c>
    </x:row>
    <x:row r="16">
      <x:c r="A16" s="10" t="str">
        <x:f>"Zoomed Square"</x:f>
        <x:v>Zoomed Square</x:v>
      </x:c>
      <x:c r="B16" s="12" t="n">
        <x:f>VALUE('Raw Results'!$A$5)</x:f>
        <x:v>50</x:v>
      </x:c>
      <x:c r="C16" s="14" t="n">
        <x:f>VALUE('Raw Results'!$B$5)</x:f>
        <x:v>0.3</x:v>
      </x:c>
      <x:c r="D16" s="12" t="n">
        <x:f>VALUE('Raw Results'!$C$5)</x:f>
        <x:v>1</x:v>
      </x:c>
      <x:c r="E16" s="12" t="n">
        <x:f>VALUE('Raw Results'!$D$5)</x:f>
        <x:v>4165256226</x:v>
      </x:c>
      <x:c r="F16" s="12" t="n">
        <x:f>VALUE('Raw Results'!$BE$5)</x:f>
        <x:v>13</x:v>
      </x:c>
      <x:c r="G16" s="12" t="n">
        <x:f>IF('Raw Results'!$BG$5="True",1,0)</x:f>
        <x:v>1</x:v>
      </x:c>
      <x:c r="H16" s="12" t="n">
        <x:f>VALUE('Raw Results'!$BJ$5)</x:f>
        <x:v>30</x:v>
      </x:c>
      <x:c r="I16" s="12" t="n">
        <x:f>VALUE('Raw Results'!$BK$5)</x:f>
        <x:v>13</x:v>
      </x:c>
      <x:c r="J16" s="12" t="n">
        <x:f>IF('Raw Results'!$BM$5="True",1,0)</x:f>
        <x:v>1</x:v>
      </x:c>
      <x:c r="K16" s="12" t="n">
        <x:f>VALUE('Raw Results'!$BP$5)</x:f>
        <x:v>0</x:v>
      </x:c>
      <x:c r="L16" s="12" t="n">
        <x:f>VALUE('Raw Results'!$BQ$5)</x:f>
        <x:v>0</x:v>
      </x:c>
      <x:c r="M16" s="10" t="str">
        <x:f>'Raw Results'!$BR$5</x:f>
      </x:c>
      <x:c r="N16" s="16" t="n">
        <x:f>VALUE('Raw Results'!$BS$5)</x:f>
        <x:v>0.00034140003845095634</x:v>
      </x:c>
      <x:c r="O16" s="12" t="n">
        <x:f>VALUE('Raw Results'!$BT$5)</x:f>
        <x:v>13</x:v>
      </x:c>
      <x:c r="P16" s="12" t="n">
        <x:f>VALUE('Raw Results'!$BU$5)</x:f>
        <x:v>13</x:v>
      </x:c>
      <x:c r="Q16" s="12" t="n">
        <x:f>IF('Raw Results'!$BW$5="True",1,0)</x:f>
        <x:v>1</x:v>
      </x:c>
      <x:c r="R16" s="12" t="n">
        <x:f>VALUE('Raw Results'!$BY$5)</x:f>
        <x:v>0</x:v>
      </x:c>
      <x:c r="S16" s="12" t="n">
        <x:f>VALUE('Raw Results'!$BZ$5)</x:f>
        <x:v>0</x:v>
      </x:c>
      <x:c r="T16" s="16" t="n">
        <x:f>VALUE('Raw Results'!$BL$5)</x:f>
        <x:v>0.004088900052011013</x:v>
      </x:c>
      <x:c r="U16" s="16" t="n">
        <x:f>VALUE('Raw Results'!$BV$5)</x:f>
        <x:v>0.004430300090461969</x:v>
      </x:c>
      <x:c r="V16" s="18" t="n">
        <x:f>IF(T16=0,0,N16/T16)</x:f>
        <x:v>0.08349434667229103</x:v>
      </x:c>
      <x:c r="W16" s="10" t="n">
        <x:f>IF(AND(G16=1,Q16=1),1,0)</x:f>
        <x:v>1</x:v>
      </x:c>
      <x:c r="X16" s="20" t="n">
        <x:f>IF(W16=1,P16-F16,"")</x:f>
        <x:v>0</x:v>
      </x:c>
      <x:c r="Y16" s="10" t="str">
        <x:f>IF(W16=0,"excluded",IF(X16&lt;0,"repaired",IF(X16&gt;0,"entropy","tie")))</x:f>
        <x:v>tie</x:v>
      </x:c>
      <x:c r="Z16" s="10" t="n">
        <x:f>IF(VALUE(L16)&gt;0,1,0)</x:f>
        <x:v>0</x:v>
      </x:c>
      <x:c r="AA16" s="10" t="n">
        <x:f>IF(AND('Raw Results'!$BN$5="True",'Raw Results'!$BO$5="True"),1,0)</x:f>
        <x:v>1</x:v>
      </x:c>
      <x:c r="AB16" s="10" t="n">
        <x:f>IF(AND(J16=0,Q16=1),1,0)</x:f>
        <x:v>0</x:v>
      </x:c>
      <x:c r="AC16" s="20" t="n">
        <x:f>P16-I16</x:f>
        <x:v>0</x:v>
      </x:c>
      <x:c r="AD16" s="10" t="n">
        <x:f>IF(AND(G16=1,J16=0),1,0)</x:f>
        <x:v>0</x:v>
      </x:c>
      <x:c r="AE16" s="10" t="n">
        <x:f>IF(AND(G16=0,Q16=1),1,0)</x:f>
        <x:v>0</x:v>
      </x:c>
    </x:row>
    <x:row r="17">
      <x:c r="A17" s="10" t="str">
        <x:f>"ICH"</x:f>
        <x:v>ICH</x:v>
      </x:c>
      <x:c r="B17" s="12" t="n">
        <x:f>VALUE('Raw Results'!$A$5)</x:f>
        <x:v>50</x:v>
      </x:c>
      <x:c r="C17" s="14" t="n">
        <x:f>VALUE('Raw Results'!$B$5)</x:f>
        <x:v>0.3</x:v>
      </x:c>
      <x:c r="D17" s="12" t="n">
        <x:f>VALUE('Raw Results'!$C$5)</x:f>
        <x:v>1</x:v>
      </x:c>
      <x:c r="E17" s="12" t="n">
        <x:f>VALUE('Raw Results'!$D$5)</x:f>
        <x:v>4165256226</x:v>
      </x:c>
      <x:c r="F17" s="12" t="n">
        <x:f>VALUE('Raw Results'!$CA$5)</x:f>
        <x:v>13</x:v>
      </x:c>
      <x:c r="G17" s="12" t="n">
        <x:f>IF('Raw Results'!$CC$5="True",1,0)</x:f>
        <x:v>1</x:v>
      </x:c>
      <x:c r="H17" s="12" t="n">
        <x:f>VALUE('Raw Results'!$CF$5)</x:f>
        <x:v>12</x:v>
      </x:c>
      <x:c r="I17" s="12" t="n">
        <x:f>VALUE('Raw Results'!$CG$5)</x:f>
        <x:v>12</x:v>
      </x:c>
      <x:c r="J17" s="12" t="n">
        <x:f>IF('Raw Results'!$CI$5="True",1,0)</x:f>
        <x:v>1</x:v>
      </x:c>
      <x:c r="K17" s="12" t="n">
        <x:f>VALUE('Raw Results'!$CL$5)</x:f>
        <x:v>0</x:v>
      </x:c>
      <x:c r="L17" s="12" t="n">
        <x:f>VALUE('Raw Results'!$CM$5)</x:f>
        <x:v>0</x:v>
      </x:c>
      <x:c r="M17" s="10" t="str">
        <x:f>'Raw Results'!$CN$5</x:f>
      </x:c>
      <x:c r="N17" s="16" t="n">
        <x:f>VALUE('Raw Results'!$CO$5)</x:f>
        <x:v>0.00031430006492882967</x:v>
      </x:c>
      <x:c r="O17" s="12" t="n">
        <x:f>VALUE('Raw Results'!$CP$5)</x:f>
        <x:v>12</x:v>
      </x:c>
      <x:c r="P17" s="12" t="n">
        <x:f>VALUE('Raw Results'!$CQ$5)</x:f>
        <x:v>12</x:v>
      </x:c>
      <x:c r="Q17" s="12" t="n">
        <x:f>IF('Raw Results'!$CS$5="True",1,0)</x:f>
        <x:v>1</x:v>
      </x:c>
      <x:c r="R17" s="12" t="n">
        <x:f>VALUE('Raw Results'!$CU$5)</x:f>
        <x:v>0</x:v>
      </x:c>
      <x:c r="S17" s="12" t="n">
        <x:f>VALUE('Raw Results'!$CV$5)</x:f>
        <x:v>0</x:v>
      </x:c>
      <x:c r="T17" s="16" t="n">
        <x:f>VALUE('Raw Results'!$CH$5)</x:f>
        <x:v>0.022475400008261204</x:v>
      </x:c>
      <x:c r="U17" s="16" t="n">
        <x:f>VALUE('Raw Results'!$CR$5)</x:f>
        <x:v>0.022789700073190033</x:v>
      </x:c>
      <x:c r="V17" s="18" t="n">
        <x:f>IF(T17=0,0,N17/T17)</x:f>
        <x:v>0.01398418114086083</x:v>
      </x:c>
      <x:c r="W17" s="10" t="n">
        <x:f>IF(AND(G17=1,Q17=1),1,0)</x:f>
        <x:v>1</x:v>
      </x:c>
      <x:c r="X17" s="20" t="n">
        <x:f>IF(W17=1,P17-F17,"")</x:f>
        <x:v>-1</x:v>
      </x:c>
      <x:c r="Y17" s="10" t="str">
        <x:f>IF(W17=0,"excluded",IF(X17&lt;0,"repaired",IF(X17&gt;0,"entropy","tie")))</x:f>
        <x:v>repaired</x:v>
      </x:c>
      <x:c r="Z17" s="10" t="n">
        <x:f>IF(VALUE(L17)&gt;0,1,0)</x:f>
        <x:v>0</x:v>
      </x:c>
      <x:c r="AA17" s="10" t="n">
        <x:f>IF(AND('Raw Results'!$CJ$5="True",'Raw Results'!$CK$5="True"),1,0)</x:f>
        <x:v>1</x:v>
      </x:c>
      <x:c r="AB17" s="10" t="n">
        <x:f>IF(AND(J17=0,Q17=1),1,0)</x:f>
        <x:v>0</x:v>
      </x:c>
      <x:c r="AC17" s="20" t="n">
        <x:f>P17-I17</x:f>
        <x:v>0</x:v>
      </x:c>
      <x:c r="AD17" s="10" t="n">
        <x:f>IF(AND(G17=1,J17=0),1,0)</x:f>
        <x:v>0</x:v>
      </x:c>
      <x:c r="AE17" s="10" t="n">
        <x:f>IF(AND(G17=0,Q17=1),1,0)</x:f>
        <x:v>0</x:v>
      </x:c>
    </x:row>
    <x:row r="18">
      <x:c r="A18" s="10" t="str">
        <x:f>"Grid"</x:f>
        <x:v>Grid</x:v>
      </x:c>
      <x:c r="B18" s="12" t="n">
        <x:f>VALUE('Raw Results'!$A$6)</x:f>
        <x:v>50</x:v>
      </x:c>
      <x:c r="C18" s="14" t="n">
        <x:f>VALUE('Raw Results'!$B$6)</x:f>
        <x:v>0.3</x:v>
      </x:c>
      <x:c r="D18" s="12" t="n">
        <x:f>VALUE('Raw Results'!$C$6)</x:f>
        <x:v>2</x:v>
      </x:c>
      <x:c r="E18" s="12" t="n">
        <x:f>VALUE('Raw Results'!$D$6)</x:f>
        <x:v>3034549</x:v>
      </x:c>
      <x:c r="F18" s="12" t="n">
        <x:f>VALUE('Raw Results'!$M$6)</x:f>
        <x:v>12</x:v>
      </x:c>
      <x:c r="G18" s="12" t="n">
        <x:f>IF('Raw Results'!$O$6="True",1,0)</x:f>
        <x:v>1</x:v>
      </x:c>
      <x:c r="H18" s="12" t="n">
        <x:f>VALUE('Raw Results'!$R$6)</x:f>
        <x:v>22</x:v>
      </x:c>
      <x:c r="I18" s="12" t="n">
        <x:f>VALUE('Raw Results'!$S$6)</x:f>
        <x:v>22</x:v>
      </x:c>
      <x:c r="J18" s="12" t="n">
        <x:f>IF('Raw Results'!$U$6="True",1,0)</x:f>
        <x:v>0</x:v>
      </x:c>
      <x:c r="K18" s="12" t="n">
        <x:f>VALUE('Raw Results'!$X$6)</x:f>
        <x:v>1</x:v>
      </x:c>
      <x:c r="L18" s="12" t="n">
        <x:f>VALUE('Raw Results'!$Y$6)</x:f>
        <x:v>1</x:v>
      </x:c>
      <x:c r="M18" s="10" t="str">
        <x:f>'Raw Results'!$Z$6</x:f>
        <x:v>18</x:v>
      </x:c>
      <x:c r="N18" s="16" t="n">
        <x:f>VALUE('Raw Results'!$AA$6)</x:f>
        <x:v>0.0031105000525712967</x:v>
      </x:c>
      <x:c r="O18" s="12" t="n">
        <x:f>VALUE('Raw Results'!$AB$6)</x:f>
        <x:v>23</x:v>
      </x:c>
      <x:c r="P18" s="12" t="n">
        <x:f>VALUE('Raw Results'!$AC$6)</x:f>
        <x:v>13</x:v>
      </x:c>
      <x:c r="Q18" s="12" t="n">
        <x:f>IF('Raw Results'!$AE$6="True",1,0)</x:f>
        <x:v>1</x:v>
      </x:c>
      <x:c r="R18" s="12" t="n">
        <x:f>VALUE('Raw Results'!$AG$6)</x:f>
        <x:v>10</x:v>
      </x:c>
      <x:c r="S18" s="12" t="n">
        <x:f>VALUE('Raw Results'!$AH$6)</x:f>
        <x:v>-9</x:v>
      </x:c>
      <x:c r="T18" s="16" t="n">
        <x:f>VALUE('Raw Results'!$T$6)</x:f>
        <x:v>0.0031117999460548162</x:v>
      </x:c>
      <x:c r="U18" s="16" t="n">
        <x:f>VALUE('Raw Results'!$AD$6)</x:f>
        <x:v>0.006222299998626113</x:v>
      </x:c>
      <x:c r="V18" s="18" t="n">
        <x:f>IF(T18=0,0,N18/T18)</x:f>
        <x:v>0.9995822695847888</x:v>
      </x:c>
      <x:c r="W18" s="10" t="n">
        <x:f>IF(AND(G18=1,Q18=1),1,0)</x:f>
        <x:v>1</x:v>
      </x:c>
      <x:c r="X18" s="20" t="n">
        <x:f>IF(W18=1,P18-F18,"")</x:f>
        <x:v>1</x:v>
      </x:c>
      <x:c r="Y18" s="10" t="str">
        <x:f>IF(W18=0,"excluded",IF(X18&lt;0,"repaired",IF(X18&gt;0,"entropy","tie")))</x:f>
        <x:v>entropy</x:v>
      </x:c>
      <x:c r="Z18" s="10" t="n">
        <x:f>IF(VALUE(L18)&gt;0,1,0)</x:f>
        <x:v>1</x:v>
      </x:c>
      <x:c r="AA18" s="10" t="n">
        <x:f>IF(AND('Raw Results'!$V$6="True",'Raw Results'!$W$6="True"),1,0)</x:f>
        <x:v>1</x:v>
      </x:c>
      <x:c r="AB18" s="10" t="n">
        <x:f>IF(AND(J18=0,Q18=1),1,0)</x:f>
        <x:v>1</x:v>
      </x:c>
      <x:c r="AC18" s="20" t="n">
        <x:f>P18-I18</x:f>
        <x:v>-9</x:v>
      </x:c>
      <x:c r="AD18" s="10" t="n">
        <x:f>IF(AND(G18=1,J18=0),1,0)</x:f>
        <x:v>1</x:v>
      </x:c>
      <x:c r="AE18" s="10" t="n">
        <x:f>IF(AND(G18=0,Q18=1),1,0)</x:f>
        <x:v>0</x:v>
      </x:c>
    </x:row>
    <x:row r="19">
      <x:c r="A19" s="10" t="str">
        <x:f>"Circle"</x:f>
        <x:v>Circle</x:v>
      </x:c>
      <x:c r="B19" s="12" t="n">
        <x:f>VALUE('Raw Results'!$A$6)</x:f>
        <x:v>50</x:v>
      </x:c>
      <x:c r="C19" s="14" t="n">
        <x:f>VALUE('Raw Results'!$B$6)</x:f>
        <x:v>0.3</x:v>
      </x:c>
      <x:c r="D19" s="12" t="n">
        <x:f>VALUE('Raw Results'!$C$6)</x:f>
        <x:v>2</x:v>
      </x:c>
      <x:c r="E19" s="12" t="n">
        <x:f>VALUE('Raw Results'!$D$6)</x:f>
        <x:v>3034549</x:v>
      </x:c>
      <x:c r="F19" s="12" t="n">
        <x:f>VALUE('Raw Results'!$AI$6)</x:f>
        <x:v>11</x:v>
      </x:c>
      <x:c r="G19" s="12" t="n">
        <x:f>IF('Raw Results'!$AK$6="True",1,0)</x:f>
        <x:v>1</x:v>
      </x:c>
      <x:c r="H19" s="12" t="n">
        <x:f>VALUE('Raw Results'!$AN$6)</x:f>
        <x:v>30</x:v>
      </x:c>
      <x:c r="I19" s="12" t="n">
        <x:f>VALUE('Raw Results'!$AO$6)</x:f>
        <x:v>11</x:v>
      </x:c>
      <x:c r="J19" s="12" t="n">
        <x:f>IF('Raw Results'!$AQ$6="True",1,0)</x:f>
        <x:v>1</x:v>
      </x:c>
      <x:c r="K19" s="12" t="n">
        <x:f>VALUE('Raw Results'!$AT$6)</x:f>
        <x:v>0</x:v>
      </x:c>
      <x:c r="L19" s="12" t="n">
        <x:f>VALUE('Raw Results'!$AU$6)</x:f>
        <x:v>0</x:v>
      </x:c>
      <x:c r="M19" s="10" t="str">
        <x:f>'Raw Results'!$AV$6</x:f>
      </x:c>
      <x:c r="N19" s="16" t="n">
        <x:f>VALUE('Raw Results'!$AW$6)</x:f>
        <x:v>0.00033089995849877596</x:v>
      </x:c>
      <x:c r="O19" s="12" t="n">
        <x:f>VALUE('Raw Results'!$AX$6)</x:f>
        <x:v>11</x:v>
      </x:c>
      <x:c r="P19" s="12" t="n">
        <x:f>VALUE('Raw Results'!$AY$6)</x:f>
        <x:v>11</x:v>
      </x:c>
      <x:c r="Q19" s="12" t="n">
        <x:f>IF('Raw Results'!$BA$6="True",1,0)</x:f>
        <x:v>1</x:v>
      </x:c>
      <x:c r="R19" s="12" t="n">
        <x:f>VALUE('Raw Results'!$BC$6)</x:f>
        <x:v>0</x:v>
      </x:c>
      <x:c r="S19" s="12" t="n">
        <x:f>VALUE('Raw Results'!$BD$6)</x:f>
        <x:v>0</x:v>
      </x:c>
      <x:c r="T19" s="16" t="n">
        <x:f>VALUE('Raw Results'!$AP$6)</x:f>
        <x:v>0.0039028999162837863</x:v>
      </x:c>
      <x:c r="U19" s="16" t="n">
        <x:f>VALUE('Raw Results'!$AZ$6)</x:f>
        <x:v>0.004233799874782562</x:v>
      </x:c>
      <x:c r="V19" s="18" t="n">
        <x:f>IF(T19=0,0,N19/T19)</x:f>
        <x:v>0.08478310118027522</x:v>
      </x:c>
      <x:c r="W19" s="10" t="n">
        <x:f>IF(AND(G19=1,Q19=1),1,0)</x:f>
        <x:v>1</x:v>
      </x:c>
      <x:c r="X19" s="20" t="n">
        <x:f>IF(W19=1,P19-F19,"")</x:f>
        <x:v>0</x:v>
      </x:c>
      <x:c r="Y19" s="10" t="str">
        <x:f>IF(W19=0,"excluded",IF(X19&lt;0,"repaired",IF(X19&gt;0,"entropy","tie")))</x:f>
        <x:v>tie</x:v>
      </x:c>
      <x:c r="Z19" s="10" t="n">
        <x:f>IF(VALUE(L19)&gt;0,1,0)</x:f>
        <x:v>0</x:v>
      </x:c>
      <x:c r="AA19" s="10" t="n">
        <x:f>IF(AND('Raw Results'!$AR$6="True",'Raw Results'!$AS$6="True"),1,0)</x:f>
        <x:v>1</x:v>
      </x:c>
      <x:c r="AB19" s="10" t="n">
        <x:f>IF(AND(J19=0,Q19=1),1,0)</x:f>
        <x:v>0</x:v>
      </x:c>
      <x:c r="AC19" s="20" t="n">
        <x:f>P19-I19</x:f>
        <x:v>0</x:v>
      </x:c>
      <x:c r="AD19" s="10" t="n">
        <x:f>IF(AND(G19=1,J19=0),1,0)</x:f>
        <x:v>0</x:v>
      </x:c>
      <x:c r="AE19" s="10" t="n">
        <x:f>IF(AND(G19=0,Q19=1),1,0)</x:f>
        <x:v>0</x:v>
      </x:c>
    </x:row>
    <x:row r="20">
      <x:c r="A20" s="10" t="str">
        <x:f>"Zoomed Square"</x:f>
        <x:v>Zoomed Square</x:v>
      </x:c>
      <x:c r="B20" s="12" t="n">
        <x:f>VALUE('Raw Results'!$A$6)</x:f>
        <x:v>50</x:v>
      </x:c>
      <x:c r="C20" s="14" t="n">
        <x:f>VALUE('Raw Results'!$B$6)</x:f>
        <x:v>0.3</x:v>
      </x:c>
      <x:c r="D20" s="12" t="n">
        <x:f>VALUE('Raw Results'!$C$6)</x:f>
        <x:v>2</x:v>
      </x:c>
      <x:c r="E20" s="12" t="n">
        <x:f>VALUE('Raw Results'!$D$6)</x:f>
        <x:v>3034549</x:v>
      </x:c>
      <x:c r="F20" s="12" t="n">
        <x:f>VALUE('Raw Results'!$BE$6)</x:f>
        <x:v>11</x:v>
      </x:c>
      <x:c r="G20" s="12" t="n">
        <x:f>IF('Raw Results'!$BG$6="True",1,0)</x:f>
        <x:v>1</x:v>
      </x:c>
      <x:c r="H20" s="12" t="n">
        <x:f>VALUE('Raw Results'!$BJ$6)</x:f>
        <x:v>24</x:v>
      </x:c>
      <x:c r="I20" s="12" t="n">
        <x:f>VALUE('Raw Results'!$BK$6)</x:f>
        <x:v>11</x:v>
      </x:c>
      <x:c r="J20" s="12" t="n">
        <x:f>IF('Raw Results'!$BM$6="True",1,0)</x:f>
        <x:v>1</x:v>
      </x:c>
      <x:c r="K20" s="12" t="n">
        <x:f>VALUE('Raw Results'!$BP$6)</x:f>
        <x:v>0</x:v>
      </x:c>
      <x:c r="L20" s="12" t="n">
        <x:f>VALUE('Raw Results'!$BQ$6)</x:f>
        <x:v>0</x:v>
      </x:c>
      <x:c r="M20" s="10" t="str">
        <x:f>'Raw Results'!$BR$6</x:f>
      </x:c>
      <x:c r="N20" s="16" t="n">
        <x:f>VALUE('Raw Results'!$BS$6)</x:f>
        <x:v>0.00027790002059191465</x:v>
      </x:c>
      <x:c r="O20" s="12" t="n">
        <x:f>VALUE('Raw Results'!$BT$6)</x:f>
        <x:v>11</x:v>
      </x:c>
      <x:c r="P20" s="12" t="n">
        <x:f>VALUE('Raw Results'!$BU$6)</x:f>
        <x:v>11</x:v>
      </x:c>
      <x:c r="Q20" s="12" t="n">
        <x:f>IF('Raw Results'!$BW$6="True",1,0)</x:f>
        <x:v>1</x:v>
      </x:c>
      <x:c r="R20" s="12" t="n">
        <x:f>VALUE('Raw Results'!$BY$6)</x:f>
        <x:v>0</x:v>
      </x:c>
      <x:c r="S20" s="12" t="n">
        <x:f>VALUE('Raw Results'!$BZ$6)</x:f>
        <x:v>0</x:v>
      </x:c>
      <x:c r="T20" s="16" t="n">
        <x:f>VALUE('Raw Results'!$BL$6)</x:f>
        <x:v>0.0033221000339835882</x:v>
      </x:c>
      <x:c r="U20" s="16" t="n">
        <x:f>VALUE('Raw Results'!$BV$6)</x:f>
        <x:v>0.003600000054575503</x:v>
      </x:c>
      <x:c r="V20" s="18" t="n">
        <x:f>IF(T20=0,0,N20/T20)</x:f>
        <x:v>0.08365191226908357</x:v>
      </x:c>
      <x:c r="W20" s="10" t="n">
        <x:f>IF(AND(G20=1,Q20=1),1,0)</x:f>
        <x:v>1</x:v>
      </x:c>
      <x:c r="X20" s="20" t="n">
        <x:f>IF(W20=1,P20-F20,"")</x:f>
        <x:v>0</x:v>
      </x:c>
      <x:c r="Y20" s="10" t="str">
        <x:f>IF(W20=0,"excluded",IF(X20&lt;0,"repaired",IF(X20&gt;0,"entropy","tie")))</x:f>
        <x:v>tie</x:v>
      </x:c>
      <x:c r="Z20" s="10" t="n">
        <x:f>IF(VALUE(L20)&gt;0,1,0)</x:f>
        <x:v>0</x:v>
      </x:c>
      <x:c r="AA20" s="10" t="n">
        <x:f>IF(AND('Raw Results'!$BN$6="True",'Raw Results'!$BO$6="True"),1,0)</x:f>
        <x:v>1</x:v>
      </x:c>
      <x:c r="AB20" s="10" t="n">
        <x:f>IF(AND(J20=0,Q20=1),1,0)</x:f>
        <x:v>0</x:v>
      </x:c>
      <x:c r="AC20" s="20" t="n">
        <x:f>P20-I20</x:f>
        <x:v>0</x:v>
      </x:c>
      <x:c r="AD20" s="10" t="n">
        <x:f>IF(AND(G20=1,J20=0),1,0)</x:f>
        <x:v>0</x:v>
      </x:c>
      <x:c r="AE20" s="10" t="n">
        <x:f>IF(AND(G20=0,Q20=1),1,0)</x:f>
        <x:v>0</x:v>
      </x:c>
    </x:row>
    <x:row r="21">
      <x:c r="A21" s="10" t="str">
        <x:f>"ICH"</x:f>
        <x:v>ICH</x:v>
      </x:c>
      <x:c r="B21" s="12" t="n">
        <x:f>VALUE('Raw Results'!$A$6)</x:f>
        <x:v>50</x:v>
      </x:c>
      <x:c r="C21" s="14" t="n">
        <x:f>VALUE('Raw Results'!$B$6)</x:f>
        <x:v>0.3</x:v>
      </x:c>
      <x:c r="D21" s="12" t="n">
        <x:f>VALUE('Raw Results'!$C$6)</x:f>
        <x:v>2</x:v>
      </x:c>
      <x:c r="E21" s="12" t="n">
        <x:f>VALUE('Raw Results'!$D$6)</x:f>
        <x:v>3034549</x:v>
      </x:c>
      <x:c r="F21" s="12" t="n">
        <x:f>VALUE('Raw Results'!$CA$6)</x:f>
        <x:v>13</x:v>
      </x:c>
      <x:c r="G21" s="12" t="n">
        <x:f>IF('Raw Results'!$CC$6="True",1,0)</x:f>
        <x:v>1</x:v>
      </x:c>
      <x:c r="H21" s="12" t="n">
        <x:f>VALUE('Raw Results'!$CF$6)</x:f>
        <x:v>13</x:v>
      </x:c>
      <x:c r="I21" s="12" t="n">
        <x:f>VALUE('Raw Results'!$CG$6)</x:f>
        <x:v>13</x:v>
      </x:c>
      <x:c r="J21" s="12" t="n">
        <x:f>IF('Raw Results'!$CI$6="True",1,0)</x:f>
        <x:v>1</x:v>
      </x:c>
      <x:c r="K21" s="12" t="n">
        <x:f>VALUE('Raw Results'!$CL$6)</x:f>
        <x:v>0</x:v>
      </x:c>
      <x:c r="L21" s="12" t="n">
        <x:f>VALUE('Raw Results'!$CM$6)</x:f>
        <x:v>0</x:v>
      </x:c>
      <x:c r="M21" s="10" t="str">
        <x:f>'Raw Results'!$CN$6</x:f>
      </x:c>
      <x:c r="N21" s="16" t="n">
        <x:f>VALUE('Raw Results'!$CO$6)</x:f>
        <x:v>0.0003630999708548188</x:v>
      </x:c>
      <x:c r="O21" s="12" t="n">
        <x:f>VALUE('Raw Results'!$CP$6)</x:f>
        <x:v>13</x:v>
      </x:c>
      <x:c r="P21" s="12" t="n">
        <x:f>VALUE('Raw Results'!$CQ$6)</x:f>
        <x:v>13</x:v>
      </x:c>
      <x:c r="Q21" s="12" t="n">
        <x:f>IF('Raw Results'!$CS$6="True",1,0)</x:f>
        <x:v>1</x:v>
      </x:c>
      <x:c r="R21" s="12" t="n">
        <x:f>VALUE('Raw Results'!$CU$6)</x:f>
        <x:v>0</x:v>
      </x:c>
      <x:c r="S21" s="12" t="n">
        <x:f>VALUE('Raw Results'!$CV$6)</x:f>
        <x:v>0</x:v>
      </x:c>
      <x:c r="T21" s="16" t="n">
        <x:f>VALUE('Raw Results'!$CH$6)</x:f>
        <x:v>0.024005600018426776</x:v>
      </x:c>
      <x:c r="U21" s="16" t="n">
        <x:f>VALUE('Raw Results'!$CR$6)</x:f>
        <x:v>0.024368699989281595</x:v>
      </x:c>
      <x:c r="V21" s="18" t="n">
        <x:f>IF(T21=0,0,N21/T21)</x:f>
        <x:v>0.015125636125574955</x:v>
      </x:c>
      <x:c r="W21" s="10" t="n">
        <x:f>IF(AND(G21=1,Q21=1),1,0)</x:f>
        <x:v>1</x:v>
      </x:c>
      <x:c r="X21" s="20" t="n">
        <x:f>IF(W21=1,P21-F21,"")</x:f>
        <x:v>0</x:v>
      </x:c>
      <x:c r="Y21" s="10" t="str">
        <x:f>IF(W21=0,"excluded",IF(X21&lt;0,"repaired",IF(X21&gt;0,"entropy","tie")))</x:f>
        <x:v>tie</x:v>
      </x:c>
      <x:c r="Z21" s="10" t="n">
        <x:f>IF(VALUE(L21)&gt;0,1,0)</x:f>
        <x:v>0</x:v>
      </x:c>
      <x:c r="AA21" s="10" t="n">
        <x:f>IF(AND('Raw Results'!$CJ$6="True",'Raw Results'!$CK$6="True"),1,0)</x:f>
        <x:v>1</x:v>
      </x:c>
      <x:c r="AB21" s="10" t="n">
        <x:f>IF(AND(J21=0,Q21=1),1,0)</x:f>
        <x:v>0</x:v>
      </x:c>
      <x:c r="AC21" s="20" t="n">
        <x:f>P21-I21</x:f>
        <x:v>0</x:v>
      </x:c>
      <x:c r="AD21" s="10" t="n">
        <x:f>IF(AND(G21=1,J21=0),1,0)</x:f>
        <x:v>0</x:v>
      </x:c>
      <x:c r="AE21" s="10" t="n">
        <x:f>IF(AND(G21=0,Q21=1),1,0)</x:f>
        <x:v>0</x:v>
      </x:c>
    </x:row>
    <x:row r="22">
      <x:c r="A22" s="10" t="str">
        <x:f>"Grid"</x:f>
        <x:v>Grid</x:v>
      </x:c>
      <x:c r="B22" s="12" t="n">
        <x:f>VALUE('Raw Results'!$A$7)</x:f>
        <x:v>50</x:v>
      </x:c>
      <x:c r="C22" s="14" t="n">
        <x:f>VALUE('Raw Results'!$B$7)</x:f>
        <x:v>0.3</x:v>
      </x:c>
      <x:c r="D22" s="12" t="n">
        <x:f>VALUE('Raw Results'!$C$7)</x:f>
        <x:v>3</x:v>
      </x:c>
      <x:c r="E22" s="12" t="n">
        <x:f>VALUE('Raw Results'!$D$7)</x:f>
        <x:v>469876426</x:v>
      </x:c>
      <x:c r="F22" s="12" t="n">
        <x:f>VALUE('Raw Results'!$M$7)</x:f>
        <x:v>10</x:v>
      </x:c>
      <x:c r="G22" s="12" t="n">
        <x:f>IF('Raw Results'!$O$7="True",1,0)</x:f>
        <x:v>1</x:v>
      </x:c>
      <x:c r="H22" s="12" t="n">
        <x:f>VALUE('Raw Results'!$R$7)</x:f>
        <x:v>23</x:v>
      </x:c>
      <x:c r="I22" s="12" t="n">
        <x:f>VALUE('Raw Results'!$S$7)</x:f>
        <x:v>11</x:v>
      </x:c>
      <x:c r="J22" s="12" t="n">
        <x:f>IF('Raw Results'!$U$7="True",1,0)</x:f>
        <x:v>1</x:v>
      </x:c>
      <x:c r="K22" s="12" t="n">
        <x:f>VALUE('Raw Results'!$X$7)</x:f>
        <x:v>0</x:v>
      </x:c>
      <x:c r="L22" s="12" t="n">
        <x:f>VALUE('Raw Results'!$Y$7)</x:f>
        <x:v>0</x:v>
      </x:c>
      <x:c r="M22" s="10" t="str">
        <x:f>'Raw Results'!$Z$7</x:f>
      </x:c>
      <x:c r="N22" s="16" t="n">
        <x:f>VALUE('Raw Results'!$AA$7)</x:f>
        <x:v>0.0003203999949619174</x:v>
      </x:c>
      <x:c r="O22" s="12" t="n">
        <x:f>VALUE('Raw Results'!$AB$7)</x:f>
        <x:v>11</x:v>
      </x:c>
      <x:c r="P22" s="12" t="n">
        <x:f>VALUE('Raw Results'!$AC$7)</x:f>
        <x:v>11</x:v>
      </x:c>
      <x:c r="Q22" s="12" t="n">
        <x:f>IF('Raw Results'!$AE$7="True",1,0)</x:f>
        <x:v>1</x:v>
      </x:c>
      <x:c r="R22" s="12" t="n">
        <x:f>VALUE('Raw Results'!$AG$7)</x:f>
        <x:v>0</x:v>
      </x:c>
      <x:c r="S22" s="12" t="n">
        <x:f>VALUE('Raw Results'!$AH$7)</x:f>
        <x:v>0</x:v>
      </x:c>
      <x:c r="T22" s="16" t="n">
        <x:f>VALUE('Raw Results'!$T$7)</x:f>
        <x:v>0.0038708000211045146</x:v>
      </x:c>
      <x:c r="U22" s="16" t="n">
        <x:f>VALUE('Raw Results'!$AD$7)</x:f>
        <x:v>0.004191200016066432</x:v>
      </x:c>
      <x:c r="V22" s="18" t="n">
        <x:f>IF(T22=0,0,N22/T22)</x:f>
        <x:v>0.08277358510256821</x:v>
      </x:c>
      <x:c r="W22" s="10" t="n">
        <x:f>IF(AND(G22=1,Q22=1),1,0)</x:f>
        <x:v>1</x:v>
      </x:c>
      <x:c r="X22" s="20" t="n">
        <x:f>IF(W22=1,P22-F22,"")</x:f>
        <x:v>1</x:v>
      </x:c>
      <x:c r="Y22" s="10" t="str">
        <x:f>IF(W22=0,"excluded",IF(X22&lt;0,"repaired",IF(X22&gt;0,"entropy","tie")))</x:f>
        <x:v>entropy</x:v>
      </x:c>
      <x:c r="Z22" s="10" t="n">
        <x:f>IF(VALUE(L22)&gt;0,1,0)</x:f>
        <x:v>0</x:v>
      </x:c>
      <x:c r="AA22" s="10" t="n">
        <x:f>IF(AND('Raw Results'!$V$7="True",'Raw Results'!$W$7="True"),1,0)</x:f>
        <x:v>1</x:v>
      </x:c>
      <x:c r="AB22" s="10" t="n">
        <x:f>IF(AND(J22=0,Q22=1),1,0)</x:f>
        <x:v>0</x:v>
      </x:c>
      <x:c r="AC22" s="20" t="n">
        <x:f>P22-I22</x:f>
        <x:v>0</x:v>
      </x:c>
      <x:c r="AD22" s="10" t="n">
        <x:f>IF(AND(G22=1,J22=0),1,0)</x:f>
        <x:v>0</x:v>
      </x:c>
      <x:c r="AE22" s="10" t="n">
        <x:f>IF(AND(G22=0,Q22=1),1,0)</x:f>
        <x:v>0</x:v>
      </x:c>
    </x:row>
    <x:row r="23">
      <x:c r="A23" s="10" t="str">
        <x:f>"Circle"</x:f>
        <x:v>Circle</x:v>
      </x:c>
      <x:c r="B23" s="12" t="n">
        <x:f>VALUE('Raw Results'!$A$7)</x:f>
        <x:v>50</x:v>
      </x:c>
      <x:c r="C23" s="14" t="n">
        <x:f>VALUE('Raw Results'!$B$7)</x:f>
        <x:v>0.3</x:v>
      </x:c>
      <x:c r="D23" s="12" t="n">
        <x:f>VALUE('Raw Results'!$C$7)</x:f>
        <x:v>3</x:v>
      </x:c>
      <x:c r="E23" s="12" t="n">
        <x:f>VALUE('Raw Results'!$D$7)</x:f>
        <x:v>469876426</x:v>
      </x:c>
      <x:c r="F23" s="12" t="n">
        <x:f>VALUE('Raw Results'!$AI$7)</x:f>
        <x:v>7</x:v>
      </x:c>
      <x:c r="G23" s="12" t="n">
        <x:f>IF('Raw Results'!$AK$7="True",1,0)</x:f>
        <x:v>1</x:v>
      </x:c>
      <x:c r="H23" s="12" t="n">
        <x:f>VALUE('Raw Results'!$AN$7)</x:f>
        <x:v>29</x:v>
      </x:c>
      <x:c r="I23" s="12" t="n">
        <x:f>VALUE('Raw Results'!$AO$7)</x:f>
        <x:v>7</x:v>
      </x:c>
      <x:c r="J23" s="12" t="n">
        <x:f>IF('Raw Results'!$AQ$7="True",1,0)</x:f>
        <x:v>1</x:v>
      </x:c>
      <x:c r="K23" s="12" t="n">
        <x:f>VALUE('Raw Results'!$AT$7)</x:f>
        <x:v>0</x:v>
      </x:c>
      <x:c r="L23" s="12" t="n">
        <x:f>VALUE('Raw Results'!$AU$7)</x:f>
        <x:v>0</x:v>
      </x:c>
      <x:c r="M23" s="10" t="str">
        <x:f>'Raw Results'!$AV$7</x:f>
      </x:c>
      <x:c r="N23" s="16" t="n">
        <x:f>VALUE('Raw Results'!$AW$7)</x:f>
        <x:v>0.0002701000776141882</x:v>
      </x:c>
      <x:c r="O23" s="12" t="n">
        <x:f>VALUE('Raw Results'!$AX$7)</x:f>
        <x:v>7</x:v>
      </x:c>
      <x:c r="P23" s="12" t="n">
        <x:f>VALUE('Raw Results'!$AY$7)</x:f>
        <x:v>7</x:v>
      </x:c>
      <x:c r="Q23" s="12" t="n">
        <x:f>IF('Raw Results'!$BA$7="True",1,0)</x:f>
        <x:v>1</x:v>
      </x:c>
      <x:c r="R23" s="12" t="n">
        <x:f>VALUE('Raw Results'!$BC$7)</x:f>
        <x:v>0</x:v>
      </x:c>
      <x:c r="S23" s="12" t="n">
        <x:f>VALUE('Raw Results'!$BD$7)</x:f>
        <x:v>0</x:v>
      </x:c>
      <x:c r="T23" s="16" t="n">
        <x:f>VALUE('Raw Results'!$AP$7)</x:f>
        <x:v>0.004099300014786422</x:v>
      </x:c>
      <x:c r="U23" s="16" t="n">
        <x:f>VALUE('Raw Results'!$AZ$7)</x:f>
        <x:v>0.0043694000924006104</x:v>
      </x:c>
      <x:c r="V23" s="18" t="n">
        <x:f>IF(T23=0,0,N23/T23)</x:f>
        <x:v>0.0658893168687144</x:v>
      </x:c>
      <x:c r="W23" s="10" t="n">
        <x:f>IF(AND(G23=1,Q23=1),1,0)</x:f>
        <x:v>1</x:v>
      </x:c>
      <x:c r="X23" s="20" t="n">
        <x:f>IF(W23=1,P23-F23,"")</x:f>
        <x:v>0</x:v>
      </x:c>
      <x:c r="Y23" s="10" t="str">
        <x:f>IF(W23=0,"excluded",IF(X23&lt;0,"repaired",IF(X23&gt;0,"entropy","tie")))</x:f>
        <x:v>tie</x:v>
      </x:c>
      <x:c r="Z23" s="10" t="n">
        <x:f>IF(VALUE(L23)&gt;0,1,0)</x:f>
        <x:v>0</x:v>
      </x:c>
      <x:c r="AA23" s="10" t="n">
        <x:f>IF(AND('Raw Results'!$AR$7="True",'Raw Results'!$AS$7="True"),1,0)</x:f>
        <x:v>1</x:v>
      </x:c>
      <x:c r="AB23" s="10" t="n">
        <x:f>IF(AND(J23=0,Q23=1),1,0)</x:f>
        <x:v>0</x:v>
      </x:c>
      <x:c r="AC23" s="20" t="n">
        <x:f>P23-I23</x:f>
        <x:v>0</x:v>
      </x:c>
      <x:c r="AD23" s="10" t="n">
        <x:f>IF(AND(G23=1,J23=0),1,0)</x:f>
        <x:v>0</x:v>
      </x:c>
      <x:c r="AE23" s="10" t="n">
        <x:f>IF(AND(G23=0,Q23=1),1,0)</x:f>
        <x:v>0</x:v>
      </x:c>
    </x:row>
    <x:row r="24">
      <x:c r="A24" s="10" t="str">
        <x:f>"Zoomed Square"</x:f>
        <x:v>Zoomed Square</x:v>
      </x:c>
      <x:c r="B24" s="12" t="n">
        <x:f>VALUE('Raw Results'!$A$7)</x:f>
        <x:v>50</x:v>
      </x:c>
      <x:c r="C24" s="14" t="n">
        <x:f>VALUE('Raw Results'!$B$7)</x:f>
        <x:v>0.3</x:v>
      </x:c>
      <x:c r="D24" s="12" t="n">
        <x:f>VALUE('Raw Results'!$C$7)</x:f>
        <x:v>3</x:v>
      </x:c>
      <x:c r="E24" s="12" t="n">
        <x:f>VALUE('Raw Results'!$D$7)</x:f>
        <x:v>469876426</x:v>
      </x:c>
      <x:c r="F24" s="12" t="n">
        <x:f>VALUE('Raw Results'!$BE$7)</x:f>
        <x:v>10</x:v>
      </x:c>
      <x:c r="G24" s="12" t="n">
        <x:f>IF('Raw Results'!$BG$7="True",1,0)</x:f>
        <x:v>1</x:v>
      </x:c>
      <x:c r="H24" s="12" t="n">
        <x:f>VALUE('Raw Results'!$BJ$7)</x:f>
        <x:v>24</x:v>
      </x:c>
      <x:c r="I24" s="12" t="n">
        <x:f>VALUE('Raw Results'!$BK$7)</x:f>
        <x:v>11</x:v>
      </x:c>
      <x:c r="J24" s="12" t="n">
        <x:f>IF('Raw Results'!$BM$7="True",1,0)</x:f>
        <x:v>1</x:v>
      </x:c>
      <x:c r="K24" s="12" t="n">
        <x:f>VALUE('Raw Results'!$BP$7)</x:f>
        <x:v>0</x:v>
      </x:c>
      <x:c r="L24" s="12" t="n">
        <x:f>VALUE('Raw Results'!$BQ$7)</x:f>
        <x:v>0</x:v>
      </x:c>
      <x:c r="M24" s="10" t="str">
        <x:f>'Raw Results'!$BR$7</x:f>
      </x:c>
      <x:c r="N24" s="16" t="n">
        <x:f>VALUE('Raw Results'!$BS$7)</x:f>
        <x:v>0.00032140000257641077</x:v>
      </x:c>
      <x:c r="O24" s="12" t="n">
        <x:f>VALUE('Raw Results'!$BT$7)</x:f>
        <x:v>11</x:v>
      </x:c>
      <x:c r="P24" s="12" t="n">
        <x:f>VALUE('Raw Results'!$BU$7)</x:f>
        <x:v>11</x:v>
      </x:c>
      <x:c r="Q24" s="12" t="n">
        <x:f>IF('Raw Results'!$BW$7="True",1,0)</x:f>
        <x:v>1</x:v>
      </x:c>
      <x:c r="R24" s="12" t="n">
        <x:f>VALUE('Raw Results'!$BY$7)</x:f>
        <x:v>0</x:v>
      </x:c>
      <x:c r="S24" s="12" t="n">
        <x:f>VALUE('Raw Results'!$BZ$7)</x:f>
        <x:v>0</x:v>
      </x:c>
      <x:c r="T24" s="16" t="n">
        <x:f>VALUE('Raw Results'!$BL$7)</x:f>
        <x:v>0.0034948999527841806</x:v>
      </x:c>
      <x:c r="U24" s="16" t="n">
        <x:f>VALUE('Raw Results'!$BV$7)</x:f>
        <x:v>0.0038162999553605914</x:v>
      </x:c>
      <x:c r="V24" s="18" t="n">
        <x:f>IF(T24=0,0,N24/T24)</x:f>
        <x:v>0.09196257601605172</x:v>
      </x:c>
      <x:c r="W24" s="10" t="n">
        <x:f>IF(AND(G24=1,Q24=1),1,0)</x:f>
        <x:v>1</x:v>
      </x:c>
      <x:c r="X24" s="20" t="n">
        <x:f>IF(W24=1,P24-F24,"")</x:f>
        <x:v>1</x:v>
      </x:c>
      <x:c r="Y24" s="10" t="str">
        <x:f>IF(W24=0,"excluded",IF(X24&lt;0,"repaired",IF(X24&gt;0,"entropy","tie")))</x:f>
        <x:v>entropy</x:v>
      </x:c>
      <x:c r="Z24" s="10" t="n">
        <x:f>IF(VALUE(L24)&gt;0,1,0)</x:f>
        <x:v>0</x:v>
      </x:c>
      <x:c r="AA24" s="10" t="n">
        <x:f>IF(AND('Raw Results'!$BN$7="True",'Raw Results'!$BO$7="True"),1,0)</x:f>
        <x:v>1</x:v>
      </x:c>
      <x:c r="AB24" s="10" t="n">
        <x:f>IF(AND(J24=0,Q24=1),1,0)</x:f>
        <x:v>0</x:v>
      </x:c>
      <x:c r="AC24" s="20" t="n">
        <x:f>P24-I24</x:f>
        <x:v>0</x:v>
      </x:c>
      <x:c r="AD24" s="10" t="n">
        <x:f>IF(AND(G24=1,J24=0),1,0)</x:f>
        <x:v>0</x:v>
      </x:c>
      <x:c r="AE24" s="10" t="n">
        <x:f>IF(AND(G24=0,Q24=1),1,0)</x:f>
        <x:v>0</x:v>
      </x:c>
    </x:row>
    <x:row r="25">
      <x:c r="A25" s="10" t="str">
        <x:f>"ICH"</x:f>
        <x:v>ICH</x:v>
      </x:c>
      <x:c r="B25" s="12" t="n">
        <x:f>VALUE('Raw Results'!$A$7)</x:f>
        <x:v>50</x:v>
      </x:c>
      <x:c r="C25" s="14" t="n">
        <x:f>VALUE('Raw Results'!$B$7)</x:f>
        <x:v>0.3</x:v>
      </x:c>
      <x:c r="D25" s="12" t="n">
        <x:f>VALUE('Raw Results'!$C$7)</x:f>
        <x:v>3</x:v>
      </x:c>
      <x:c r="E25" s="12" t="n">
        <x:f>VALUE('Raw Results'!$D$7)</x:f>
        <x:v>469876426</x:v>
      </x:c>
      <x:c r="F25" s="12" t="n">
        <x:f>VALUE('Raw Results'!$CA$7)</x:f>
        <x:v>7</x:v>
      </x:c>
      <x:c r="G25" s="12" t="n">
        <x:f>IF('Raw Results'!$CC$7="True",1,0)</x:f>
        <x:v>1</x:v>
      </x:c>
      <x:c r="H25" s="12" t="n">
        <x:f>VALUE('Raw Results'!$CF$7)</x:f>
        <x:v>8</x:v>
      </x:c>
      <x:c r="I25" s="12" t="n">
        <x:f>VALUE('Raw Results'!$CG$7)</x:f>
        <x:v>8</x:v>
      </x:c>
      <x:c r="J25" s="12" t="n">
        <x:f>IF('Raw Results'!$CI$7="True",1,0)</x:f>
        <x:v>1</x:v>
      </x:c>
      <x:c r="K25" s="12" t="n">
        <x:f>VALUE('Raw Results'!$CL$7)</x:f>
        <x:v>0</x:v>
      </x:c>
      <x:c r="L25" s="12" t="n">
        <x:f>VALUE('Raw Results'!$CM$7)</x:f>
        <x:v>0</x:v>
      </x:c>
      <x:c r="M25" s="10" t="str">
        <x:f>'Raw Results'!$CN$7</x:f>
      </x:c>
      <x:c r="N25" s="16" t="n">
        <x:f>VALUE('Raw Results'!$CO$7)</x:f>
        <x:v>0.0002544000744819641</x:v>
      </x:c>
      <x:c r="O25" s="12" t="n">
        <x:f>VALUE('Raw Results'!$CP$7)</x:f>
        <x:v>8</x:v>
      </x:c>
      <x:c r="P25" s="12" t="n">
        <x:f>VALUE('Raw Results'!$CQ$7)</x:f>
        <x:v>8</x:v>
      </x:c>
      <x:c r="Q25" s="12" t="n">
        <x:f>IF('Raw Results'!$CS$7="True",1,0)</x:f>
        <x:v>1</x:v>
      </x:c>
      <x:c r="R25" s="12" t="n">
        <x:f>VALUE('Raw Results'!$CU$7)</x:f>
        <x:v>0</x:v>
      </x:c>
      <x:c r="S25" s="12" t="n">
        <x:f>VALUE('Raw Results'!$CV$7)</x:f>
        <x:v>0</x:v>
      </x:c>
      <x:c r="T25" s="16" t="n">
        <x:f>VALUE('Raw Results'!$CH$7)</x:f>
        <x:v>0.020230700029060245</x:v>
      </x:c>
      <x:c r="U25" s="16" t="n">
        <x:f>VALUE('Raw Results'!$CR$7)</x:f>
        <x:v>0.02048510010354221</x:v>
      </x:c>
      <x:c r="V25" s="18" t="n">
        <x:f>IF(T25=0,0,N25/T25)</x:f>
        <x:v>0.012574951638674536</x:v>
      </x:c>
      <x:c r="W25" s="10" t="n">
        <x:f>IF(AND(G25=1,Q25=1),1,0)</x:f>
        <x:v>1</x:v>
      </x:c>
      <x:c r="X25" s="20" t="n">
        <x:f>IF(W25=1,P25-F25,"")</x:f>
        <x:v>1</x:v>
      </x:c>
      <x:c r="Y25" s="10" t="str">
        <x:f>IF(W25=0,"excluded",IF(X25&lt;0,"repaired",IF(X25&gt;0,"entropy","tie")))</x:f>
        <x:v>entropy</x:v>
      </x:c>
      <x:c r="Z25" s="10" t="n">
        <x:f>IF(VALUE(L25)&gt;0,1,0)</x:f>
        <x:v>0</x:v>
      </x:c>
      <x:c r="AA25" s="10" t="n">
        <x:f>IF(AND('Raw Results'!$CJ$7="True",'Raw Results'!$CK$7="True"),1,0)</x:f>
        <x:v>1</x:v>
      </x:c>
      <x:c r="AB25" s="10" t="n">
        <x:f>IF(AND(J25=0,Q25=1),1,0)</x:f>
        <x:v>0</x:v>
      </x:c>
      <x:c r="AC25" s="20" t="n">
        <x:f>P25-I25</x:f>
        <x:v>0</x:v>
      </x:c>
      <x:c r="AD25" s="10" t="n">
        <x:f>IF(AND(G25=1,J25=0),1,0)</x:f>
        <x:v>0</x:v>
      </x:c>
      <x:c r="AE25" s="10" t="n">
        <x:f>IF(AND(G25=0,Q25=1),1,0)</x:f>
        <x:v>0</x:v>
      </x:c>
    </x:row>
    <x:row r="26">
      <x:c r="A26" s="10" t="str">
        <x:f>"Grid"</x:f>
        <x:v>Grid</x:v>
      </x:c>
      <x:c r="B26" s="12" t="n">
        <x:f>VALUE('Raw Results'!$A$8)</x:f>
        <x:v>50</x:v>
      </x:c>
      <x:c r="C26" s="14" t="n">
        <x:f>VALUE('Raw Results'!$B$8)</x:f>
        <x:v>0.5</x:v>
      </x:c>
      <x:c r="D26" s="12" t="n">
        <x:f>VALUE('Raw Results'!$C$8)</x:f>
        <x:v>1</x:v>
      </x:c>
      <x:c r="E26" s="12" t="n">
        <x:f>VALUE('Raw Results'!$D$8)</x:f>
        <x:v>3564035587</x:v>
      </x:c>
      <x:c r="F26" s="12" t="n">
        <x:f>VALUE('Raw Results'!$M$8)</x:f>
        <x:v>15</x:v>
      </x:c>
      <x:c r="G26" s="12" t="n">
        <x:f>IF('Raw Results'!$O$8="True",1,0)</x:f>
        <x:v>1</x:v>
      </x:c>
      <x:c r="H26" s="12" t="n">
        <x:f>VALUE('Raw Results'!$R$8)</x:f>
        <x:v>17</x:v>
      </x:c>
      <x:c r="I26" s="12" t="n">
        <x:f>VALUE('Raw Results'!$S$8)</x:f>
        <x:v>15</x:v>
      </x:c>
      <x:c r="J26" s="12" t="n">
        <x:f>IF('Raw Results'!$U$8="True",1,0)</x:f>
        <x:v>1</x:v>
      </x:c>
      <x:c r="K26" s="12" t="n">
        <x:f>VALUE('Raw Results'!$X$8)</x:f>
        <x:v>0</x:v>
      </x:c>
      <x:c r="L26" s="12" t="n">
        <x:f>VALUE('Raw Results'!$Y$8)</x:f>
        <x:v>0</x:v>
      </x:c>
      <x:c r="M26" s="10" t="str">
        <x:f>'Raw Results'!$Z$8</x:f>
      </x:c>
      <x:c r="N26" s="16" t="n">
        <x:f>VALUE('Raw Results'!$AA$8)</x:f>
        <x:v>0.0005960999988019466</x:v>
      </x:c>
      <x:c r="O26" s="12" t="n">
        <x:f>VALUE('Raw Results'!$AB$8)</x:f>
        <x:v>15</x:v>
      </x:c>
      <x:c r="P26" s="12" t="n">
        <x:f>VALUE('Raw Results'!$AC$8)</x:f>
        <x:v>15</x:v>
      </x:c>
      <x:c r="Q26" s="12" t="n">
        <x:f>IF('Raw Results'!$AE$8="True",1,0)</x:f>
        <x:v>1</x:v>
      </x:c>
      <x:c r="R26" s="12" t="n">
        <x:f>VALUE('Raw Results'!$AG$8)</x:f>
        <x:v>0</x:v>
      </x:c>
      <x:c r="S26" s="12" t="n">
        <x:f>VALUE('Raw Results'!$AH$8)</x:f>
        <x:v>0</x:v>
      </x:c>
      <x:c r="T26" s="16" t="n">
        <x:f>VALUE('Raw Results'!$T$8)</x:f>
        <x:v>0.014536499977111816</x:v>
      </x:c>
      <x:c r="U26" s="16" t="n">
        <x:f>VALUE('Raw Results'!$AD$8)</x:f>
        <x:v>0.015132599975913763</x:v>
      </x:c>
      <x:c r="V26" s="18" t="n">
        <x:f>IF(T26=0,0,N26/T26)</x:f>
        <x:v>0.0410071199904052</x:v>
      </x:c>
      <x:c r="W26" s="10" t="n">
        <x:f>IF(AND(G26=1,Q26=1),1,0)</x:f>
        <x:v>1</x:v>
      </x:c>
      <x:c r="X26" s="20" t="n">
        <x:f>IF(W26=1,P26-F26,"")</x:f>
        <x:v>0</x:v>
      </x:c>
      <x:c r="Y26" s="10" t="str">
        <x:f>IF(W26=0,"excluded",IF(X26&lt;0,"repaired",IF(X26&gt;0,"entropy","tie")))</x:f>
        <x:v>tie</x:v>
      </x:c>
      <x:c r="Z26" s="10" t="n">
        <x:f>IF(VALUE(L26)&gt;0,1,0)</x:f>
        <x:v>0</x:v>
      </x:c>
      <x:c r="AA26" s="10" t="n">
        <x:f>IF(AND('Raw Results'!$V$8="True",'Raw Results'!$W$8="True"),1,0)</x:f>
        <x:v>1</x:v>
      </x:c>
      <x:c r="AB26" s="10" t="n">
        <x:f>IF(AND(J26=0,Q26=1),1,0)</x:f>
        <x:v>0</x:v>
      </x:c>
      <x:c r="AC26" s="20" t="n">
        <x:f>P26-I26</x:f>
        <x:v>0</x:v>
      </x:c>
      <x:c r="AD26" s="10" t="n">
        <x:f>IF(AND(G26=1,J26=0),1,0)</x:f>
        <x:v>0</x:v>
      </x:c>
      <x:c r="AE26" s="10" t="n">
        <x:f>IF(AND(G26=0,Q26=1),1,0)</x:f>
        <x:v>0</x:v>
      </x:c>
    </x:row>
    <x:row r="27">
      <x:c r="A27" s="10" t="str">
        <x:f>"Circle"</x:f>
        <x:v>Circle</x:v>
      </x:c>
      <x:c r="B27" s="12" t="n">
        <x:f>VALUE('Raw Results'!$A$8)</x:f>
        <x:v>50</x:v>
      </x:c>
      <x:c r="C27" s="14" t="n">
        <x:f>VALUE('Raw Results'!$B$8)</x:f>
        <x:v>0.5</x:v>
      </x:c>
      <x:c r="D27" s="12" t="n">
        <x:f>VALUE('Raw Results'!$C$8)</x:f>
        <x:v>1</x:v>
      </x:c>
      <x:c r="E27" s="12" t="n">
        <x:f>VALUE('Raw Results'!$D$8)</x:f>
        <x:v>3564035587</x:v>
      </x:c>
      <x:c r="F27" s="12" t="n">
        <x:f>VALUE('Raw Results'!$AI$8)</x:f>
        <x:v>17</x:v>
      </x:c>
      <x:c r="G27" s="12" t="n">
        <x:f>IF('Raw Results'!$AK$8="True",1,0)</x:f>
        <x:v>1</x:v>
      </x:c>
      <x:c r="H27" s="12" t="n">
        <x:f>VALUE('Raw Results'!$AN$8)</x:f>
        <x:v>32</x:v>
      </x:c>
      <x:c r="I27" s="12" t="n">
        <x:f>VALUE('Raw Results'!$AO$8)</x:f>
        <x:v>16</x:v>
      </x:c>
      <x:c r="J27" s="12" t="n">
        <x:f>IF('Raw Results'!$AQ$8="True",1,0)</x:f>
        <x:v>1</x:v>
      </x:c>
      <x:c r="K27" s="12" t="n">
        <x:f>VALUE('Raw Results'!$AT$8)</x:f>
        <x:v>0</x:v>
      </x:c>
      <x:c r="L27" s="12" t="n">
        <x:f>VALUE('Raw Results'!$AU$8)</x:f>
        <x:v>0</x:v>
      </x:c>
      <x:c r="M27" s="10" t="str">
        <x:f>'Raw Results'!$AV$8</x:f>
      </x:c>
      <x:c r="N27" s="16" t="n">
        <x:f>VALUE('Raw Results'!$AW$8)</x:f>
        <x:v>0.0003493999829515815</x:v>
      </x:c>
      <x:c r="O27" s="12" t="n">
        <x:f>VALUE('Raw Results'!$AX$8)</x:f>
        <x:v>16</x:v>
      </x:c>
      <x:c r="P27" s="12" t="n">
        <x:f>VALUE('Raw Results'!$AY$8)</x:f>
        <x:v>16</x:v>
      </x:c>
      <x:c r="Q27" s="12" t="n">
        <x:f>IF('Raw Results'!$BA$8="True",1,0)</x:f>
        <x:v>1</x:v>
      </x:c>
      <x:c r="R27" s="12" t="n">
        <x:f>VALUE('Raw Results'!$BC$8)</x:f>
        <x:v>0</x:v>
      </x:c>
      <x:c r="S27" s="12" t="n">
        <x:f>VALUE('Raw Results'!$BD$8)</x:f>
        <x:v>0</x:v>
      </x:c>
      <x:c r="T27" s="16" t="n">
        <x:f>VALUE('Raw Results'!$AP$8)</x:f>
        <x:v>0.005158099927939475</x:v>
      </x:c>
      <x:c r="U27" s="16" t="n">
        <x:f>VALUE('Raw Results'!$AZ$8)</x:f>
        <x:v>0.005507499910891056</x:v>
      </x:c>
      <x:c r="V27" s="18" t="n">
        <x:f>IF(T27=0,0,N27/T27)</x:f>
        <x:v>0.06773811826696378</x:v>
      </x:c>
      <x:c r="W27" s="10" t="n">
        <x:f>IF(AND(G27=1,Q27=1),1,0)</x:f>
        <x:v>1</x:v>
      </x:c>
      <x:c r="X27" s="20" t="n">
        <x:f>IF(W27=1,P27-F27,"")</x:f>
        <x:v>-1</x:v>
      </x:c>
      <x:c r="Y27" s="10" t="str">
        <x:f>IF(W27=0,"excluded",IF(X27&lt;0,"repaired",IF(X27&gt;0,"entropy","tie")))</x:f>
        <x:v>repaired</x:v>
      </x:c>
      <x:c r="Z27" s="10" t="n">
        <x:f>IF(VALUE(L27)&gt;0,1,0)</x:f>
        <x:v>0</x:v>
      </x:c>
      <x:c r="AA27" s="10" t="n">
        <x:f>IF(AND('Raw Results'!$AR$8="True",'Raw Results'!$AS$8="True"),1,0)</x:f>
        <x:v>1</x:v>
      </x:c>
      <x:c r="AB27" s="10" t="n">
        <x:f>IF(AND(J27=0,Q27=1),1,0)</x:f>
        <x:v>0</x:v>
      </x:c>
      <x:c r="AC27" s="20" t="n">
        <x:f>P27-I27</x:f>
        <x:v>0</x:v>
      </x:c>
      <x:c r="AD27" s="10" t="n">
        <x:f>IF(AND(G27=1,J27=0),1,0)</x:f>
        <x:v>0</x:v>
      </x:c>
      <x:c r="AE27" s="10" t="n">
        <x:f>IF(AND(G27=0,Q27=1),1,0)</x:f>
        <x:v>0</x:v>
      </x:c>
    </x:row>
    <x:row r="28">
      <x:c r="A28" s="10" t="str">
        <x:f>"Zoomed Square"</x:f>
        <x:v>Zoomed Square</x:v>
      </x:c>
      <x:c r="B28" s="12" t="n">
        <x:f>VALUE('Raw Results'!$A$8)</x:f>
        <x:v>50</x:v>
      </x:c>
      <x:c r="C28" s="14" t="n">
        <x:f>VALUE('Raw Results'!$B$8)</x:f>
        <x:v>0.5</x:v>
      </x:c>
      <x:c r="D28" s="12" t="n">
        <x:f>VALUE('Raw Results'!$C$8)</x:f>
        <x:v>1</x:v>
      </x:c>
      <x:c r="E28" s="12" t="n">
        <x:f>VALUE('Raw Results'!$D$8)</x:f>
        <x:v>3564035587</x:v>
      </x:c>
      <x:c r="F28" s="12" t="n">
        <x:f>VALUE('Raw Results'!$BE$8)</x:f>
        <x:v>16</x:v>
      </x:c>
      <x:c r="G28" s="12" t="n">
        <x:f>IF('Raw Results'!$BG$8="True",1,0)</x:f>
        <x:v>1</x:v>
      </x:c>
      <x:c r="H28" s="12" t="n">
        <x:f>VALUE('Raw Results'!$BJ$8)</x:f>
        <x:v>26</x:v>
      </x:c>
      <x:c r="I28" s="12" t="n">
        <x:f>VALUE('Raw Results'!$BK$8)</x:f>
        <x:v>15</x:v>
      </x:c>
      <x:c r="J28" s="12" t="n">
        <x:f>IF('Raw Results'!$BM$8="True",1,0)</x:f>
        <x:v>1</x:v>
      </x:c>
      <x:c r="K28" s="12" t="n">
        <x:f>VALUE('Raw Results'!$BP$8)</x:f>
        <x:v>0</x:v>
      </x:c>
      <x:c r="L28" s="12" t="n">
        <x:f>VALUE('Raw Results'!$BQ$8)</x:f>
        <x:v>0</x:v>
      </x:c>
      <x:c r="M28" s="10" t="str">
        <x:f>'Raw Results'!$BR$8</x:f>
      </x:c>
      <x:c r="N28" s="16" t="n">
        <x:f>VALUE('Raw Results'!$BS$8)</x:f>
        <x:v>0.0003624999662861228</x:v>
      </x:c>
      <x:c r="O28" s="12" t="n">
        <x:f>VALUE('Raw Results'!$BT$8)</x:f>
        <x:v>15</x:v>
      </x:c>
      <x:c r="P28" s="12" t="n">
        <x:f>VALUE('Raw Results'!$BU$8)</x:f>
        <x:v>15</x:v>
      </x:c>
      <x:c r="Q28" s="12" t="n">
        <x:f>IF('Raw Results'!$BW$8="True",1,0)</x:f>
        <x:v>1</x:v>
      </x:c>
      <x:c r="R28" s="12" t="n">
        <x:f>VALUE('Raw Results'!$BY$8)</x:f>
        <x:v>0</x:v>
      </x:c>
      <x:c r="S28" s="12" t="n">
        <x:f>VALUE('Raw Results'!$BZ$8)</x:f>
        <x:v>0</x:v>
      </x:c>
      <x:c r="T28" s="16" t="n">
        <x:f>VALUE('Raw Results'!$BL$8)</x:f>
        <x:v>0.005765800015069544</x:v>
      </x:c>
      <x:c r="U28" s="16" t="n">
        <x:f>VALUE('Raw Results'!$BV$8)</x:f>
        <x:v>0.006128299981355667</x:v>
      </x:c>
      <x:c r="V28" s="18" t="n">
        <x:f>IF(T28=0,0,N28/T28)</x:f>
        <x:v>0.062870714443562</x:v>
      </x:c>
      <x:c r="W28" s="10" t="n">
        <x:f>IF(AND(G28=1,Q28=1),1,0)</x:f>
        <x:v>1</x:v>
      </x:c>
      <x:c r="X28" s="20" t="n">
        <x:f>IF(W28=1,P28-F28,"")</x:f>
        <x:v>-1</x:v>
      </x:c>
      <x:c r="Y28" s="10" t="str">
        <x:f>IF(W28=0,"excluded",IF(X28&lt;0,"repaired",IF(X28&gt;0,"entropy","tie")))</x:f>
        <x:v>repaired</x:v>
      </x:c>
      <x:c r="Z28" s="10" t="n">
        <x:f>IF(VALUE(L28)&gt;0,1,0)</x:f>
        <x:v>0</x:v>
      </x:c>
      <x:c r="AA28" s="10" t="n">
        <x:f>IF(AND('Raw Results'!$BN$8="True",'Raw Results'!$BO$8="True"),1,0)</x:f>
        <x:v>1</x:v>
      </x:c>
      <x:c r="AB28" s="10" t="n">
        <x:f>IF(AND(J28=0,Q28=1),1,0)</x:f>
        <x:v>0</x:v>
      </x:c>
      <x:c r="AC28" s="20" t="n">
        <x:f>P28-I28</x:f>
        <x:v>0</x:v>
      </x:c>
      <x:c r="AD28" s="10" t="n">
        <x:f>IF(AND(G28=1,J28=0),1,0)</x:f>
        <x:v>0</x:v>
      </x:c>
      <x:c r="AE28" s="10" t="n">
        <x:f>IF(AND(G28=0,Q28=1),1,0)</x:f>
        <x:v>0</x:v>
      </x:c>
    </x:row>
    <x:row r="29">
      <x:c r="A29" s="10" t="str">
        <x:f>"ICH"</x:f>
        <x:v>ICH</x:v>
      </x:c>
      <x:c r="B29" s="12" t="n">
        <x:f>VALUE('Raw Results'!$A$8)</x:f>
        <x:v>50</x:v>
      </x:c>
      <x:c r="C29" s="14" t="n">
        <x:f>VALUE('Raw Results'!$B$8)</x:f>
        <x:v>0.5</x:v>
      </x:c>
      <x:c r="D29" s="12" t="n">
        <x:f>VALUE('Raw Results'!$C$8)</x:f>
        <x:v>1</x:v>
      </x:c>
      <x:c r="E29" s="12" t="n">
        <x:f>VALUE('Raw Results'!$D$8)</x:f>
        <x:v>3564035587</x:v>
      </x:c>
      <x:c r="F29" s="12" t="n">
        <x:f>VALUE('Raw Results'!$CA$8)</x:f>
        <x:v>16</x:v>
      </x:c>
      <x:c r="G29" s="12" t="n">
        <x:f>IF('Raw Results'!$CC$8="True",1,0)</x:f>
        <x:v>1</x:v>
      </x:c>
      <x:c r="H29" s="12" t="n">
        <x:f>VALUE('Raw Results'!$CF$8)</x:f>
        <x:v>16</x:v>
      </x:c>
      <x:c r="I29" s="12" t="n">
        <x:f>VALUE('Raw Results'!$CG$8)</x:f>
        <x:v>16</x:v>
      </x:c>
      <x:c r="J29" s="12" t="n">
        <x:f>IF('Raw Results'!$CI$8="True",1,0)</x:f>
        <x:v>1</x:v>
      </x:c>
      <x:c r="K29" s="12" t="n">
        <x:f>VALUE('Raw Results'!$CL$8)</x:f>
        <x:v>0</x:v>
      </x:c>
      <x:c r="L29" s="12" t="n">
        <x:f>VALUE('Raw Results'!$CM$8)</x:f>
        <x:v>0</x:v>
      </x:c>
      <x:c r="M29" s="10" t="str">
        <x:f>'Raw Results'!$CN$8</x:f>
      </x:c>
      <x:c r="N29" s="16" t="n">
        <x:f>VALUE('Raw Results'!$CO$8)</x:f>
        <x:v>0.0004249000921845436</x:v>
      </x:c>
      <x:c r="O29" s="12" t="n">
        <x:f>VALUE('Raw Results'!$CP$8)</x:f>
        <x:v>16</x:v>
      </x:c>
      <x:c r="P29" s="12" t="n">
        <x:f>VALUE('Raw Results'!$CQ$8)</x:f>
        <x:v>16</x:v>
      </x:c>
      <x:c r="Q29" s="12" t="n">
        <x:f>IF('Raw Results'!$CS$8="True",1,0)</x:f>
        <x:v>1</x:v>
      </x:c>
      <x:c r="R29" s="12" t="n">
        <x:f>VALUE('Raw Results'!$CU$8)</x:f>
        <x:v>0</x:v>
      </x:c>
      <x:c r="S29" s="12" t="n">
        <x:f>VALUE('Raw Results'!$CV$8)</x:f>
        <x:v>0</x:v>
      </x:c>
      <x:c r="T29" s="16" t="n">
        <x:f>VALUE('Raw Results'!$CH$8)</x:f>
        <x:v>0.025015900027938187</x:v>
      </x:c>
      <x:c r="U29" s="16" t="n">
        <x:f>VALUE('Raw Results'!$CR$8)</x:f>
        <x:v>0.02544080012012273</x:v>
      </x:c>
      <x:c r="V29" s="18" t="n">
        <x:f>IF(T29=0,0,N29/T29)</x:f>
        <x:v>0.01698520108051311</x:v>
      </x:c>
      <x:c r="W29" s="10" t="n">
        <x:f>IF(AND(G29=1,Q29=1),1,0)</x:f>
        <x:v>1</x:v>
      </x:c>
      <x:c r="X29" s="20" t="n">
        <x:f>IF(W29=1,P29-F29,"")</x:f>
        <x:v>0</x:v>
      </x:c>
      <x:c r="Y29" s="10" t="str">
        <x:f>IF(W29=0,"excluded",IF(X29&lt;0,"repaired",IF(X29&gt;0,"entropy","tie")))</x:f>
        <x:v>tie</x:v>
      </x:c>
      <x:c r="Z29" s="10" t="n">
        <x:f>IF(VALUE(L29)&gt;0,1,0)</x:f>
        <x:v>0</x:v>
      </x:c>
      <x:c r="AA29" s="10" t="n">
        <x:f>IF(AND('Raw Results'!$CJ$8="True",'Raw Results'!$CK$8="True"),1,0)</x:f>
        <x:v>1</x:v>
      </x:c>
      <x:c r="AB29" s="10" t="n">
        <x:f>IF(AND(J29=0,Q29=1),1,0)</x:f>
        <x:v>0</x:v>
      </x:c>
      <x:c r="AC29" s="20" t="n">
        <x:f>P29-I29</x:f>
        <x:v>0</x:v>
      </x:c>
      <x:c r="AD29" s="10" t="n">
        <x:f>IF(AND(G29=1,J29=0),1,0)</x:f>
        <x:v>0</x:v>
      </x:c>
      <x:c r="AE29" s="10" t="n">
        <x:f>IF(AND(G29=0,Q29=1),1,0)</x:f>
        <x:v>0</x:v>
      </x:c>
    </x:row>
    <x:row r="30">
      <x:c r="A30" s="10" t="str">
        <x:f>"Grid"</x:f>
        <x:v>Grid</x:v>
      </x:c>
      <x:c r="B30" s="12" t="n">
        <x:f>VALUE('Raw Results'!$A$9)</x:f>
        <x:v>50</x:v>
      </x:c>
      <x:c r="C30" s="14" t="n">
        <x:f>VALUE('Raw Results'!$B$9)</x:f>
        <x:v>0.5</x:v>
      </x:c>
      <x:c r="D30" s="12" t="n">
        <x:f>VALUE('Raw Results'!$C$9)</x:f>
        <x:v>2</x:v>
      </x:c>
      <x:c r="E30" s="12" t="n">
        <x:f>VALUE('Raw Results'!$D$9)</x:f>
        <x:v>3396175580</x:v>
      </x:c>
      <x:c r="F30" s="12" t="n">
        <x:f>VALUE('Raw Results'!$M$9)</x:f>
        <x:v>17</x:v>
      </x:c>
      <x:c r="G30" s="12" t="n">
        <x:f>IF('Raw Results'!$O$9="True",1,0)</x:f>
        <x:v>1</x:v>
      </x:c>
      <x:c r="H30" s="12" t="n">
        <x:f>VALUE('Raw Results'!$R$9)</x:f>
        <x:v>15</x:v>
      </x:c>
      <x:c r="I30" s="12" t="n">
        <x:f>VALUE('Raw Results'!$S$9)</x:f>
        <x:v>15</x:v>
      </x:c>
      <x:c r="J30" s="12" t="n">
        <x:f>IF('Raw Results'!$U$9="True",1,0)</x:f>
        <x:v>1</x:v>
      </x:c>
      <x:c r="K30" s="12" t="n">
        <x:f>VALUE('Raw Results'!$X$9)</x:f>
        <x:v>0</x:v>
      </x:c>
      <x:c r="L30" s="12" t="n">
        <x:f>VALUE('Raw Results'!$Y$9)</x:f>
        <x:v>0</x:v>
      </x:c>
      <x:c r="M30" s="10" t="str">
        <x:f>'Raw Results'!$Z$9</x:f>
      </x:c>
      <x:c r="N30" s="16" t="n">
        <x:f>VALUE('Raw Results'!$AA$9)</x:f>
        <x:v>0.00036399997770786285</x:v>
      </x:c>
      <x:c r="O30" s="12" t="n">
        <x:f>VALUE('Raw Results'!$AB$9)</x:f>
        <x:v>15</x:v>
      </x:c>
      <x:c r="P30" s="12" t="n">
        <x:f>VALUE('Raw Results'!$AC$9)</x:f>
        <x:v>15</x:v>
      </x:c>
      <x:c r="Q30" s="12" t="n">
        <x:f>IF('Raw Results'!$AE$9="True",1,0)</x:f>
        <x:v>1</x:v>
      </x:c>
      <x:c r="R30" s="12" t="n">
        <x:f>VALUE('Raw Results'!$AG$9)</x:f>
        <x:v>0</x:v>
      </x:c>
      <x:c r="S30" s="12" t="n">
        <x:f>VALUE('Raw Results'!$AH$9)</x:f>
        <x:v>0</x:v>
      </x:c>
      <x:c r="T30" s="16" t="n">
        <x:f>VALUE('Raw Results'!$T$9)</x:f>
        <x:v>0.012644200003705919</x:v>
      </x:c>
      <x:c r="U30" s="16" t="n">
        <x:f>VALUE('Raw Results'!$AD$9)</x:f>
        <x:v>0.013008199981413782</x:v>
      </x:c>
      <x:c r="V30" s="18" t="n">
        <x:f>IF(T30=0,0,N30/T30)</x:f>
        <x:v>0.028787900982361656</x:v>
      </x:c>
      <x:c r="W30" s="10" t="n">
        <x:f>IF(AND(G30=1,Q30=1),1,0)</x:f>
        <x:v>1</x:v>
      </x:c>
      <x:c r="X30" s="20" t="n">
        <x:f>IF(W30=1,P30-F30,"")</x:f>
        <x:v>-2</x:v>
      </x:c>
      <x:c r="Y30" s="10" t="str">
        <x:f>IF(W30=0,"excluded",IF(X30&lt;0,"repaired",IF(X30&gt;0,"entropy","tie")))</x:f>
        <x:v>repaired</x:v>
      </x:c>
      <x:c r="Z30" s="10" t="n">
        <x:f>IF(VALUE(L30)&gt;0,1,0)</x:f>
        <x:v>0</x:v>
      </x:c>
      <x:c r="AA30" s="10" t="n">
        <x:f>IF(AND('Raw Results'!$V$9="True",'Raw Results'!$W$9="True"),1,0)</x:f>
        <x:v>1</x:v>
      </x:c>
      <x:c r="AB30" s="10" t="n">
        <x:f>IF(AND(J30=0,Q30=1),1,0)</x:f>
        <x:v>0</x:v>
      </x:c>
      <x:c r="AC30" s="20" t="n">
        <x:f>P30-I30</x:f>
        <x:v>0</x:v>
      </x:c>
      <x:c r="AD30" s="10" t="n">
        <x:f>IF(AND(G30=1,J30=0),1,0)</x:f>
        <x:v>0</x:v>
      </x:c>
      <x:c r="AE30" s="10" t="n">
        <x:f>IF(AND(G30=0,Q30=1),1,0)</x:f>
        <x:v>0</x:v>
      </x:c>
    </x:row>
    <x:row r="31">
      <x:c r="A31" s="10" t="str">
        <x:f>"Circle"</x:f>
        <x:v>Circle</x:v>
      </x:c>
      <x:c r="B31" s="12" t="n">
        <x:f>VALUE('Raw Results'!$A$9)</x:f>
        <x:v>50</x:v>
      </x:c>
      <x:c r="C31" s="14" t="n">
        <x:f>VALUE('Raw Results'!$B$9)</x:f>
        <x:v>0.5</x:v>
      </x:c>
      <x:c r="D31" s="12" t="n">
        <x:f>VALUE('Raw Results'!$C$9)</x:f>
        <x:v>2</x:v>
      </x:c>
      <x:c r="E31" s="12" t="n">
        <x:f>VALUE('Raw Results'!$D$9)</x:f>
        <x:v>3396175580</x:v>
      </x:c>
      <x:c r="F31" s="12" t="n">
        <x:f>VALUE('Raw Results'!$AI$9)</x:f>
        <x:v>17</x:v>
      </x:c>
      <x:c r="G31" s="12" t="n">
        <x:f>IF('Raw Results'!$AK$9="True",1,0)</x:f>
        <x:v>1</x:v>
      </x:c>
      <x:c r="H31" s="12" t="n">
        <x:f>VALUE('Raw Results'!$AN$9)</x:f>
        <x:v>31</x:v>
      </x:c>
      <x:c r="I31" s="12" t="n">
        <x:f>VALUE('Raw Results'!$AO$9)</x:f>
        <x:v>20</x:v>
      </x:c>
      <x:c r="J31" s="12" t="n">
        <x:f>IF('Raw Results'!$AQ$9="True",1,0)</x:f>
        <x:v>1</x:v>
      </x:c>
      <x:c r="K31" s="12" t="n">
        <x:f>VALUE('Raw Results'!$AT$9)</x:f>
        <x:v>0</x:v>
      </x:c>
      <x:c r="L31" s="12" t="n">
        <x:f>VALUE('Raw Results'!$AU$9)</x:f>
        <x:v>0</x:v>
      </x:c>
      <x:c r="M31" s="10" t="str">
        <x:f>'Raw Results'!$AV$9</x:f>
      </x:c>
      <x:c r="N31" s="16" t="n">
        <x:f>VALUE('Raw Results'!$AW$9)</x:f>
        <x:v>0.0005285999504849315</x:v>
      </x:c>
      <x:c r="O31" s="12" t="n">
        <x:f>VALUE('Raw Results'!$AX$9)</x:f>
        <x:v>20</x:v>
      </x:c>
      <x:c r="P31" s="12" t="n">
        <x:f>VALUE('Raw Results'!$AY$9)</x:f>
        <x:v>20</x:v>
      </x:c>
      <x:c r="Q31" s="12" t="n">
        <x:f>IF('Raw Results'!$BA$9="True",1,0)</x:f>
        <x:v>1</x:v>
      </x:c>
      <x:c r="R31" s="12" t="n">
        <x:f>VALUE('Raw Results'!$BC$9)</x:f>
        <x:v>0</x:v>
      </x:c>
      <x:c r="S31" s="12" t="n">
        <x:f>VALUE('Raw Results'!$BD$9)</x:f>
        <x:v>0</x:v>
      </x:c>
      <x:c r="T31" s="16" t="n">
        <x:f>VALUE('Raw Results'!$AP$9)</x:f>
        <x:v>0.005502299987711012</x:v>
      </x:c>
      <x:c r="U31" s="16" t="n">
        <x:f>VALUE('Raw Results'!$AZ$9)</x:f>
        <x:v>0.006030899938195944</x:v>
      </x:c>
      <x:c r="V31" s="18" t="n">
        <x:f>IF(T31=0,0,N31/T31)</x:f>
        <x:v>0.09606890785044819</x:v>
      </x:c>
      <x:c r="W31" s="10" t="n">
        <x:f>IF(AND(G31=1,Q31=1),1,0)</x:f>
        <x:v>1</x:v>
      </x:c>
      <x:c r="X31" s="20" t="n">
        <x:f>IF(W31=1,P31-F31,"")</x:f>
        <x:v>3</x:v>
      </x:c>
      <x:c r="Y31" s="10" t="str">
        <x:f>IF(W31=0,"excluded",IF(X31&lt;0,"repaired",IF(X31&gt;0,"entropy","tie")))</x:f>
        <x:v>entropy</x:v>
      </x:c>
      <x:c r="Z31" s="10" t="n">
        <x:f>IF(VALUE(L31)&gt;0,1,0)</x:f>
        <x:v>0</x:v>
      </x:c>
      <x:c r="AA31" s="10" t="n">
        <x:f>IF(AND('Raw Results'!$AR$9="True",'Raw Results'!$AS$9="True"),1,0)</x:f>
        <x:v>1</x:v>
      </x:c>
      <x:c r="AB31" s="10" t="n">
        <x:f>IF(AND(J31=0,Q31=1),1,0)</x:f>
        <x:v>0</x:v>
      </x:c>
      <x:c r="AC31" s="20" t="n">
        <x:f>P31-I31</x:f>
        <x:v>0</x:v>
      </x:c>
      <x:c r="AD31" s="10" t="n">
        <x:f>IF(AND(G31=1,J31=0),1,0)</x:f>
        <x:v>0</x:v>
      </x:c>
      <x:c r="AE31" s="10" t="n">
        <x:f>IF(AND(G31=0,Q31=1),1,0)</x:f>
        <x:v>0</x:v>
      </x:c>
    </x:row>
    <x:row r="32">
      <x:c r="A32" s="10" t="str">
        <x:f>"Zoomed Square"</x:f>
        <x:v>Zoomed Square</x:v>
      </x:c>
      <x:c r="B32" s="12" t="n">
        <x:f>VALUE('Raw Results'!$A$9)</x:f>
        <x:v>50</x:v>
      </x:c>
      <x:c r="C32" s="14" t="n">
        <x:f>VALUE('Raw Results'!$B$9)</x:f>
        <x:v>0.5</x:v>
      </x:c>
      <x:c r="D32" s="12" t="n">
        <x:f>VALUE('Raw Results'!$C$9)</x:f>
        <x:v>2</x:v>
      </x:c>
      <x:c r="E32" s="12" t="n">
        <x:f>VALUE('Raw Results'!$D$9)</x:f>
        <x:v>3396175580</x:v>
      </x:c>
      <x:c r="F32" s="12" t="n">
        <x:f>VALUE('Raw Results'!$BE$9)</x:f>
        <x:v>19</x:v>
      </x:c>
      <x:c r="G32" s="12" t="n">
        <x:f>IF('Raw Results'!$BG$9="True",1,0)</x:f>
        <x:v>1</x:v>
      </x:c>
      <x:c r="H32" s="12" t="n">
        <x:f>VALUE('Raw Results'!$BJ$9)</x:f>
        <x:v>28</x:v>
      </x:c>
      <x:c r="I32" s="12" t="n">
        <x:f>VALUE('Raw Results'!$BK$9)</x:f>
        <x:v>17</x:v>
      </x:c>
      <x:c r="J32" s="12" t="n">
        <x:f>IF('Raw Results'!$BM$9="True",1,0)</x:f>
        <x:v>1</x:v>
      </x:c>
      <x:c r="K32" s="12" t="n">
        <x:f>VALUE('Raw Results'!$BP$9)</x:f>
        <x:v>0</x:v>
      </x:c>
      <x:c r="L32" s="12" t="n">
        <x:f>VALUE('Raw Results'!$BQ$9)</x:f>
        <x:v>0</x:v>
      </x:c>
      <x:c r="M32" s="10" t="str">
        <x:f>'Raw Results'!$BR$9</x:f>
      </x:c>
      <x:c r="N32" s="16" t="n">
        <x:f>VALUE('Raw Results'!$BS$9)</x:f>
        <x:v>0.00045039993710815907</x:v>
      </x:c>
      <x:c r="O32" s="12" t="n">
        <x:f>VALUE('Raw Results'!$BT$9)</x:f>
        <x:v>17</x:v>
      </x:c>
      <x:c r="P32" s="12" t="n">
        <x:f>VALUE('Raw Results'!$BU$9)</x:f>
        <x:v>17</x:v>
      </x:c>
      <x:c r="Q32" s="12" t="n">
        <x:f>IF('Raw Results'!$BW$9="True",1,0)</x:f>
        <x:v>1</x:v>
      </x:c>
      <x:c r="R32" s="12" t="n">
        <x:f>VALUE('Raw Results'!$BY$9)</x:f>
        <x:v>0</x:v>
      </x:c>
      <x:c r="S32" s="12" t="n">
        <x:f>VALUE('Raw Results'!$BZ$9)</x:f>
        <x:v>0</x:v>
      </x:c>
      <x:c r="T32" s="16" t="n">
        <x:f>VALUE('Raw Results'!$BL$9)</x:f>
        <x:v>0.007347299950197339</x:v>
      </x:c>
      <x:c r="U32" s="16" t="n">
        <x:f>VALUE('Raw Results'!$BV$9)</x:f>
        <x:v>0.007797699887305498</x:v>
      </x:c>
      <x:c r="V32" s="18" t="n">
        <x:f>IF(T32=0,0,N32/T32)</x:f>
        <x:v>0.06130142231311271</x:v>
      </x:c>
      <x:c r="W32" s="10" t="n">
        <x:f>IF(AND(G32=1,Q32=1),1,0)</x:f>
        <x:v>1</x:v>
      </x:c>
      <x:c r="X32" s="20" t="n">
        <x:f>IF(W32=1,P32-F32,"")</x:f>
        <x:v>-2</x:v>
      </x:c>
      <x:c r="Y32" s="10" t="str">
        <x:f>IF(W32=0,"excluded",IF(X32&lt;0,"repaired",IF(X32&gt;0,"entropy","tie")))</x:f>
        <x:v>repaired</x:v>
      </x:c>
      <x:c r="Z32" s="10" t="n">
        <x:f>IF(VALUE(L32)&gt;0,1,0)</x:f>
        <x:v>0</x:v>
      </x:c>
      <x:c r="AA32" s="10" t="n">
        <x:f>IF(AND('Raw Results'!$BN$9="True",'Raw Results'!$BO$9="True"),1,0)</x:f>
        <x:v>1</x:v>
      </x:c>
      <x:c r="AB32" s="10" t="n">
        <x:f>IF(AND(J32=0,Q32=1),1,0)</x:f>
        <x:v>0</x:v>
      </x:c>
      <x:c r="AC32" s="20" t="n">
        <x:f>P32-I32</x:f>
        <x:v>0</x:v>
      </x:c>
      <x:c r="AD32" s="10" t="n">
        <x:f>IF(AND(G32=1,J32=0),1,0)</x:f>
        <x:v>0</x:v>
      </x:c>
      <x:c r="AE32" s="10" t="n">
        <x:f>IF(AND(G32=0,Q32=1),1,0)</x:f>
        <x:v>0</x:v>
      </x:c>
    </x:row>
    <x:row r="33">
      <x:c r="A33" s="10" t="str">
        <x:f>"ICH"</x:f>
        <x:v>ICH</x:v>
      </x:c>
      <x:c r="B33" s="12" t="n">
        <x:f>VALUE('Raw Results'!$A$9)</x:f>
        <x:v>50</x:v>
      </x:c>
      <x:c r="C33" s="14" t="n">
        <x:f>VALUE('Raw Results'!$B$9)</x:f>
        <x:v>0.5</x:v>
      </x:c>
      <x:c r="D33" s="12" t="n">
        <x:f>VALUE('Raw Results'!$C$9)</x:f>
        <x:v>2</x:v>
      </x:c>
      <x:c r="E33" s="12" t="n">
        <x:f>VALUE('Raw Results'!$D$9)</x:f>
        <x:v>3396175580</x:v>
      </x:c>
      <x:c r="F33" s="12" t="n">
        <x:f>VALUE('Raw Results'!$CA$9)</x:f>
        <x:v>15</x:v>
      </x:c>
      <x:c r="G33" s="12" t="n">
        <x:f>IF('Raw Results'!$CC$9="True",1,0)</x:f>
        <x:v>1</x:v>
      </x:c>
      <x:c r="H33" s="12" t="n">
        <x:f>VALUE('Raw Results'!$CF$9)</x:f>
        <x:v>14</x:v>
      </x:c>
      <x:c r="I33" s="12" t="n">
        <x:f>VALUE('Raw Results'!$CG$9)</x:f>
        <x:v>14</x:v>
      </x:c>
      <x:c r="J33" s="12" t="n">
        <x:f>IF('Raw Results'!$CI$9="True",1,0)</x:f>
        <x:v>1</x:v>
      </x:c>
      <x:c r="K33" s="12" t="n">
        <x:f>VALUE('Raw Results'!$CL$9)</x:f>
        <x:v>0</x:v>
      </x:c>
      <x:c r="L33" s="12" t="n">
        <x:f>VALUE('Raw Results'!$CM$9)</x:f>
        <x:v>0</x:v>
      </x:c>
      <x:c r="M33" s="10" t="str">
        <x:f>'Raw Results'!$CN$9</x:f>
      </x:c>
      <x:c r="N33" s="16" t="n">
        <x:f>VALUE('Raw Results'!$CO$9)</x:f>
        <x:v>0.0003380000125616789</x:v>
      </x:c>
      <x:c r="O33" s="12" t="n">
        <x:f>VALUE('Raw Results'!$CP$9)</x:f>
        <x:v>14</x:v>
      </x:c>
      <x:c r="P33" s="12" t="n">
        <x:f>VALUE('Raw Results'!$CQ$9)</x:f>
        <x:v>14</x:v>
      </x:c>
      <x:c r="Q33" s="12" t="n">
        <x:f>IF('Raw Results'!$CS$9="True",1,0)</x:f>
        <x:v>1</x:v>
      </x:c>
      <x:c r="R33" s="12" t="n">
        <x:f>VALUE('Raw Results'!$CU$9)</x:f>
        <x:v>0</x:v>
      </x:c>
      <x:c r="S33" s="12" t="n">
        <x:f>VALUE('Raw Results'!$CV$9)</x:f>
        <x:v>0</x:v>
      </x:c>
      <x:c r="T33" s="16" t="n">
        <x:f>VALUE('Raw Results'!$CH$9)</x:f>
        <x:v>0.024296600022353232</x:v>
      </x:c>
      <x:c r="U33" s="16" t="n">
        <x:f>VALUE('Raw Results'!$CR$9)</x:f>
        <x:v>0.02463460003491491</x:v>
      </x:c>
      <x:c r="V33" s="18" t="n">
        <x:f>IF(T33=0,0,N33/T33)</x:f>
        <x:v>0.013911411977425396</x:v>
      </x:c>
      <x:c r="W33" s="10" t="n">
        <x:f>IF(AND(G33=1,Q33=1),1,0)</x:f>
        <x:v>1</x:v>
      </x:c>
      <x:c r="X33" s="20" t="n">
        <x:f>IF(W33=1,P33-F33,"")</x:f>
        <x:v>-1</x:v>
      </x:c>
      <x:c r="Y33" s="10" t="str">
        <x:f>IF(W33=0,"excluded",IF(X33&lt;0,"repaired",IF(X33&gt;0,"entropy","tie")))</x:f>
        <x:v>repaired</x:v>
      </x:c>
      <x:c r="Z33" s="10" t="n">
        <x:f>IF(VALUE(L33)&gt;0,1,0)</x:f>
        <x:v>0</x:v>
      </x:c>
      <x:c r="AA33" s="10" t="n">
        <x:f>IF(AND('Raw Results'!$CJ$9="True",'Raw Results'!$CK$9="True"),1,0)</x:f>
        <x:v>1</x:v>
      </x:c>
      <x:c r="AB33" s="10" t="n">
        <x:f>IF(AND(J33=0,Q33=1),1,0)</x:f>
        <x:v>0</x:v>
      </x:c>
      <x:c r="AC33" s="20" t="n">
        <x:f>P33-I33</x:f>
        <x:v>0</x:v>
      </x:c>
      <x:c r="AD33" s="10" t="n">
        <x:f>IF(AND(G33=1,J33=0),1,0)</x:f>
        <x:v>0</x:v>
      </x:c>
      <x:c r="AE33" s="10" t="n">
        <x:f>IF(AND(G33=0,Q33=1),1,0)</x:f>
        <x:v>0</x:v>
      </x:c>
    </x:row>
    <x:row r="34">
      <x:c r="A34" s="10" t="str">
        <x:f>"Grid"</x:f>
        <x:v>Grid</x:v>
      </x:c>
      <x:c r="B34" s="12" t="n">
        <x:f>VALUE('Raw Results'!$A$10)</x:f>
        <x:v>50</x:v>
      </x:c>
      <x:c r="C34" s="14" t="n">
        <x:f>VALUE('Raw Results'!$B$10)</x:f>
        <x:v>0.5</x:v>
      </x:c>
      <x:c r="D34" s="12" t="n">
        <x:f>VALUE('Raw Results'!$C$10)</x:f>
        <x:v>3</x:v>
      </x:c>
      <x:c r="E34" s="12" t="n">
        <x:f>VALUE('Raw Results'!$D$10)</x:f>
        <x:v>2120122110</x:v>
      </x:c>
      <x:c r="F34" s="12" t="n">
        <x:f>VALUE('Raw Results'!$M$10)</x:f>
        <x:v>15</x:v>
      </x:c>
      <x:c r="G34" s="12" t="n">
        <x:f>IF('Raw Results'!$O$10="True",1,0)</x:f>
        <x:v>1</x:v>
      </x:c>
      <x:c r="H34" s="12" t="n">
        <x:f>VALUE('Raw Results'!$R$10)</x:f>
        <x:v>16</x:v>
      </x:c>
      <x:c r="I34" s="12" t="n">
        <x:f>VALUE('Raw Results'!$S$10)</x:f>
        <x:v>16</x:v>
      </x:c>
      <x:c r="J34" s="12" t="n">
        <x:f>IF('Raw Results'!$U$10="True",1,0)</x:f>
        <x:v>1</x:v>
      </x:c>
      <x:c r="K34" s="12" t="n">
        <x:f>VALUE('Raw Results'!$X$10)</x:f>
        <x:v>0</x:v>
      </x:c>
      <x:c r="L34" s="12" t="n">
        <x:f>VALUE('Raw Results'!$Y$10)</x:f>
        <x:v>0</x:v>
      </x:c>
      <x:c r="M34" s="10" t="str">
        <x:f>'Raw Results'!$Z$10</x:f>
      </x:c>
      <x:c r="N34" s="16" t="n">
        <x:f>VALUE('Raw Results'!$AA$10)</x:f>
        <x:v>0.00040790007915347815</x:v>
      </x:c>
      <x:c r="O34" s="12" t="n">
        <x:f>VALUE('Raw Results'!$AB$10)</x:f>
        <x:v>16</x:v>
      </x:c>
      <x:c r="P34" s="12" t="n">
        <x:f>VALUE('Raw Results'!$AC$10)</x:f>
        <x:v>16</x:v>
      </x:c>
      <x:c r="Q34" s="12" t="n">
        <x:f>IF('Raw Results'!$AE$10="True",1,0)</x:f>
        <x:v>1</x:v>
      </x:c>
      <x:c r="R34" s="12" t="n">
        <x:f>VALUE('Raw Results'!$AG$10)</x:f>
        <x:v>0</x:v>
      </x:c>
      <x:c r="S34" s="12" t="n">
        <x:f>VALUE('Raw Results'!$AH$10)</x:f>
        <x:v>0</x:v>
      </x:c>
      <x:c r="T34" s="16" t="n">
        <x:f>VALUE('Raw Results'!$T$10)</x:f>
        <x:v>0.01459100004285574</x:v>
      </x:c>
      <x:c r="U34" s="16" t="n">
        <x:f>VALUE('Raw Results'!$AD$10)</x:f>
        <x:v>0.014998900122009218</x:v>
      </x:c>
      <x:c r="V34" s="18" t="n">
        <x:f>IF(T34=0,0,N34/T34)</x:f>
        <x:v>0.027955594404456205</x:v>
      </x:c>
      <x:c r="W34" s="10" t="n">
        <x:f>IF(AND(G34=1,Q34=1),1,0)</x:f>
        <x:v>1</x:v>
      </x:c>
      <x:c r="X34" s="20" t="n">
        <x:f>IF(W34=1,P34-F34,"")</x:f>
        <x:v>1</x:v>
      </x:c>
      <x:c r="Y34" s="10" t="str">
        <x:f>IF(W34=0,"excluded",IF(X34&lt;0,"repaired",IF(X34&gt;0,"entropy","tie")))</x:f>
        <x:v>entropy</x:v>
      </x:c>
      <x:c r="Z34" s="10" t="n">
        <x:f>IF(VALUE(L34)&gt;0,1,0)</x:f>
        <x:v>0</x:v>
      </x:c>
      <x:c r="AA34" s="10" t="n">
        <x:f>IF(AND('Raw Results'!$V$10="True",'Raw Results'!$W$10="True"),1,0)</x:f>
        <x:v>1</x:v>
      </x:c>
      <x:c r="AB34" s="10" t="n">
        <x:f>IF(AND(J34=0,Q34=1),1,0)</x:f>
        <x:v>0</x:v>
      </x:c>
      <x:c r="AC34" s="20" t="n">
        <x:f>P34-I34</x:f>
        <x:v>0</x:v>
      </x:c>
      <x:c r="AD34" s="10" t="n">
        <x:f>IF(AND(G34=1,J34=0),1,0)</x:f>
        <x:v>0</x:v>
      </x:c>
      <x:c r="AE34" s="10" t="n">
        <x:f>IF(AND(G34=0,Q34=1),1,0)</x:f>
        <x:v>0</x:v>
      </x:c>
    </x:row>
    <x:row r="35">
      <x:c r="A35" s="10" t="str">
        <x:f>"Circle"</x:f>
        <x:v>Circle</x:v>
      </x:c>
      <x:c r="B35" s="12" t="n">
        <x:f>VALUE('Raw Results'!$A$10)</x:f>
        <x:v>50</x:v>
      </x:c>
      <x:c r="C35" s="14" t="n">
        <x:f>VALUE('Raw Results'!$B$10)</x:f>
        <x:v>0.5</x:v>
      </x:c>
      <x:c r="D35" s="12" t="n">
        <x:f>VALUE('Raw Results'!$C$10)</x:f>
        <x:v>3</x:v>
      </x:c>
      <x:c r="E35" s="12" t="n">
        <x:f>VALUE('Raw Results'!$D$10)</x:f>
        <x:v>2120122110</x:v>
      </x:c>
      <x:c r="F35" s="12" t="n">
        <x:f>VALUE('Raw Results'!$AI$10)</x:f>
        <x:v>17</x:v>
      </x:c>
      <x:c r="G35" s="12" t="n">
        <x:f>IF('Raw Results'!$AK$10="True",1,0)</x:f>
        <x:v>1</x:v>
      </x:c>
      <x:c r="H35" s="12" t="n">
        <x:f>VALUE('Raw Results'!$AN$10)</x:f>
        <x:v>37</x:v>
      </x:c>
      <x:c r="I35" s="12" t="n">
        <x:f>VALUE('Raw Results'!$AO$10)</x:f>
        <x:v>17</x:v>
      </x:c>
      <x:c r="J35" s="12" t="n">
        <x:f>IF('Raw Results'!$AQ$10="True",1,0)</x:f>
        <x:v>1</x:v>
      </x:c>
      <x:c r="K35" s="12" t="n">
        <x:f>VALUE('Raw Results'!$AT$10)</x:f>
        <x:v>0</x:v>
      </x:c>
      <x:c r="L35" s="12" t="n">
        <x:f>VALUE('Raw Results'!$AU$10)</x:f>
        <x:v>0</x:v>
      </x:c>
      <x:c r="M35" s="10" t="str">
        <x:f>'Raw Results'!$AV$10</x:f>
      </x:c>
      <x:c r="N35" s="16" t="n">
        <x:f>VALUE('Raw Results'!$AW$10)</x:f>
        <x:v>0.00043080002069473267</x:v>
      </x:c>
      <x:c r="O35" s="12" t="n">
        <x:f>VALUE('Raw Results'!$AX$10)</x:f>
        <x:v>17</x:v>
      </x:c>
      <x:c r="P35" s="12" t="n">
        <x:f>VALUE('Raw Results'!$AY$10)</x:f>
        <x:v>17</x:v>
      </x:c>
      <x:c r="Q35" s="12" t="n">
        <x:f>IF('Raw Results'!$BA$10="True",1,0)</x:f>
        <x:v>1</x:v>
      </x:c>
      <x:c r="R35" s="12" t="n">
        <x:f>VALUE('Raw Results'!$BC$10)</x:f>
        <x:v>0</x:v>
      </x:c>
      <x:c r="S35" s="12" t="n">
        <x:f>VALUE('Raw Results'!$BD$10)</x:f>
        <x:v>0</x:v>
      </x:c>
      <x:c r="T35" s="16" t="n">
        <x:f>VALUE('Raw Results'!$AP$10)</x:f>
        <x:v>0.005456899991258979</x:v>
      </x:c>
      <x:c r="U35" s="16" t="n">
        <x:f>VALUE('Raw Results'!$AZ$10)</x:f>
        <x:v>0.0058877000119537115</x:v>
      </x:c>
      <x:c r="V35" s="18" t="n">
        <x:f>IF(T35=0,0,N35/T35)</x:f>
        <x:v>0.07894592559599785</x:v>
      </x:c>
      <x:c r="W35" s="10" t="n">
        <x:f>IF(AND(G35=1,Q35=1),1,0)</x:f>
        <x:v>1</x:v>
      </x:c>
      <x:c r="X35" s="20" t="n">
        <x:f>IF(W35=1,P35-F35,"")</x:f>
        <x:v>0</x:v>
      </x:c>
      <x:c r="Y35" s="10" t="str">
        <x:f>IF(W35=0,"excluded",IF(X35&lt;0,"repaired",IF(X35&gt;0,"entropy","tie")))</x:f>
        <x:v>tie</x:v>
      </x:c>
      <x:c r="Z35" s="10" t="n">
        <x:f>IF(VALUE(L35)&gt;0,1,0)</x:f>
        <x:v>0</x:v>
      </x:c>
      <x:c r="AA35" s="10" t="n">
        <x:f>IF(AND('Raw Results'!$AR$10="True",'Raw Results'!$AS$10="True"),1,0)</x:f>
        <x:v>1</x:v>
      </x:c>
      <x:c r="AB35" s="10" t="n">
        <x:f>IF(AND(J35=0,Q35=1),1,0)</x:f>
        <x:v>0</x:v>
      </x:c>
      <x:c r="AC35" s="20" t="n">
        <x:f>P35-I35</x:f>
        <x:v>0</x:v>
      </x:c>
      <x:c r="AD35" s="10" t="n">
        <x:f>IF(AND(G35=1,J35=0),1,0)</x:f>
        <x:v>0</x:v>
      </x:c>
      <x:c r="AE35" s="10" t="n">
        <x:f>IF(AND(G35=0,Q35=1),1,0)</x:f>
        <x:v>0</x:v>
      </x:c>
    </x:row>
    <x:row r="36">
      <x:c r="A36" s="10" t="str">
        <x:f>"Zoomed Square"</x:f>
        <x:v>Zoomed Square</x:v>
      </x:c>
      <x:c r="B36" s="12" t="n">
        <x:f>VALUE('Raw Results'!$A$10)</x:f>
        <x:v>50</x:v>
      </x:c>
      <x:c r="C36" s="14" t="n">
        <x:f>VALUE('Raw Results'!$B$10)</x:f>
        <x:v>0.5</x:v>
      </x:c>
      <x:c r="D36" s="12" t="n">
        <x:f>VALUE('Raw Results'!$C$10)</x:f>
        <x:v>3</x:v>
      </x:c>
      <x:c r="E36" s="12" t="n">
        <x:f>VALUE('Raw Results'!$D$10)</x:f>
        <x:v>2120122110</x:v>
      </x:c>
      <x:c r="F36" s="12" t="n">
        <x:f>VALUE('Raw Results'!$BE$10)</x:f>
        <x:v>15</x:v>
      </x:c>
      <x:c r="G36" s="12" t="n">
        <x:f>IF('Raw Results'!$BG$10="True",1,0)</x:f>
        <x:v>1</x:v>
      </x:c>
      <x:c r="H36" s="12" t="n">
        <x:f>VALUE('Raw Results'!$BJ$10)</x:f>
        <x:v>38</x:v>
      </x:c>
      <x:c r="I36" s="12" t="n">
        <x:f>VALUE('Raw Results'!$BK$10)</x:f>
        <x:v>15</x:v>
      </x:c>
      <x:c r="J36" s="12" t="n">
        <x:f>IF('Raw Results'!$BM$10="True",1,0)</x:f>
        <x:v>1</x:v>
      </x:c>
      <x:c r="K36" s="12" t="n">
        <x:f>VALUE('Raw Results'!$BP$10)</x:f>
        <x:v>0</x:v>
      </x:c>
      <x:c r="L36" s="12" t="n">
        <x:f>VALUE('Raw Results'!$BQ$10)</x:f>
        <x:v>0</x:v>
      </x:c>
      <x:c r="M36" s="10" t="str">
        <x:f>'Raw Results'!$BR$10</x:f>
      </x:c>
      <x:c r="N36" s="16" t="n">
        <x:f>VALUE('Raw Results'!$BS$10)</x:f>
        <x:v>0.00036509998608380556</x:v>
      </x:c>
      <x:c r="O36" s="12" t="n">
        <x:f>VALUE('Raw Results'!$BT$10)</x:f>
        <x:v>15</x:v>
      </x:c>
      <x:c r="P36" s="12" t="n">
        <x:f>VALUE('Raw Results'!$BU$10)</x:f>
        <x:v>15</x:v>
      </x:c>
      <x:c r="Q36" s="12" t="n">
        <x:f>IF('Raw Results'!$BW$10="True",1,0)</x:f>
        <x:v>1</x:v>
      </x:c>
      <x:c r="R36" s="12" t="n">
        <x:f>VALUE('Raw Results'!$BY$10)</x:f>
        <x:v>0</x:v>
      </x:c>
      <x:c r="S36" s="12" t="n">
        <x:f>VALUE('Raw Results'!$BZ$10)</x:f>
        <x:v>0</x:v>
      </x:c>
      <x:c r="T36" s="16" t="n">
        <x:f>VALUE('Raw Results'!$BL$10)</x:f>
        <x:v>0.005990399979054928</x:v>
      </x:c>
      <x:c r="U36" s="16" t="n">
        <x:f>VALUE('Raw Results'!$BV$10)</x:f>
        <x:v>0.006355499965138733</x:v>
      </x:c>
      <x:c r="V36" s="18" t="n">
        <x:f>IF(T36=0,0,N36/T36)</x:f>
        <x:v>0.060947513915657656</x:v>
      </x:c>
      <x:c r="W36" s="10" t="n">
        <x:f>IF(AND(G36=1,Q36=1),1,0)</x:f>
        <x:v>1</x:v>
      </x:c>
      <x:c r="X36" s="20" t="n">
        <x:f>IF(W36=1,P36-F36,"")</x:f>
        <x:v>0</x:v>
      </x:c>
      <x:c r="Y36" s="10" t="str">
        <x:f>IF(W36=0,"excluded",IF(X36&lt;0,"repaired",IF(X36&gt;0,"entropy","tie")))</x:f>
        <x:v>tie</x:v>
      </x:c>
      <x:c r="Z36" s="10" t="n">
        <x:f>IF(VALUE(L36)&gt;0,1,0)</x:f>
        <x:v>0</x:v>
      </x:c>
      <x:c r="AA36" s="10" t="n">
        <x:f>IF(AND('Raw Results'!$BN$10="True",'Raw Results'!$BO$10="True"),1,0)</x:f>
        <x:v>1</x:v>
      </x:c>
      <x:c r="AB36" s="10" t="n">
        <x:f>IF(AND(J36=0,Q36=1),1,0)</x:f>
        <x:v>0</x:v>
      </x:c>
      <x:c r="AC36" s="20" t="n">
        <x:f>P36-I36</x:f>
        <x:v>0</x:v>
      </x:c>
      <x:c r="AD36" s="10" t="n">
        <x:f>IF(AND(G36=1,J36=0),1,0)</x:f>
        <x:v>0</x:v>
      </x:c>
      <x:c r="AE36" s="10" t="n">
        <x:f>IF(AND(G36=0,Q36=1),1,0)</x:f>
        <x:v>0</x:v>
      </x:c>
    </x:row>
    <x:row r="37">
      <x:c r="A37" s="10" t="str">
        <x:f>"ICH"</x:f>
        <x:v>ICH</x:v>
      </x:c>
      <x:c r="B37" s="12" t="n">
        <x:f>VALUE('Raw Results'!$A$10)</x:f>
        <x:v>50</x:v>
      </x:c>
      <x:c r="C37" s="14" t="n">
        <x:f>VALUE('Raw Results'!$B$10)</x:f>
        <x:v>0.5</x:v>
      </x:c>
      <x:c r="D37" s="12" t="n">
        <x:f>VALUE('Raw Results'!$C$10)</x:f>
        <x:v>3</x:v>
      </x:c>
      <x:c r="E37" s="12" t="n">
        <x:f>VALUE('Raw Results'!$D$10)</x:f>
        <x:v>2120122110</x:v>
      </x:c>
      <x:c r="F37" s="12" t="n">
        <x:f>VALUE('Raw Results'!$CA$10)</x:f>
        <x:v>16</x:v>
      </x:c>
      <x:c r="G37" s="12" t="n">
        <x:f>IF('Raw Results'!$CC$10="True",1,0)</x:f>
        <x:v>1</x:v>
      </x:c>
      <x:c r="H37" s="12" t="n">
        <x:f>VALUE('Raw Results'!$CF$10)</x:f>
        <x:v>16</x:v>
      </x:c>
      <x:c r="I37" s="12" t="n">
        <x:f>VALUE('Raw Results'!$CG$10)</x:f>
        <x:v>16</x:v>
      </x:c>
      <x:c r="J37" s="12" t="n">
        <x:f>IF('Raw Results'!$CI$10="True",1,0)</x:f>
        <x:v>1</x:v>
      </x:c>
      <x:c r="K37" s="12" t="n">
        <x:f>VALUE('Raw Results'!$CL$10)</x:f>
        <x:v>0</x:v>
      </x:c>
      <x:c r="L37" s="12" t="n">
        <x:f>VALUE('Raw Results'!$CM$10)</x:f>
        <x:v>0</x:v>
      </x:c>
      <x:c r="M37" s="10" t="str">
        <x:f>'Raw Results'!$CN$10</x:f>
      </x:c>
      <x:c r="N37" s="16" t="n">
        <x:f>VALUE('Raw Results'!$CO$10)</x:f>
        <x:v>0.00045599997974932194</x:v>
      </x:c>
      <x:c r="O37" s="12" t="n">
        <x:f>VALUE('Raw Results'!$CP$10)</x:f>
        <x:v>16</x:v>
      </x:c>
      <x:c r="P37" s="12" t="n">
        <x:f>VALUE('Raw Results'!$CQ$10)</x:f>
        <x:v>16</x:v>
      </x:c>
      <x:c r="Q37" s="12" t="n">
        <x:f>IF('Raw Results'!$CS$10="True",1,0)</x:f>
        <x:v>1</x:v>
      </x:c>
      <x:c r="R37" s="12" t="n">
        <x:f>VALUE('Raw Results'!$CU$10)</x:f>
        <x:v>0</x:v>
      </x:c>
      <x:c r="S37" s="12" t="n">
        <x:f>VALUE('Raw Results'!$CV$10)</x:f>
        <x:v>0</x:v>
      </x:c>
      <x:c r="T37" s="16" t="n">
        <x:f>VALUE('Raw Results'!$CH$10)</x:f>
        <x:v>0.025411700014956295</x:v>
      </x:c>
      <x:c r="U37" s="16" t="n">
        <x:f>VALUE('Raw Results'!$CR$10)</x:f>
        <x:v>0.025867699994705617</x:v>
      </x:c>
      <x:c r="V37" s="18" t="n">
        <x:f>IF(T37=0,0,N37/T37)</x:f>
        <x:v>0.017944489328968107</x:v>
      </x:c>
      <x:c r="W37" s="10" t="n">
        <x:f>IF(AND(G37=1,Q37=1),1,0)</x:f>
        <x:v>1</x:v>
      </x:c>
      <x:c r="X37" s="20" t="n">
        <x:f>IF(W37=1,P37-F37,"")</x:f>
        <x:v>0</x:v>
      </x:c>
      <x:c r="Y37" s="10" t="str">
        <x:f>IF(W37=0,"excluded",IF(X37&lt;0,"repaired",IF(X37&gt;0,"entropy","tie")))</x:f>
        <x:v>tie</x:v>
      </x:c>
      <x:c r="Z37" s="10" t="n">
        <x:f>IF(VALUE(L37)&gt;0,1,0)</x:f>
        <x:v>0</x:v>
      </x:c>
      <x:c r="AA37" s="10" t="n">
        <x:f>IF(AND('Raw Results'!$CJ$10="True",'Raw Results'!$CK$10="True"),1,0)</x:f>
        <x:v>1</x:v>
      </x:c>
      <x:c r="AB37" s="10" t="n">
        <x:f>IF(AND(J37=0,Q37=1),1,0)</x:f>
        <x:v>0</x:v>
      </x:c>
      <x:c r="AC37" s="20" t="n">
        <x:f>P37-I37</x:f>
        <x:v>0</x:v>
      </x:c>
      <x:c r="AD37" s="10" t="n">
        <x:f>IF(AND(G37=1,J37=0),1,0)</x:f>
        <x:v>0</x:v>
      </x:c>
      <x:c r="AE37" s="10" t="n">
        <x:f>IF(AND(G37=0,Q37=1),1,0)</x:f>
        <x:v>0</x:v>
      </x:c>
    </x:row>
    <x:row r="38">
      <x:c r="A38" s="10" t="str">
        <x:f>"Grid"</x:f>
        <x:v>Grid</x:v>
      </x:c>
      <x:c r="B38" s="12" t="n">
        <x:f>VALUE('Raw Results'!$A$11)</x:f>
        <x:v>50</x:v>
      </x:c>
      <x:c r="C38" s="14" t="n">
        <x:f>VALUE('Raw Results'!$B$11)</x:f>
        <x:v>0.7</x:v>
      </x:c>
      <x:c r="D38" s="12" t="n">
        <x:f>VALUE('Raw Results'!$C$11)</x:f>
        <x:v>1</x:v>
      </x:c>
      <x:c r="E38" s="12" t="n">
        <x:f>VALUE('Raw Results'!$D$11)</x:f>
        <x:v>1240493215</x:v>
      </x:c>
      <x:c r="F38" s="12" t="n">
        <x:f>VALUE('Raw Results'!$M$11)</x:f>
        <x:v>21</x:v>
      </x:c>
      <x:c r="G38" s="12" t="n">
        <x:f>IF('Raw Results'!$O$11="True",1,0)</x:f>
        <x:v>1</x:v>
      </x:c>
      <x:c r="H38" s="12" t="n">
        <x:f>VALUE('Raw Results'!$R$11)</x:f>
        <x:v>19</x:v>
      </x:c>
      <x:c r="I38" s="12" t="n">
        <x:f>VALUE('Raw Results'!$S$11)</x:f>
        <x:v>18</x:v>
      </x:c>
      <x:c r="J38" s="12" t="n">
        <x:f>IF('Raw Results'!$U$11="True",1,0)</x:f>
        <x:v>1</x:v>
      </x:c>
      <x:c r="K38" s="12" t="n">
        <x:f>VALUE('Raw Results'!$X$11)</x:f>
        <x:v>0</x:v>
      </x:c>
      <x:c r="L38" s="12" t="n">
        <x:f>VALUE('Raw Results'!$Y$11)</x:f>
        <x:v>0</x:v>
      </x:c>
      <x:c r="M38" s="10" t="str">
        <x:f>'Raw Results'!$Z$11</x:f>
      </x:c>
      <x:c r="N38" s="16" t="n">
        <x:f>VALUE('Raw Results'!$AA$11)</x:f>
        <x:v>0.0004827000666409731</x:v>
      </x:c>
      <x:c r="O38" s="12" t="n">
        <x:f>VALUE('Raw Results'!$AB$11)</x:f>
        <x:v>18</x:v>
      </x:c>
      <x:c r="P38" s="12" t="n">
        <x:f>VALUE('Raw Results'!$AC$11)</x:f>
        <x:v>18</x:v>
      </x:c>
      <x:c r="Q38" s="12" t="n">
        <x:f>IF('Raw Results'!$AE$11="True",1,0)</x:f>
        <x:v>1</x:v>
      </x:c>
      <x:c r="R38" s="12" t="n">
        <x:f>VALUE('Raw Results'!$AG$11)</x:f>
        <x:v>0</x:v>
      </x:c>
      <x:c r="S38" s="12" t="n">
        <x:f>VALUE('Raw Results'!$AH$11)</x:f>
        <x:v>0</x:v>
      </x:c>
      <x:c r="T38" s="16" t="n">
        <x:f>VALUE('Raw Results'!$T$11)</x:f>
        <x:v>0.015772399958223104</x:v>
      </x:c>
      <x:c r="U38" s="16" t="n">
        <x:f>VALUE('Raw Results'!$AD$11)</x:f>
        <x:v>0.016255100024864078</x:v>
      </x:c>
      <x:c r="V38" s="18" t="n">
        <x:f>IF(T38=0,0,N38/T38)</x:f>
        <x:v>0.03060409753236776</x:v>
      </x:c>
      <x:c r="W38" s="10" t="n">
        <x:f>IF(AND(G38=1,Q38=1),1,0)</x:f>
        <x:v>1</x:v>
      </x:c>
      <x:c r="X38" s="20" t="n">
        <x:f>IF(W38=1,P38-F38,"")</x:f>
        <x:v>-3</x:v>
      </x:c>
      <x:c r="Y38" s="10" t="str">
        <x:f>IF(W38=0,"excluded",IF(X38&lt;0,"repaired",IF(X38&gt;0,"entropy","tie")))</x:f>
        <x:v>repaired</x:v>
      </x:c>
      <x:c r="Z38" s="10" t="n">
        <x:f>IF(VALUE(L38)&gt;0,1,0)</x:f>
        <x:v>0</x:v>
      </x:c>
      <x:c r="AA38" s="10" t="n">
        <x:f>IF(AND('Raw Results'!$V$11="True",'Raw Results'!$W$11="True"),1,0)</x:f>
        <x:v>1</x:v>
      </x:c>
      <x:c r="AB38" s="10" t="n">
        <x:f>IF(AND(J38=0,Q38=1),1,0)</x:f>
        <x:v>0</x:v>
      </x:c>
      <x:c r="AC38" s="20" t="n">
        <x:f>P38-I38</x:f>
        <x:v>0</x:v>
      </x:c>
      <x:c r="AD38" s="10" t="n">
        <x:f>IF(AND(G38=1,J38=0),1,0)</x:f>
        <x:v>0</x:v>
      </x:c>
      <x:c r="AE38" s="10" t="n">
        <x:f>IF(AND(G38=0,Q38=1),1,0)</x:f>
        <x:v>0</x:v>
      </x:c>
    </x:row>
    <x:row r="39">
      <x:c r="A39" s="10" t="str">
        <x:f>"Circle"</x:f>
        <x:v>Circle</x:v>
      </x:c>
      <x:c r="B39" s="12" t="n">
        <x:f>VALUE('Raw Results'!$A$11)</x:f>
        <x:v>50</x:v>
      </x:c>
      <x:c r="C39" s="14" t="n">
        <x:f>VALUE('Raw Results'!$B$11)</x:f>
        <x:v>0.7</x:v>
      </x:c>
      <x:c r="D39" s="12" t="n">
        <x:f>VALUE('Raw Results'!$C$11)</x:f>
        <x:v>1</x:v>
      </x:c>
      <x:c r="E39" s="12" t="n">
        <x:f>VALUE('Raw Results'!$D$11)</x:f>
        <x:v>1240493215</x:v>
      </x:c>
      <x:c r="F39" s="12" t="n">
        <x:f>VALUE('Raw Results'!$AI$11)</x:f>
        <x:v>22</x:v>
      </x:c>
      <x:c r="G39" s="12" t="n">
        <x:f>IF('Raw Results'!$AK$11="True",1,0)</x:f>
        <x:v>1</x:v>
      </x:c>
      <x:c r="H39" s="12" t="n">
        <x:f>VALUE('Raw Results'!$AN$11)</x:f>
        <x:v>38</x:v>
      </x:c>
      <x:c r="I39" s="12" t="n">
        <x:f>VALUE('Raw Results'!$AO$11)</x:f>
        <x:v>21</x:v>
      </x:c>
      <x:c r="J39" s="12" t="n">
        <x:f>IF('Raw Results'!$AQ$11="True",1,0)</x:f>
        <x:v>1</x:v>
      </x:c>
      <x:c r="K39" s="12" t="n">
        <x:f>VALUE('Raw Results'!$AT$11)</x:f>
        <x:v>0</x:v>
      </x:c>
      <x:c r="L39" s="12" t="n">
        <x:f>VALUE('Raw Results'!$AU$11)</x:f>
        <x:v>0</x:v>
      </x:c>
      <x:c r="M39" s="10" t="str">
        <x:f>'Raw Results'!$AV$11</x:f>
      </x:c>
      <x:c r="N39" s="16" t="n">
        <x:f>VALUE('Raw Results'!$AW$11)</x:f>
        <x:v>0.0004564999835565686</x:v>
      </x:c>
      <x:c r="O39" s="12" t="n">
        <x:f>VALUE('Raw Results'!$AX$11)</x:f>
        <x:v>21</x:v>
      </x:c>
      <x:c r="P39" s="12" t="n">
        <x:f>VALUE('Raw Results'!$AY$11)</x:f>
        <x:v>21</x:v>
      </x:c>
      <x:c r="Q39" s="12" t="n">
        <x:f>IF('Raw Results'!$BA$11="True",1,0)</x:f>
        <x:v>1</x:v>
      </x:c>
      <x:c r="R39" s="12" t="n">
        <x:f>VALUE('Raw Results'!$BC$11)</x:f>
        <x:v>0</x:v>
      </x:c>
      <x:c r="S39" s="12" t="n">
        <x:f>VALUE('Raw Results'!$BD$11)</x:f>
        <x:v>0</x:v>
      </x:c>
      <x:c r="T39" s="16" t="n">
        <x:f>VALUE('Raw Results'!$AP$11)</x:f>
        <x:v>0.012812800006940961</x:v>
      </x:c>
      <x:c r="U39" s="16" t="n">
        <x:f>VALUE('Raw Results'!$AZ$11)</x:f>
        <x:v>0.01326929999049753</x:v>
      </x:c>
      <x:c r="V39" s="18" t="n">
        <x:f>IF(T39=0,0,N39/T39)</x:f>
        <x:v>0.03562843276327368</x:v>
      </x:c>
      <x:c r="W39" s="10" t="n">
        <x:f>IF(AND(G39=1,Q39=1),1,0)</x:f>
        <x:v>1</x:v>
      </x:c>
      <x:c r="X39" s="20" t="n">
        <x:f>IF(W39=1,P39-F39,"")</x:f>
        <x:v>-1</x:v>
      </x:c>
      <x:c r="Y39" s="10" t="str">
        <x:f>IF(W39=0,"excluded",IF(X39&lt;0,"repaired",IF(X39&gt;0,"entropy","tie")))</x:f>
        <x:v>repaired</x:v>
      </x:c>
      <x:c r="Z39" s="10" t="n">
        <x:f>IF(VALUE(L39)&gt;0,1,0)</x:f>
        <x:v>0</x:v>
      </x:c>
      <x:c r="AA39" s="10" t="n">
        <x:f>IF(AND('Raw Results'!$AR$11="True",'Raw Results'!$AS$11="True"),1,0)</x:f>
        <x:v>1</x:v>
      </x:c>
      <x:c r="AB39" s="10" t="n">
        <x:f>IF(AND(J39=0,Q39=1),1,0)</x:f>
        <x:v>0</x:v>
      </x:c>
      <x:c r="AC39" s="20" t="n">
        <x:f>P39-I39</x:f>
        <x:v>0</x:v>
      </x:c>
      <x:c r="AD39" s="10" t="n">
        <x:f>IF(AND(G39=1,J39=0),1,0)</x:f>
        <x:v>0</x:v>
      </x:c>
      <x:c r="AE39" s="10" t="n">
        <x:f>IF(AND(G39=0,Q39=1),1,0)</x:f>
        <x:v>0</x:v>
      </x:c>
    </x:row>
    <x:row r="40">
      <x:c r="A40" s="10" t="str">
        <x:f>"Zoomed Square"</x:f>
        <x:v>Zoomed Square</x:v>
      </x:c>
      <x:c r="B40" s="12" t="n">
        <x:f>VALUE('Raw Results'!$A$11)</x:f>
        <x:v>50</x:v>
      </x:c>
      <x:c r="C40" s="14" t="n">
        <x:f>VALUE('Raw Results'!$B$11)</x:f>
        <x:v>0.7</x:v>
      </x:c>
      <x:c r="D40" s="12" t="n">
        <x:f>VALUE('Raw Results'!$C$11)</x:f>
        <x:v>1</x:v>
      </x:c>
      <x:c r="E40" s="12" t="n">
        <x:f>VALUE('Raw Results'!$D$11)</x:f>
        <x:v>1240493215</x:v>
      </x:c>
      <x:c r="F40" s="12" t="n">
        <x:f>VALUE('Raw Results'!$BE$11)</x:f>
        <x:v>22</x:v>
      </x:c>
      <x:c r="G40" s="12" t="n">
        <x:f>IF('Raw Results'!$BG$11="True",1,0)</x:f>
        <x:v>1</x:v>
      </x:c>
      <x:c r="H40" s="12" t="n">
        <x:f>VALUE('Raw Results'!$BJ$11)</x:f>
        <x:v>32</x:v>
      </x:c>
      <x:c r="I40" s="12" t="n">
        <x:f>VALUE('Raw Results'!$BK$11)</x:f>
        <x:v>19</x:v>
      </x:c>
      <x:c r="J40" s="12" t="n">
        <x:f>IF('Raw Results'!$BM$11="True",1,0)</x:f>
        <x:v>1</x:v>
      </x:c>
      <x:c r="K40" s="12" t="n">
        <x:f>VALUE('Raw Results'!$BP$11)</x:f>
        <x:v>0</x:v>
      </x:c>
      <x:c r="L40" s="12" t="n">
        <x:f>VALUE('Raw Results'!$BQ$11)</x:f>
        <x:v>0</x:v>
      </x:c>
      <x:c r="M40" s="10" t="str">
        <x:f>'Raw Results'!$BR$11</x:f>
      </x:c>
      <x:c r="N40" s="16" t="n">
        <x:f>VALUE('Raw Results'!$BS$11)</x:f>
        <x:v>0.00042940001003444195</x:v>
      </x:c>
      <x:c r="O40" s="12" t="n">
        <x:f>VALUE('Raw Results'!$BT$11)</x:f>
        <x:v>19</x:v>
      </x:c>
      <x:c r="P40" s="12" t="n">
        <x:f>VALUE('Raw Results'!$BU$11)</x:f>
        <x:v>19</x:v>
      </x:c>
      <x:c r="Q40" s="12" t="n">
        <x:f>IF('Raw Results'!$BW$11="True",1,0)</x:f>
        <x:v>1</x:v>
      </x:c>
      <x:c r="R40" s="12" t="n">
        <x:f>VALUE('Raw Results'!$BY$11)</x:f>
        <x:v>0</x:v>
      </x:c>
      <x:c r="S40" s="12" t="n">
        <x:f>VALUE('Raw Results'!$BZ$11)</x:f>
        <x:v>0</x:v>
      </x:c>
      <x:c r="T40" s="16" t="n">
        <x:f>VALUE('Raw Results'!$BL$11)</x:f>
        <x:v>0.009413400082848966</x:v>
      </x:c>
      <x:c r="U40" s="16" t="n">
        <x:f>VALUE('Raw Results'!$BV$11)</x:f>
        <x:v>0.009842800092883408</x:v>
      </x:c>
      <x:c r="V40" s="18" t="n">
        <x:f>IF(T40=0,0,N40/T40)</x:f>
        <x:v>0.04561582491503793</x:v>
      </x:c>
      <x:c r="W40" s="10" t="n">
        <x:f>IF(AND(G40=1,Q40=1),1,0)</x:f>
        <x:v>1</x:v>
      </x:c>
      <x:c r="X40" s="20" t="n">
        <x:f>IF(W40=1,P40-F40,"")</x:f>
        <x:v>-3</x:v>
      </x:c>
      <x:c r="Y40" s="10" t="str">
        <x:f>IF(W40=0,"excluded",IF(X40&lt;0,"repaired",IF(X40&gt;0,"entropy","tie")))</x:f>
        <x:v>repaired</x:v>
      </x:c>
      <x:c r="Z40" s="10" t="n">
        <x:f>IF(VALUE(L40)&gt;0,1,0)</x:f>
        <x:v>0</x:v>
      </x:c>
      <x:c r="AA40" s="10" t="n">
        <x:f>IF(AND('Raw Results'!$BN$11="True",'Raw Results'!$BO$11="True"),1,0)</x:f>
        <x:v>1</x:v>
      </x:c>
      <x:c r="AB40" s="10" t="n">
        <x:f>IF(AND(J40=0,Q40=1),1,0)</x:f>
        <x:v>0</x:v>
      </x:c>
      <x:c r="AC40" s="20" t="n">
        <x:f>P40-I40</x:f>
        <x:v>0</x:v>
      </x:c>
      <x:c r="AD40" s="10" t="n">
        <x:f>IF(AND(G40=1,J40=0),1,0)</x:f>
        <x:v>0</x:v>
      </x:c>
      <x:c r="AE40" s="10" t="n">
        <x:f>IF(AND(G40=0,Q40=1),1,0)</x:f>
        <x:v>0</x:v>
      </x:c>
    </x:row>
    <x:row r="41">
      <x:c r="A41" s="10" t="str">
        <x:f>"ICH"</x:f>
        <x:v>ICH</x:v>
      </x:c>
      <x:c r="B41" s="12" t="n">
        <x:f>VALUE('Raw Results'!$A$11)</x:f>
        <x:v>50</x:v>
      </x:c>
      <x:c r="C41" s="14" t="n">
        <x:f>VALUE('Raw Results'!$B$11)</x:f>
        <x:v>0.7</x:v>
      </x:c>
      <x:c r="D41" s="12" t="n">
        <x:f>VALUE('Raw Results'!$C$11)</x:f>
        <x:v>1</x:v>
      </x:c>
      <x:c r="E41" s="12" t="n">
        <x:f>VALUE('Raw Results'!$D$11)</x:f>
        <x:v>1240493215</x:v>
      </x:c>
      <x:c r="F41" s="12" t="n">
        <x:f>VALUE('Raw Results'!$CA$11)</x:f>
        <x:v>19</x:v>
      </x:c>
      <x:c r="G41" s="12" t="n">
        <x:f>IF('Raw Results'!$CC$11="True",1,0)</x:f>
        <x:v>1</x:v>
      </x:c>
      <x:c r="H41" s="12" t="n">
        <x:f>VALUE('Raw Results'!$CF$11)</x:f>
        <x:v>18</x:v>
      </x:c>
      <x:c r="I41" s="12" t="n">
        <x:f>VALUE('Raw Results'!$CG$11)</x:f>
        <x:v>18</x:v>
      </x:c>
      <x:c r="J41" s="12" t="n">
        <x:f>IF('Raw Results'!$CI$11="True",1,0)</x:f>
        <x:v>1</x:v>
      </x:c>
      <x:c r="K41" s="12" t="n">
        <x:f>VALUE('Raw Results'!$CL$11)</x:f>
        <x:v>0</x:v>
      </x:c>
      <x:c r="L41" s="12" t="n">
        <x:f>VALUE('Raw Results'!$CM$11)</x:f>
        <x:v>0</x:v>
      </x:c>
      <x:c r="M41" s="10" t="str">
        <x:f>'Raw Results'!$CN$11</x:f>
      </x:c>
      <x:c r="N41" s="16" t="n">
        <x:f>VALUE('Raw Results'!$CO$11)</x:f>
        <x:v>0.000507200020365417</x:v>
      </x:c>
      <x:c r="O41" s="12" t="n">
        <x:f>VALUE('Raw Results'!$CP$11)</x:f>
        <x:v>18</x:v>
      </x:c>
      <x:c r="P41" s="12" t="n">
        <x:f>VALUE('Raw Results'!$CQ$11)</x:f>
        <x:v>18</x:v>
      </x:c>
      <x:c r="Q41" s="12" t="n">
        <x:f>IF('Raw Results'!$CS$11="True",1,0)</x:f>
        <x:v>1</x:v>
      </x:c>
      <x:c r="R41" s="12" t="n">
        <x:f>VALUE('Raw Results'!$CU$11)</x:f>
        <x:v>0</x:v>
      </x:c>
      <x:c r="S41" s="12" t="n">
        <x:f>VALUE('Raw Results'!$CV$11)</x:f>
        <x:v>0</x:v>
      </x:c>
      <x:c r="T41" s="16" t="n">
        <x:f>VALUE('Raw Results'!$CH$11)</x:f>
        <x:v>0.027106199995614588</x:v>
      </x:c>
      <x:c r="U41" s="16" t="n">
        <x:f>VALUE('Raw Results'!$CR$11)</x:f>
        <x:v>0.027613400015980005</x:v>
      </x:c>
      <x:c r="V41" s="18" t="n">
        <x:f>IF(T41=0,0,N41/T41)</x:f>
        <x:v>0.018711587033500638</x:v>
      </x:c>
      <x:c r="W41" s="10" t="n">
        <x:f>IF(AND(G41=1,Q41=1),1,0)</x:f>
        <x:v>1</x:v>
      </x:c>
      <x:c r="X41" s="20" t="n">
        <x:f>IF(W41=1,P41-F41,"")</x:f>
        <x:v>-1</x:v>
      </x:c>
      <x:c r="Y41" s="10" t="str">
        <x:f>IF(W41=0,"excluded",IF(X41&lt;0,"repaired",IF(X41&gt;0,"entropy","tie")))</x:f>
        <x:v>repaired</x:v>
      </x:c>
      <x:c r="Z41" s="10" t="n">
        <x:f>IF(VALUE(L41)&gt;0,1,0)</x:f>
        <x:v>0</x:v>
      </x:c>
      <x:c r="AA41" s="10" t="n">
        <x:f>IF(AND('Raw Results'!$CJ$11="True",'Raw Results'!$CK$11="True"),1,0)</x:f>
        <x:v>1</x:v>
      </x:c>
      <x:c r="AB41" s="10" t="n">
        <x:f>IF(AND(J41=0,Q41=1),1,0)</x:f>
        <x:v>0</x:v>
      </x:c>
      <x:c r="AC41" s="20" t="n">
        <x:f>P41-I41</x:f>
        <x:v>0</x:v>
      </x:c>
      <x:c r="AD41" s="10" t="n">
        <x:f>IF(AND(G41=1,J41=0),1,0)</x:f>
        <x:v>0</x:v>
      </x:c>
      <x:c r="AE41" s="10" t="n">
        <x:f>IF(AND(G41=0,Q41=1),1,0)</x:f>
        <x:v>0</x:v>
      </x:c>
    </x:row>
    <x:row r="42">
      <x:c r="A42" s="10" t="str">
        <x:f>"Grid"</x:f>
        <x:v>Grid</x:v>
      </x:c>
      <x:c r="B42" s="12" t="n">
        <x:f>VALUE('Raw Results'!$A$12)</x:f>
        <x:v>50</x:v>
      </x:c>
      <x:c r="C42" s="14" t="n">
        <x:f>VALUE('Raw Results'!$B$12)</x:f>
        <x:v>0.7</x:v>
      </x:c>
      <x:c r="D42" s="12" t="n">
        <x:f>VALUE('Raw Results'!$C$12)</x:f>
        <x:v>2</x:v>
      </x:c>
      <x:c r="E42" s="12" t="n">
        <x:f>VALUE('Raw Results'!$D$12)</x:f>
        <x:v>3987472412</x:v>
      </x:c>
      <x:c r="F42" s="12" t="n">
        <x:f>VALUE('Raw Results'!$M$12)</x:f>
        <x:v>24</x:v>
      </x:c>
      <x:c r="G42" s="12" t="n">
        <x:f>IF('Raw Results'!$O$12="True",1,0)</x:f>
        <x:v>1</x:v>
      </x:c>
      <x:c r="H42" s="12" t="n">
        <x:f>VALUE('Raw Results'!$R$12)</x:f>
        <x:v>22</x:v>
      </x:c>
      <x:c r="I42" s="12" t="n">
        <x:f>VALUE('Raw Results'!$S$12)</x:f>
        <x:v>22</x:v>
      </x:c>
      <x:c r="J42" s="12" t="n">
        <x:f>IF('Raw Results'!$U$12="True",1,0)</x:f>
        <x:v>1</x:v>
      </x:c>
      <x:c r="K42" s="12" t="n">
        <x:f>VALUE('Raw Results'!$X$12)</x:f>
        <x:v>0</x:v>
      </x:c>
      <x:c r="L42" s="12" t="n">
        <x:f>VALUE('Raw Results'!$Y$12)</x:f>
        <x:v>0</x:v>
      </x:c>
      <x:c r="M42" s="10" t="str">
        <x:f>'Raw Results'!$Z$12</x:f>
      </x:c>
      <x:c r="N42" s="16" t="n">
        <x:f>VALUE('Raw Results'!$AA$12)</x:f>
        <x:v>0.000534099992364645</x:v>
      </x:c>
      <x:c r="O42" s="12" t="n">
        <x:f>VALUE('Raw Results'!$AB$12)</x:f>
        <x:v>22</x:v>
      </x:c>
      <x:c r="P42" s="12" t="n">
        <x:f>VALUE('Raw Results'!$AC$12)</x:f>
        <x:v>22</x:v>
      </x:c>
      <x:c r="Q42" s="12" t="n">
        <x:f>IF('Raw Results'!$AE$12="True",1,0)</x:f>
        <x:v>1</x:v>
      </x:c>
      <x:c r="R42" s="12" t="n">
        <x:f>VALUE('Raw Results'!$AG$12)</x:f>
        <x:v>0</x:v>
      </x:c>
      <x:c r="S42" s="12" t="n">
        <x:f>VALUE('Raw Results'!$AH$12)</x:f>
        <x:v>0</x:v>
      </x:c>
      <x:c r="T42" s="16" t="n">
        <x:f>VALUE('Raw Results'!$T$12)</x:f>
        <x:v>0.01712129998486489</x:v>
      </x:c>
      <x:c r="U42" s="16" t="n">
        <x:f>VALUE('Raw Results'!$AD$12)</x:f>
        <x:v>0.017655399977229536</x:v>
      </x:c>
      <x:c r="V42" s="18" t="n">
        <x:f>IF(T42=0,0,N42/T42)</x:f>
        <x:v>0.03119506070431484</x:v>
      </x:c>
      <x:c r="W42" s="10" t="n">
        <x:f>IF(AND(G42=1,Q42=1),1,0)</x:f>
        <x:v>1</x:v>
      </x:c>
      <x:c r="X42" s="20" t="n">
        <x:f>IF(W42=1,P42-F42,"")</x:f>
        <x:v>-2</x:v>
      </x:c>
      <x:c r="Y42" s="10" t="str">
        <x:f>IF(W42=0,"excluded",IF(X42&lt;0,"repaired",IF(X42&gt;0,"entropy","tie")))</x:f>
        <x:v>repaired</x:v>
      </x:c>
      <x:c r="Z42" s="10" t="n">
        <x:f>IF(VALUE(L42)&gt;0,1,0)</x:f>
        <x:v>0</x:v>
      </x:c>
      <x:c r="AA42" s="10" t="n">
        <x:f>IF(AND('Raw Results'!$V$12="True",'Raw Results'!$W$12="True"),1,0)</x:f>
        <x:v>1</x:v>
      </x:c>
      <x:c r="AB42" s="10" t="n">
        <x:f>IF(AND(J42=0,Q42=1),1,0)</x:f>
        <x:v>0</x:v>
      </x:c>
      <x:c r="AC42" s="20" t="n">
        <x:f>P42-I42</x:f>
        <x:v>0</x:v>
      </x:c>
      <x:c r="AD42" s="10" t="n">
        <x:f>IF(AND(G42=1,J42=0),1,0)</x:f>
        <x:v>0</x:v>
      </x:c>
      <x:c r="AE42" s="10" t="n">
        <x:f>IF(AND(G42=0,Q42=1),1,0)</x:f>
        <x:v>0</x:v>
      </x:c>
    </x:row>
    <x:row r="43">
      <x:c r="A43" s="10" t="str">
        <x:f>"Circle"</x:f>
        <x:v>Circle</x:v>
      </x:c>
      <x:c r="B43" s="12" t="n">
        <x:f>VALUE('Raw Results'!$A$12)</x:f>
        <x:v>50</x:v>
      </x:c>
      <x:c r="C43" s="14" t="n">
        <x:f>VALUE('Raw Results'!$B$12)</x:f>
        <x:v>0.7</x:v>
      </x:c>
      <x:c r="D43" s="12" t="n">
        <x:f>VALUE('Raw Results'!$C$12)</x:f>
        <x:v>2</x:v>
      </x:c>
      <x:c r="E43" s="12" t="n">
        <x:f>VALUE('Raw Results'!$D$12)</x:f>
        <x:v>3987472412</x:v>
      </x:c>
      <x:c r="F43" s="12" t="n">
        <x:f>VALUE('Raw Results'!$AI$12)</x:f>
        <x:v>25</x:v>
      </x:c>
      <x:c r="G43" s="12" t="n">
        <x:f>IF('Raw Results'!$AK$12="True",1,0)</x:f>
        <x:v>1</x:v>
      </x:c>
      <x:c r="H43" s="12" t="n">
        <x:f>VALUE('Raw Results'!$AN$12)</x:f>
        <x:v>39</x:v>
      </x:c>
      <x:c r="I43" s="12" t="n">
        <x:f>VALUE('Raw Results'!$AO$12)</x:f>
        <x:v>23</x:v>
      </x:c>
      <x:c r="J43" s="12" t="n">
        <x:f>IF('Raw Results'!$AQ$12="True",1,0)</x:f>
        <x:v>1</x:v>
      </x:c>
      <x:c r="K43" s="12" t="n">
        <x:f>VALUE('Raw Results'!$AT$12)</x:f>
        <x:v>0</x:v>
      </x:c>
      <x:c r="L43" s="12" t="n">
        <x:f>VALUE('Raw Results'!$AU$12)</x:f>
        <x:v>0</x:v>
      </x:c>
      <x:c r="M43" s="10" t="str">
        <x:f>'Raw Results'!$AV$12</x:f>
      </x:c>
      <x:c r="N43" s="16" t="n">
        <x:f>VALUE('Raw Results'!$AW$12)</x:f>
        <x:v>0.0005586999468505383</x:v>
      </x:c>
      <x:c r="O43" s="12" t="n">
        <x:f>VALUE('Raw Results'!$AX$12)</x:f>
        <x:v>23</x:v>
      </x:c>
      <x:c r="P43" s="12" t="n">
        <x:f>VALUE('Raw Results'!$AY$12)</x:f>
        <x:v>23</x:v>
      </x:c>
      <x:c r="Q43" s="12" t="n">
        <x:f>IF('Raw Results'!$BA$12="True",1,0)</x:f>
        <x:v>1</x:v>
      </x:c>
      <x:c r="R43" s="12" t="n">
        <x:f>VALUE('Raw Results'!$BC$12)</x:f>
        <x:v>0</x:v>
      </x:c>
      <x:c r="S43" s="12" t="n">
        <x:f>VALUE('Raw Results'!$BD$12)</x:f>
        <x:v>0</x:v>
      </x:c>
      <x:c r="T43" s="16" t="n">
        <x:f>VALUE('Raw Results'!$AP$12)</x:f>
        <x:v>0.007649500039406121</x:v>
      </x:c>
      <x:c r="U43" s="16" t="n">
        <x:f>VALUE('Raw Results'!$AZ$12)</x:f>
        <x:v>0.008208199986256659</x:v>
      </x:c>
      <x:c r="V43" s="18" t="n">
        <x:f>IF(T43=0,0,N43/T43)</x:f>
        <x:v>0.07303744610398272</x:v>
      </x:c>
      <x:c r="W43" s="10" t="n">
        <x:f>IF(AND(G43=1,Q43=1),1,0)</x:f>
        <x:v>1</x:v>
      </x:c>
      <x:c r="X43" s="20" t="n">
        <x:f>IF(W43=1,P43-F43,"")</x:f>
        <x:v>-2</x:v>
      </x:c>
      <x:c r="Y43" s="10" t="str">
        <x:f>IF(W43=0,"excluded",IF(X43&lt;0,"repaired",IF(X43&gt;0,"entropy","tie")))</x:f>
        <x:v>repaired</x:v>
      </x:c>
      <x:c r="Z43" s="10" t="n">
        <x:f>IF(VALUE(L43)&gt;0,1,0)</x:f>
        <x:v>0</x:v>
      </x:c>
      <x:c r="AA43" s="10" t="n">
        <x:f>IF(AND('Raw Results'!$AR$12="True",'Raw Results'!$AS$12="True"),1,0)</x:f>
        <x:v>1</x:v>
      </x:c>
      <x:c r="AB43" s="10" t="n">
        <x:f>IF(AND(J43=0,Q43=1),1,0)</x:f>
        <x:v>0</x:v>
      </x:c>
      <x:c r="AC43" s="20" t="n">
        <x:f>P43-I43</x:f>
        <x:v>0</x:v>
      </x:c>
      <x:c r="AD43" s="10" t="n">
        <x:f>IF(AND(G43=1,J43=0),1,0)</x:f>
        <x:v>0</x:v>
      </x:c>
      <x:c r="AE43" s="10" t="n">
        <x:f>IF(AND(G43=0,Q43=1),1,0)</x:f>
        <x:v>0</x:v>
      </x:c>
    </x:row>
    <x:row r="44">
      <x:c r="A44" s="10" t="str">
        <x:f>"Zoomed Square"</x:f>
        <x:v>Zoomed Square</x:v>
      </x:c>
      <x:c r="B44" s="12" t="n">
        <x:f>VALUE('Raw Results'!$A$12)</x:f>
        <x:v>50</x:v>
      </x:c>
      <x:c r="C44" s="14" t="n">
        <x:f>VALUE('Raw Results'!$B$12)</x:f>
        <x:v>0.7</x:v>
      </x:c>
      <x:c r="D44" s="12" t="n">
        <x:f>VALUE('Raw Results'!$C$12)</x:f>
        <x:v>2</x:v>
      </x:c>
      <x:c r="E44" s="12" t="n">
        <x:f>VALUE('Raw Results'!$D$12)</x:f>
        <x:v>3987472412</x:v>
      </x:c>
      <x:c r="F44" s="12" t="n">
        <x:f>VALUE('Raw Results'!$BE$12)</x:f>
        <x:v>25</x:v>
      </x:c>
      <x:c r="G44" s="12" t="n">
        <x:f>IF('Raw Results'!$BG$12="True",1,0)</x:f>
        <x:v>1</x:v>
      </x:c>
      <x:c r="H44" s="12" t="n">
        <x:f>VALUE('Raw Results'!$BJ$12)</x:f>
        <x:v>41</x:v>
      </x:c>
      <x:c r="I44" s="12" t="n">
        <x:f>VALUE('Raw Results'!$BK$12)</x:f>
        <x:v>23</x:v>
      </x:c>
      <x:c r="J44" s="12" t="n">
        <x:f>IF('Raw Results'!$BM$12="True",1,0)</x:f>
        <x:v>1</x:v>
      </x:c>
      <x:c r="K44" s="12" t="n">
        <x:f>VALUE('Raw Results'!$BP$12)</x:f>
        <x:v>0</x:v>
      </x:c>
      <x:c r="L44" s="12" t="n">
        <x:f>VALUE('Raw Results'!$BQ$12)</x:f>
        <x:v>0</x:v>
      </x:c>
      <x:c r="M44" s="10" t="str">
        <x:f>'Raw Results'!$BR$12</x:f>
      </x:c>
      <x:c r="N44" s="16" t="n">
        <x:f>VALUE('Raw Results'!$BS$12)</x:f>
        <x:v>0.0004981000674888492</x:v>
      </x:c>
      <x:c r="O44" s="12" t="n">
        <x:f>VALUE('Raw Results'!$BT$12)</x:f>
        <x:v>23</x:v>
      </x:c>
      <x:c r="P44" s="12" t="n">
        <x:f>VALUE('Raw Results'!$BU$12)</x:f>
        <x:v>23</x:v>
      </x:c>
      <x:c r="Q44" s="12" t="n">
        <x:f>IF('Raw Results'!$BW$12="True",1,0)</x:f>
        <x:v>1</x:v>
      </x:c>
      <x:c r="R44" s="12" t="n">
        <x:f>VALUE('Raw Results'!$BY$12)</x:f>
        <x:v>0</x:v>
      </x:c>
      <x:c r="S44" s="12" t="n">
        <x:f>VALUE('Raw Results'!$BZ$12)</x:f>
        <x:v>0</x:v>
      </x:c>
      <x:c r="T44" s="16" t="n">
        <x:f>VALUE('Raw Results'!$BL$12)</x:f>
        <x:v>0.010887799900956452</x:v>
      </x:c>
      <x:c r="U44" s="16" t="n">
        <x:f>VALUE('Raw Results'!$BV$12)</x:f>
        <x:v>0.011385899968445301</x:v>
      </x:c>
      <x:c r="V44" s="18" t="n">
        <x:f>IF(T44=0,0,N44/T44)</x:f>
        <x:v>0.04574845901099753</x:v>
      </x:c>
      <x:c r="W44" s="10" t="n">
        <x:f>IF(AND(G44=1,Q44=1),1,0)</x:f>
        <x:v>1</x:v>
      </x:c>
      <x:c r="X44" s="20" t="n">
        <x:f>IF(W44=1,P44-F44,"")</x:f>
        <x:v>-2</x:v>
      </x:c>
      <x:c r="Y44" s="10" t="str">
        <x:f>IF(W44=0,"excluded",IF(X44&lt;0,"repaired",IF(X44&gt;0,"entropy","tie")))</x:f>
        <x:v>repaired</x:v>
      </x:c>
      <x:c r="Z44" s="10" t="n">
        <x:f>IF(VALUE(L44)&gt;0,1,0)</x:f>
        <x:v>0</x:v>
      </x:c>
      <x:c r="AA44" s="10" t="n">
        <x:f>IF(AND('Raw Results'!$BN$12="True",'Raw Results'!$BO$12="True"),1,0)</x:f>
        <x:v>1</x:v>
      </x:c>
      <x:c r="AB44" s="10" t="n">
        <x:f>IF(AND(J44=0,Q44=1),1,0)</x:f>
        <x:v>0</x:v>
      </x:c>
      <x:c r="AC44" s="20" t="n">
        <x:f>P44-I44</x:f>
        <x:v>0</x:v>
      </x:c>
      <x:c r="AD44" s="10" t="n">
        <x:f>IF(AND(G44=1,J44=0),1,0)</x:f>
        <x:v>0</x:v>
      </x:c>
      <x:c r="AE44" s="10" t="n">
        <x:f>IF(AND(G44=0,Q44=1),1,0)</x:f>
        <x:v>0</x:v>
      </x:c>
    </x:row>
    <x:row r="45">
      <x:c r="A45" s="10" t="str">
        <x:f>"ICH"</x:f>
        <x:v>ICH</x:v>
      </x:c>
      <x:c r="B45" s="12" t="n">
        <x:f>VALUE('Raw Results'!$A$12)</x:f>
        <x:v>50</x:v>
      </x:c>
      <x:c r="C45" s="14" t="n">
        <x:f>VALUE('Raw Results'!$B$12)</x:f>
        <x:v>0.7</x:v>
      </x:c>
      <x:c r="D45" s="12" t="n">
        <x:f>VALUE('Raw Results'!$C$12)</x:f>
        <x:v>2</x:v>
      </x:c>
      <x:c r="E45" s="12" t="n">
        <x:f>VALUE('Raw Results'!$D$12)</x:f>
        <x:v>3987472412</x:v>
      </x:c>
      <x:c r="F45" s="12" t="n">
        <x:f>VALUE('Raw Results'!$CA$12)</x:f>
        <x:v>23</x:v>
      </x:c>
      <x:c r="G45" s="12" t="n">
        <x:f>IF('Raw Results'!$CC$12="True",1,0)</x:f>
        <x:v>1</x:v>
      </x:c>
      <x:c r="H45" s="12" t="n">
        <x:f>VALUE('Raw Results'!$CF$12)</x:f>
        <x:v>22</x:v>
      </x:c>
      <x:c r="I45" s="12" t="n">
        <x:f>VALUE('Raw Results'!$CG$12)</x:f>
        <x:v>22</x:v>
      </x:c>
      <x:c r="J45" s="12" t="n">
        <x:f>IF('Raw Results'!$CI$12="True",1,0)</x:f>
        <x:v>1</x:v>
      </x:c>
      <x:c r="K45" s="12" t="n">
        <x:f>VALUE('Raw Results'!$CL$12)</x:f>
        <x:v>0</x:v>
      </x:c>
      <x:c r="L45" s="12" t="n">
        <x:f>VALUE('Raw Results'!$CM$12)</x:f>
        <x:v>0</x:v>
      </x:c>
      <x:c r="M45" s="10" t="str">
        <x:f>'Raw Results'!$CN$12</x:f>
      </x:c>
      <x:c r="N45" s="16" t="n">
        <x:f>VALUE('Raw Results'!$CO$12)</x:f>
        <x:v>0.0005021999822929502</x:v>
      </x:c>
      <x:c r="O45" s="12" t="n">
        <x:f>VALUE('Raw Results'!$CP$12)</x:f>
        <x:v>22</x:v>
      </x:c>
      <x:c r="P45" s="12" t="n">
        <x:f>VALUE('Raw Results'!$CQ$12)</x:f>
        <x:v>22</x:v>
      </x:c>
      <x:c r="Q45" s="12" t="n">
        <x:f>IF('Raw Results'!$CS$12="True",1,0)</x:f>
        <x:v>1</x:v>
      </x:c>
      <x:c r="R45" s="12" t="n">
        <x:f>VALUE('Raw Results'!$CU$12)</x:f>
        <x:v>0</x:v>
      </x:c>
      <x:c r="S45" s="12" t="n">
        <x:f>VALUE('Raw Results'!$CV$12)</x:f>
        <x:v>0</x:v>
      </x:c>
      <x:c r="T45" s="16" t="n">
        <x:f>VALUE('Raw Results'!$CH$12)</x:f>
        <x:v>0.028277600067667663</x:v>
      </x:c>
      <x:c r="U45" s="16" t="n">
        <x:f>VALUE('Raw Results'!$CR$12)</x:f>
        <x:v>0.028779800049960613</x:v>
      </x:c>
      <x:c r="V45" s="18" t="n">
        <x:f>IF(T45=0,0,N45/T45)</x:f>
        <x:v>0.01775963947050658</x:v>
      </x:c>
      <x:c r="W45" s="10" t="n">
        <x:f>IF(AND(G45=1,Q45=1),1,0)</x:f>
        <x:v>1</x:v>
      </x:c>
      <x:c r="X45" s="20" t="n">
        <x:f>IF(W45=1,P45-F45,"")</x:f>
        <x:v>-1</x:v>
      </x:c>
      <x:c r="Y45" s="10" t="str">
        <x:f>IF(W45=0,"excluded",IF(X45&lt;0,"repaired",IF(X45&gt;0,"entropy","tie")))</x:f>
        <x:v>repaired</x:v>
      </x:c>
      <x:c r="Z45" s="10" t="n">
        <x:f>IF(VALUE(L45)&gt;0,1,0)</x:f>
        <x:v>0</x:v>
      </x:c>
      <x:c r="AA45" s="10" t="n">
        <x:f>IF(AND('Raw Results'!$CJ$12="True",'Raw Results'!$CK$12="True"),1,0)</x:f>
        <x:v>1</x:v>
      </x:c>
      <x:c r="AB45" s="10" t="n">
        <x:f>IF(AND(J45=0,Q45=1),1,0)</x:f>
        <x:v>0</x:v>
      </x:c>
      <x:c r="AC45" s="20" t="n">
        <x:f>P45-I45</x:f>
        <x:v>0</x:v>
      </x:c>
      <x:c r="AD45" s="10" t="n">
        <x:f>IF(AND(G45=1,J45=0),1,0)</x:f>
        <x:v>0</x:v>
      </x:c>
      <x:c r="AE45" s="10" t="n">
        <x:f>IF(AND(G45=0,Q45=1),1,0)</x:f>
        <x:v>0</x:v>
      </x:c>
    </x:row>
    <x:row r="46">
      <x:c r="A46" s="10" t="str">
        <x:f>"Grid"</x:f>
        <x:v>Grid</x:v>
      </x:c>
      <x:c r="B46" s="12" t="n">
        <x:f>VALUE('Raw Results'!$A$13)</x:f>
        <x:v>50</x:v>
      </x:c>
      <x:c r="C46" s="14" t="n">
        <x:f>VALUE('Raw Results'!$B$13)</x:f>
        <x:v>0.7</x:v>
      </x:c>
      <x:c r="D46" s="12" t="n">
        <x:f>VALUE('Raw Results'!$C$13)</x:f>
        <x:v>3</x:v>
      </x:c>
      <x:c r="E46" s="12" t="n">
        <x:f>VALUE('Raw Results'!$D$13)</x:f>
        <x:v>1043458498</x:v>
      </x:c>
      <x:c r="F46" s="12" t="n">
        <x:f>VALUE('Raw Results'!$M$13)</x:f>
        <x:v>21</x:v>
      </x:c>
      <x:c r="G46" s="12" t="n">
        <x:f>IF('Raw Results'!$O$13="True",1,0)</x:f>
        <x:v>1</x:v>
      </x:c>
      <x:c r="H46" s="12" t="n">
        <x:f>VALUE('Raw Results'!$R$13)</x:f>
        <x:v>20</x:v>
      </x:c>
      <x:c r="I46" s="12" t="n">
        <x:f>VALUE('Raw Results'!$S$13)</x:f>
        <x:v>20</x:v>
      </x:c>
      <x:c r="J46" s="12" t="n">
        <x:f>IF('Raw Results'!$U$13="True",1,0)</x:f>
        <x:v>1</x:v>
      </x:c>
      <x:c r="K46" s="12" t="n">
        <x:f>VALUE('Raw Results'!$X$13)</x:f>
        <x:v>0</x:v>
      </x:c>
      <x:c r="L46" s="12" t="n">
        <x:f>VALUE('Raw Results'!$Y$13)</x:f>
        <x:v>0</x:v>
      </x:c>
      <x:c r="M46" s="10" t="str">
        <x:f>'Raw Results'!$Z$13</x:f>
      </x:c>
      <x:c r="N46" s="16" t="n">
        <x:f>VALUE('Raw Results'!$AA$13)</x:f>
        <x:v>0.0005152999656274915</x:v>
      </x:c>
      <x:c r="O46" s="12" t="n">
        <x:f>VALUE('Raw Results'!$AB$13)</x:f>
        <x:v>20</x:v>
      </x:c>
      <x:c r="P46" s="12" t="n">
        <x:f>VALUE('Raw Results'!$AC$13)</x:f>
        <x:v>20</x:v>
      </x:c>
      <x:c r="Q46" s="12" t="n">
        <x:f>IF('Raw Results'!$AE$13="True",1,0)</x:f>
        <x:v>1</x:v>
      </x:c>
      <x:c r="R46" s="12" t="n">
        <x:f>VALUE('Raw Results'!$AG$13)</x:f>
        <x:v>0</x:v>
      </x:c>
      <x:c r="S46" s="12" t="n">
        <x:f>VALUE('Raw Results'!$AH$13)</x:f>
        <x:v>0</x:v>
      </x:c>
      <x:c r="T46" s="16" t="n">
        <x:f>VALUE('Raw Results'!$T$13)</x:f>
        <x:v>0.014526900020428002</x:v>
      </x:c>
      <x:c r="U46" s="16" t="n">
        <x:f>VALUE('Raw Results'!$AD$13)</x:f>
        <x:v>0.015042199986055493</x:v>
      </x:c>
      <x:c r="V46" s="18" t="n">
        <x:f>IF(T46=0,0,N46/T46)</x:f>
        <x:v>0.03547212171233139</x:v>
      </x:c>
      <x:c r="W46" s="10" t="n">
        <x:f>IF(AND(G46=1,Q46=1),1,0)</x:f>
        <x:v>1</x:v>
      </x:c>
      <x:c r="X46" s="20" t="n">
        <x:f>IF(W46=1,P46-F46,"")</x:f>
        <x:v>-1</x:v>
      </x:c>
      <x:c r="Y46" s="10" t="str">
        <x:f>IF(W46=0,"excluded",IF(X46&lt;0,"repaired",IF(X46&gt;0,"entropy","tie")))</x:f>
        <x:v>repaired</x:v>
      </x:c>
      <x:c r="Z46" s="10" t="n">
        <x:f>IF(VALUE(L46)&gt;0,1,0)</x:f>
        <x:v>0</x:v>
      </x:c>
      <x:c r="AA46" s="10" t="n">
        <x:f>IF(AND('Raw Results'!$V$13="True",'Raw Results'!$W$13="True"),1,0)</x:f>
        <x:v>1</x:v>
      </x:c>
      <x:c r="AB46" s="10" t="n">
        <x:f>IF(AND(J46=0,Q46=1),1,0)</x:f>
        <x:v>0</x:v>
      </x:c>
      <x:c r="AC46" s="20" t="n">
        <x:f>P46-I46</x:f>
        <x:v>0</x:v>
      </x:c>
      <x:c r="AD46" s="10" t="n">
        <x:f>IF(AND(G46=1,J46=0),1,0)</x:f>
        <x:v>0</x:v>
      </x:c>
      <x:c r="AE46" s="10" t="n">
        <x:f>IF(AND(G46=0,Q46=1),1,0)</x:f>
        <x:v>0</x:v>
      </x:c>
    </x:row>
    <x:row r="47">
      <x:c r="A47" s="10" t="str">
        <x:f>"Circle"</x:f>
        <x:v>Circle</x:v>
      </x:c>
      <x:c r="B47" s="12" t="n">
        <x:f>VALUE('Raw Results'!$A$13)</x:f>
        <x:v>50</x:v>
      </x:c>
      <x:c r="C47" s="14" t="n">
        <x:f>VALUE('Raw Results'!$B$13)</x:f>
        <x:v>0.7</x:v>
      </x:c>
      <x:c r="D47" s="12" t="n">
        <x:f>VALUE('Raw Results'!$C$13)</x:f>
        <x:v>3</x:v>
      </x:c>
      <x:c r="E47" s="12" t="n">
        <x:f>VALUE('Raw Results'!$D$13)</x:f>
        <x:v>1043458498</x:v>
      </x:c>
      <x:c r="F47" s="12" t="n">
        <x:f>VALUE('Raw Results'!$AI$13)</x:f>
        <x:v>22</x:v>
      </x:c>
      <x:c r="G47" s="12" t="n">
        <x:f>IF('Raw Results'!$AK$13="True",1,0)</x:f>
        <x:v>1</x:v>
      </x:c>
      <x:c r="H47" s="12" t="n">
        <x:f>VALUE('Raw Results'!$AN$13)</x:f>
        <x:v>32</x:v>
      </x:c>
      <x:c r="I47" s="12" t="n">
        <x:f>VALUE('Raw Results'!$AO$13)</x:f>
        <x:v>22</x:v>
      </x:c>
      <x:c r="J47" s="12" t="n">
        <x:f>IF('Raw Results'!$AQ$13="True",1,0)</x:f>
        <x:v>1</x:v>
      </x:c>
      <x:c r="K47" s="12" t="n">
        <x:f>VALUE('Raw Results'!$AT$13)</x:f>
        <x:v>0</x:v>
      </x:c>
      <x:c r="L47" s="12" t="n">
        <x:f>VALUE('Raw Results'!$AU$13)</x:f>
        <x:v>0</x:v>
      </x:c>
      <x:c r="M47" s="10" t="str">
        <x:f>'Raw Results'!$AV$13</x:f>
      </x:c>
      <x:c r="N47" s="16" t="n">
        <x:f>VALUE('Raw Results'!$AW$13)</x:f>
        <x:v>0.0005329999839887023</x:v>
      </x:c>
      <x:c r="O47" s="12" t="n">
        <x:f>VALUE('Raw Results'!$AX$13)</x:f>
        <x:v>22</x:v>
      </x:c>
      <x:c r="P47" s="12" t="n">
        <x:f>VALUE('Raw Results'!$AY$13)</x:f>
        <x:v>22</x:v>
      </x:c>
      <x:c r="Q47" s="12" t="n">
        <x:f>IF('Raw Results'!$BA$13="True",1,0)</x:f>
        <x:v>1</x:v>
      </x:c>
      <x:c r="R47" s="12" t="n">
        <x:f>VALUE('Raw Results'!$BC$13)</x:f>
        <x:v>0</x:v>
      </x:c>
      <x:c r="S47" s="12" t="n">
        <x:f>VALUE('Raw Results'!$BD$13)</x:f>
        <x:v>0</x:v>
      </x:c>
      <x:c r="T47" s="16" t="n">
        <x:f>VALUE('Raw Results'!$AP$13)</x:f>
        <x:v>0.0074541999492794275</x:v>
      </x:c>
      <x:c r="U47" s="16" t="n">
        <x:f>VALUE('Raw Results'!$AZ$13)</x:f>
        <x:v>0.00798719993326813</x:v>
      </x:c>
      <x:c r="V47" s="18" t="n">
        <x:f>IF(T47=0,0,N47/T47)</x:f>
        <x:v>0.07150331190676279</x:v>
      </x:c>
      <x:c r="W47" s="10" t="n">
        <x:f>IF(AND(G47=1,Q47=1),1,0)</x:f>
        <x:v>1</x:v>
      </x:c>
      <x:c r="X47" s="20" t="n">
        <x:f>IF(W47=1,P47-F47,"")</x:f>
        <x:v>0</x:v>
      </x:c>
      <x:c r="Y47" s="10" t="str">
        <x:f>IF(W47=0,"excluded",IF(X47&lt;0,"repaired",IF(X47&gt;0,"entropy","tie")))</x:f>
        <x:v>tie</x:v>
      </x:c>
      <x:c r="Z47" s="10" t="n">
        <x:f>IF(VALUE(L47)&gt;0,1,0)</x:f>
        <x:v>0</x:v>
      </x:c>
      <x:c r="AA47" s="10" t="n">
        <x:f>IF(AND('Raw Results'!$AR$13="True",'Raw Results'!$AS$13="True"),1,0)</x:f>
        <x:v>1</x:v>
      </x:c>
      <x:c r="AB47" s="10" t="n">
        <x:f>IF(AND(J47=0,Q47=1),1,0)</x:f>
        <x:v>0</x:v>
      </x:c>
      <x:c r="AC47" s="20" t="n">
        <x:f>P47-I47</x:f>
        <x:v>0</x:v>
      </x:c>
      <x:c r="AD47" s="10" t="n">
        <x:f>IF(AND(G47=1,J47=0),1,0)</x:f>
        <x:v>0</x:v>
      </x:c>
      <x:c r="AE47" s="10" t="n">
        <x:f>IF(AND(G47=0,Q47=1),1,0)</x:f>
        <x:v>0</x:v>
      </x:c>
    </x:row>
    <x:row r="48">
      <x:c r="A48" s="10" t="str">
        <x:f>"Zoomed Square"</x:f>
        <x:v>Zoomed Square</x:v>
      </x:c>
      <x:c r="B48" s="12" t="n">
        <x:f>VALUE('Raw Results'!$A$13)</x:f>
        <x:v>50</x:v>
      </x:c>
      <x:c r="C48" s="14" t="n">
        <x:f>VALUE('Raw Results'!$B$13)</x:f>
        <x:v>0.7</x:v>
      </x:c>
      <x:c r="D48" s="12" t="n">
        <x:f>VALUE('Raw Results'!$C$13)</x:f>
        <x:v>3</x:v>
      </x:c>
      <x:c r="E48" s="12" t="n">
        <x:f>VALUE('Raw Results'!$D$13)</x:f>
        <x:v>1043458498</x:v>
      </x:c>
      <x:c r="F48" s="12" t="n">
        <x:f>VALUE('Raw Results'!$BE$13)</x:f>
        <x:v>23</x:v>
      </x:c>
      <x:c r="G48" s="12" t="n">
        <x:f>IF('Raw Results'!$BG$13="True",1,0)</x:f>
        <x:v>1</x:v>
      </x:c>
      <x:c r="H48" s="12" t="n">
        <x:f>VALUE('Raw Results'!$BJ$13)</x:f>
        <x:v>39</x:v>
      </x:c>
      <x:c r="I48" s="12" t="n">
        <x:f>VALUE('Raw Results'!$BK$13)</x:f>
        <x:v>23</x:v>
      </x:c>
      <x:c r="J48" s="12" t="n">
        <x:f>IF('Raw Results'!$BM$13="True",1,0)</x:f>
        <x:v>1</x:v>
      </x:c>
      <x:c r="K48" s="12" t="n">
        <x:f>VALUE('Raw Results'!$BP$13)</x:f>
        <x:v>0</x:v>
      </x:c>
      <x:c r="L48" s="12" t="n">
        <x:f>VALUE('Raw Results'!$BQ$13)</x:f>
        <x:v>0</x:v>
      </x:c>
      <x:c r="M48" s="10" t="str">
        <x:f>'Raw Results'!$BR$13</x:f>
      </x:c>
      <x:c r="N48" s="16" t="n">
        <x:f>VALUE('Raw Results'!$BS$13)</x:f>
        <x:v>0.0005535000236704946</x:v>
      </x:c>
      <x:c r="O48" s="12" t="n">
        <x:f>VALUE('Raw Results'!$BT$13)</x:f>
        <x:v>23</x:v>
      </x:c>
      <x:c r="P48" s="12" t="n">
        <x:f>VALUE('Raw Results'!$BU$13)</x:f>
        <x:v>23</x:v>
      </x:c>
      <x:c r="Q48" s="12" t="n">
        <x:f>IF('Raw Results'!$BW$13="True",1,0)</x:f>
        <x:v>1</x:v>
      </x:c>
      <x:c r="R48" s="12" t="n">
        <x:f>VALUE('Raw Results'!$BY$13)</x:f>
        <x:v>0</x:v>
      </x:c>
      <x:c r="S48" s="12" t="n">
        <x:f>VALUE('Raw Results'!$BZ$13)</x:f>
        <x:v>0</x:v>
      </x:c>
      <x:c r="T48" s="16" t="n">
        <x:f>VALUE('Raw Results'!$BL$13)</x:f>
        <x:v>0.00846010004170239</x:v>
      </x:c>
      <x:c r="U48" s="16" t="n">
        <x:f>VALUE('Raw Results'!$BV$13)</x:f>
        <x:v>0.009013600065372884</x:v>
      </x:c>
      <x:c r="V48" s="18" t="n">
        <x:f>IF(T48=0,0,N48/T48)</x:f>
        <x:v>0.06542476104799301</x:v>
      </x:c>
      <x:c r="W48" s="10" t="n">
        <x:f>IF(AND(G48=1,Q48=1),1,0)</x:f>
        <x:v>1</x:v>
      </x:c>
      <x:c r="X48" s="20" t="n">
        <x:f>IF(W48=1,P48-F48,"")</x:f>
        <x:v>0</x:v>
      </x:c>
      <x:c r="Y48" s="10" t="str">
        <x:f>IF(W48=0,"excluded",IF(X48&lt;0,"repaired",IF(X48&gt;0,"entropy","tie")))</x:f>
        <x:v>tie</x:v>
      </x:c>
      <x:c r="Z48" s="10" t="n">
        <x:f>IF(VALUE(L48)&gt;0,1,0)</x:f>
        <x:v>0</x:v>
      </x:c>
      <x:c r="AA48" s="10" t="n">
        <x:f>IF(AND('Raw Results'!$BN$13="True",'Raw Results'!$BO$13="True"),1,0)</x:f>
        <x:v>1</x:v>
      </x:c>
      <x:c r="AB48" s="10" t="n">
        <x:f>IF(AND(J48=0,Q48=1),1,0)</x:f>
        <x:v>0</x:v>
      </x:c>
      <x:c r="AC48" s="20" t="n">
        <x:f>P48-I48</x:f>
        <x:v>0</x:v>
      </x:c>
      <x:c r="AD48" s="10" t="n">
        <x:f>IF(AND(G48=1,J48=0),1,0)</x:f>
        <x:v>0</x:v>
      </x:c>
      <x:c r="AE48" s="10" t="n">
        <x:f>IF(AND(G48=0,Q48=1),1,0)</x:f>
        <x:v>0</x:v>
      </x:c>
    </x:row>
    <x:row r="49">
      <x:c r="A49" s="10" t="str">
        <x:f>"ICH"</x:f>
        <x:v>ICH</x:v>
      </x:c>
      <x:c r="B49" s="12" t="n">
        <x:f>VALUE('Raw Results'!$A$13)</x:f>
        <x:v>50</x:v>
      </x:c>
      <x:c r="C49" s="14" t="n">
        <x:f>VALUE('Raw Results'!$B$13)</x:f>
        <x:v>0.7</x:v>
      </x:c>
      <x:c r="D49" s="12" t="n">
        <x:f>VALUE('Raw Results'!$C$13)</x:f>
        <x:v>3</x:v>
      </x:c>
      <x:c r="E49" s="12" t="n">
        <x:f>VALUE('Raw Results'!$D$13)</x:f>
        <x:v>1043458498</x:v>
      </x:c>
      <x:c r="F49" s="12" t="n">
        <x:f>VALUE('Raw Results'!$CA$13)</x:f>
        <x:v>19</x:v>
      </x:c>
      <x:c r="G49" s="12" t="n">
        <x:f>IF('Raw Results'!$CC$13="True",1,0)</x:f>
        <x:v>1</x:v>
      </x:c>
      <x:c r="H49" s="12" t="n">
        <x:f>VALUE('Raw Results'!$CF$13)</x:f>
        <x:v>19</x:v>
      </x:c>
      <x:c r="I49" s="12" t="n">
        <x:f>VALUE('Raw Results'!$CG$13)</x:f>
        <x:v>19</x:v>
      </x:c>
      <x:c r="J49" s="12" t="n">
        <x:f>IF('Raw Results'!$CI$13="True",1,0)</x:f>
        <x:v>1</x:v>
      </x:c>
      <x:c r="K49" s="12" t="n">
        <x:f>VALUE('Raw Results'!$CL$13)</x:f>
        <x:v>0</x:v>
      </x:c>
      <x:c r="L49" s="12" t="n">
        <x:f>VALUE('Raw Results'!$CM$13)</x:f>
        <x:v>0</x:v>
      </x:c>
      <x:c r="M49" s="10" t="str">
        <x:f>'Raw Results'!$CN$13</x:f>
      </x:c>
      <x:c r="N49" s="16" t="n">
        <x:f>VALUE('Raw Results'!$CO$13)</x:f>
        <x:v>0.0004466000245884061</x:v>
      </x:c>
      <x:c r="O49" s="12" t="n">
        <x:f>VALUE('Raw Results'!$CP$13)</x:f>
        <x:v>19</x:v>
      </x:c>
      <x:c r="P49" s="12" t="n">
        <x:f>VALUE('Raw Results'!$CQ$13)</x:f>
        <x:v>19</x:v>
      </x:c>
      <x:c r="Q49" s="12" t="n">
        <x:f>IF('Raw Results'!$CS$13="True",1,0)</x:f>
        <x:v>1</x:v>
      </x:c>
      <x:c r="R49" s="12" t="n">
        <x:f>VALUE('Raw Results'!$CU$13)</x:f>
        <x:v>0</x:v>
      </x:c>
      <x:c r="S49" s="12" t="n">
        <x:f>VALUE('Raw Results'!$CV$13)</x:f>
        <x:v>0</x:v>
      </x:c>
      <x:c r="T49" s="16" t="n">
        <x:f>VALUE('Raw Results'!$CH$13)</x:f>
        <x:v>0.02672379999421537</x:v>
      </x:c>
      <x:c r="U49" s="16" t="n">
        <x:f>VALUE('Raw Results'!$CR$13)</x:f>
        <x:v>0.027170400018803775</x:v>
      </x:c>
      <x:c r="V49" s="18" t="n">
        <x:f>IF(T49=0,0,N49/T49)</x:f>
        <x:v>0.01671169611676023</x:v>
      </x:c>
      <x:c r="W49" s="10" t="n">
        <x:f>IF(AND(G49=1,Q49=1),1,0)</x:f>
        <x:v>1</x:v>
      </x:c>
      <x:c r="X49" s="20" t="n">
        <x:f>IF(W49=1,P49-F49,"")</x:f>
        <x:v>0</x:v>
      </x:c>
      <x:c r="Y49" s="10" t="str">
        <x:f>IF(W49=0,"excluded",IF(X49&lt;0,"repaired",IF(X49&gt;0,"entropy","tie")))</x:f>
        <x:v>tie</x:v>
      </x:c>
      <x:c r="Z49" s="10" t="n">
        <x:f>IF(VALUE(L49)&gt;0,1,0)</x:f>
        <x:v>0</x:v>
      </x:c>
      <x:c r="AA49" s="10" t="n">
        <x:f>IF(AND('Raw Results'!$CJ$13="True",'Raw Results'!$CK$13="True"),1,0)</x:f>
        <x:v>1</x:v>
      </x:c>
      <x:c r="AB49" s="10" t="n">
        <x:f>IF(AND(J49=0,Q49=1),1,0)</x:f>
        <x:v>0</x:v>
      </x:c>
      <x:c r="AC49" s="20" t="n">
        <x:f>P49-I49</x:f>
        <x:v>0</x:v>
      </x:c>
      <x:c r="AD49" s="10" t="n">
        <x:f>IF(AND(G49=1,J49=0),1,0)</x:f>
        <x:v>0</x:v>
      </x:c>
      <x:c r="AE49" s="10" t="n">
        <x:f>IF(AND(G49=0,Q49=1),1,0)</x:f>
        <x:v>0</x:v>
      </x:c>
    </x:row>
    <x:row r="50">
      <x:c r="A50" s="10" t="str">
        <x:f>"Grid"</x:f>
        <x:v>Grid</x:v>
      </x:c>
      <x:c r="B50" s="12" t="n">
        <x:f>VALUE('Raw Results'!$A$14)</x:f>
        <x:v>100</x:v>
      </x:c>
      <x:c r="C50" s="14" t="n">
        <x:f>VALUE('Raw Results'!$B$14)</x:f>
        <x:v>0.1</x:v>
      </x:c>
      <x:c r="D50" s="12" t="n">
        <x:f>VALUE('Raw Results'!$C$14)</x:f>
        <x:v>1</x:v>
      </x:c>
      <x:c r="E50" s="12" t="n">
        <x:f>VALUE('Raw Results'!$D$14)</x:f>
        <x:v>1235212459</x:v>
      </x:c>
      <x:c r="F50" s="12" t="n">
        <x:f>VALUE('Raw Results'!$M$14)</x:f>
        <x:v>47</x:v>
      </x:c>
      <x:c r="G50" s="12" t="n">
        <x:f>IF('Raw Results'!$O$14="True",1,0)</x:f>
        <x:v>0</x:v>
      </x:c>
      <x:c r="H50" s="12" t="n">
        <x:f>VALUE('Raw Results'!$R$14)</x:f>
        <x:v>41</x:v>
      </x:c>
      <x:c r="I50" s="12" t="n">
        <x:f>VALUE('Raw Results'!$S$14)</x:f>
        <x:v>41</x:v>
      </x:c>
      <x:c r="J50" s="12" t="n">
        <x:f>IF('Raw Results'!$U$14="True",1,0)</x:f>
        <x:v>0</x:v>
      </x:c>
      <x:c r="K50" s="12" t="n">
        <x:f>VALUE('Raw Results'!$X$14)</x:f>
        <x:v>18</x:v>
      </x:c>
      <x:c r="L50" s="12" t="n">
        <x:f>VALUE('Raw Results'!$Y$14)</x:f>
        <x:v>8</x:v>
      </x:c>
      <x:c r="M50" s="10" t="str">
        <x:f>'Raw Results'!$Z$14</x:f>
        <x:v>1,30,41,56,2,36,46,60</x:v>
      </x:c>
      <x:c r="N50" s="16" t="n">
        <x:f>VALUE('Raw Results'!$AA$14)</x:f>
        <x:v>0.031143600004725158</x:v>
      </x:c>
      <x:c r="O50" s="12" t="n">
        <x:f>VALUE('Raw Results'!$AB$14)</x:f>
        <x:v>49</x:v>
      </x:c>
      <x:c r="P50" s="12" t="n">
        <x:f>VALUE('Raw Results'!$AC$14)</x:f>
        <x:v>38</x:v>
      </x:c>
      <x:c r="Q50" s="12" t="n">
        <x:f>IF('Raw Results'!$AE$14="True",1,0)</x:f>
        <x:v>1</x:v>
      </x:c>
      <x:c r="R50" s="12" t="n">
        <x:f>VALUE('Raw Results'!$AG$14)</x:f>
        <x:v>11</x:v>
      </x:c>
      <x:c r="S50" s="12" t="n">
        <x:f>VALUE('Raw Results'!$AH$14)</x:f>
        <x:v>-3</x:v>
      </x:c>
      <x:c r="T50" s="16" t="n">
        <x:f>VALUE('Raw Results'!$T$14)</x:f>
        <x:v>0.005591599969193339</x:v>
      </x:c>
      <x:c r="U50" s="16" t="n">
        <x:f>VALUE('Raw Results'!$AD$14)</x:f>
        <x:v>0.0367351999739185</x:v>
      </x:c>
      <x:c r="V50" s="18" t="n">
        <x:f>IF(T50=0,0,N50/T50)</x:f>
        <x:v>5.569711741953891</x:v>
      </x:c>
      <x:c r="W50" s="10" t="n">
        <x:f>IF(AND(G50=1,Q50=1),1,0)</x:f>
        <x:v>0</x:v>
      </x:c>
      <x:c r="X50" s="20" t="str">
        <x:f>IF(W50=1,P50-F50,"")</x:f>
      </x:c>
      <x:c r="Y50" s="10" t="str">
        <x:f>IF(W50=0,"excluded",IF(X50&lt;0,"repaired",IF(X50&gt;0,"entropy","tie")))</x:f>
        <x:v>excluded</x:v>
      </x:c>
      <x:c r="Z50" s="10" t="n">
        <x:f>IF(VALUE(L50)&gt;0,1,0)</x:f>
        <x:v>1</x:v>
      </x:c>
      <x:c r="AA50" s="10" t="n">
        <x:f>IF(AND('Raw Results'!$V$14="True",'Raw Results'!$W$14="True"),1,0)</x:f>
        <x:v>1</x:v>
      </x:c>
      <x:c r="AB50" s="10" t="n">
        <x:f>IF(AND(J50=0,Q50=1),1,0)</x:f>
        <x:v>1</x:v>
      </x:c>
      <x:c r="AC50" s="20" t="n">
        <x:f>P50-I50</x:f>
        <x:v>-3</x:v>
      </x:c>
      <x:c r="AD50" s="10" t="n">
        <x:f>IF(AND(G50=1,J50=0),1,0)</x:f>
        <x:v>0</x:v>
      </x:c>
      <x:c r="AE50" s="10" t="n">
        <x:f>IF(AND(G50=0,Q50=1),1,0)</x:f>
        <x:v>1</x:v>
      </x:c>
    </x:row>
    <x:row r="51">
      <x:c r="A51" s="10" t="str">
        <x:f>"Circle"</x:f>
        <x:v>Circle</x:v>
      </x:c>
      <x:c r="B51" s="12" t="n">
        <x:f>VALUE('Raw Results'!$A$14)</x:f>
        <x:v>100</x:v>
      </x:c>
      <x:c r="C51" s="14" t="n">
        <x:f>VALUE('Raw Results'!$B$14)</x:f>
        <x:v>0.1</x:v>
      </x:c>
      <x:c r="D51" s="12" t="n">
        <x:f>VALUE('Raw Results'!$C$14)</x:f>
        <x:v>1</x:v>
      </x:c>
      <x:c r="E51" s="12" t="n">
        <x:f>VALUE('Raw Results'!$D$14)</x:f>
        <x:v>1235212459</x:v>
      </x:c>
      <x:c r="F51" s="12" t="n">
        <x:f>VALUE('Raw Results'!$AI$14)</x:f>
        <x:v>38</x:v>
      </x:c>
      <x:c r="G51" s="12" t="n">
        <x:f>IF('Raw Results'!$AK$14="True",1,0)</x:f>
        <x:v>1</x:v>
      </x:c>
      <x:c r="H51" s="12" t="n">
        <x:f>VALUE('Raw Results'!$AN$14)</x:f>
        <x:v>58</x:v>
      </x:c>
      <x:c r="I51" s="12" t="n">
        <x:f>VALUE('Raw Results'!$AO$14)</x:f>
        <x:v>38</x:v>
      </x:c>
      <x:c r="J51" s="12" t="n">
        <x:f>IF('Raw Results'!$AQ$14="True",1,0)</x:f>
        <x:v>1</x:v>
      </x:c>
      <x:c r="K51" s="12" t="n">
        <x:f>VALUE('Raw Results'!$AT$14)</x:f>
        <x:v>0</x:v>
      </x:c>
      <x:c r="L51" s="12" t="n">
        <x:f>VALUE('Raw Results'!$AU$14)</x:f>
        <x:v>0</x:v>
      </x:c>
      <x:c r="M51" s="10" t="str">
        <x:f>'Raw Results'!$AV$14</x:f>
      </x:c>
      <x:c r="N51" s="16" t="n">
        <x:f>VALUE('Raw Results'!$AW$14)</x:f>
        <x:v>0.0018794999923557043</x:v>
      </x:c>
      <x:c r="O51" s="12" t="n">
        <x:f>VALUE('Raw Results'!$AX$14)</x:f>
        <x:v>38</x:v>
      </x:c>
      <x:c r="P51" s="12" t="n">
        <x:f>VALUE('Raw Results'!$AY$14)</x:f>
        <x:v>38</x:v>
      </x:c>
      <x:c r="Q51" s="12" t="n">
        <x:f>IF('Raw Results'!$BA$14="True",1,0)</x:f>
        <x:v>1</x:v>
      </x:c>
      <x:c r="R51" s="12" t="n">
        <x:f>VALUE('Raw Results'!$BC$14)</x:f>
        <x:v>0</x:v>
      </x:c>
      <x:c r="S51" s="12" t="n">
        <x:f>VALUE('Raw Results'!$BD$14)</x:f>
        <x:v>0</x:v>
      </x:c>
      <x:c r="T51" s="16" t="n">
        <x:f>VALUE('Raw Results'!$AP$14)</x:f>
        <x:v>0.01372570008970797</x:v>
      </x:c>
      <x:c r="U51" s="16" t="n">
        <x:f>VALUE('Raw Results'!$AZ$14)</x:f>
        <x:v>0.015605200082063675</x:v>
      </x:c>
      <x:c r="V51" s="18" t="n">
        <x:f>IF(T51=0,0,N51/T51)</x:f>
        <x:v>0.13693290543081454</x:v>
      </x:c>
      <x:c r="W51" s="10" t="n">
        <x:f>IF(AND(G51=1,Q51=1),1,0)</x:f>
        <x:v>1</x:v>
      </x:c>
      <x:c r="X51" s="20" t="n">
        <x:f>IF(W51=1,P51-F51,"")</x:f>
        <x:v>0</x:v>
      </x:c>
      <x:c r="Y51" s="10" t="str">
        <x:f>IF(W51=0,"excluded",IF(X51&lt;0,"repaired",IF(X51&gt;0,"entropy","tie")))</x:f>
        <x:v>tie</x:v>
      </x:c>
      <x:c r="Z51" s="10" t="n">
        <x:f>IF(VALUE(L51)&gt;0,1,0)</x:f>
        <x:v>0</x:v>
      </x:c>
      <x:c r="AA51" s="10" t="n">
        <x:f>IF(AND('Raw Results'!$AR$14="True",'Raw Results'!$AS$14="True"),1,0)</x:f>
        <x:v>1</x:v>
      </x:c>
      <x:c r="AB51" s="10" t="n">
        <x:f>IF(AND(J51=0,Q51=1),1,0)</x:f>
        <x:v>0</x:v>
      </x:c>
      <x:c r="AC51" s="20" t="n">
        <x:f>P51-I51</x:f>
        <x:v>0</x:v>
      </x:c>
      <x:c r="AD51" s="10" t="n">
        <x:f>IF(AND(G51=1,J51=0),1,0)</x:f>
        <x:v>0</x:v>
      </x:c>
      <x:c r="AE51" s="10" t="n">
        <x:f>IF(AND(G51=0,Q51=1),1,0)</x:f>
        <x:v>0</x:v>
      </x:c>
    </x:row>
    <x:row r="52">
      <x:c r="A52" s="10" t="str">
        <x:f>"Zoomed Square"</x:f>
        <x:v>Zoomed Square</x:v>
      </x:c>
      <x:c r="B52" s="12" t="n">
        <x:f>VALUE('Raw Results'!$A$14)</x:f>
        <x:v>100</x:v>
      </x:c>
      <x:c r="C52" s="14" t="n">
        <x:f>VALUE('Raw Results'!$B$14)</x:f>
        <x:v>0.1</x:v>
      </x:c>
      <x:c r="D52" s="12" t="n">
        <x:f>VALUE('Raw Results'!$C$14)</x:f>
        <x:v>1</x:v>
      </x:c>
      <x:c r="E52" s="12" t="n">
        <x:f>VALUE('Raw Results'!$D$14)</x:f>
        <x:v>1235212459</x:v>
      </x:c>
      <x:c r="F52" s="12" t="n">
        <x:f>VALUE('Raw Results'!$BE$14)</x:f>
        <x:v>38</x:v>
      </x:c>
      <x:c r="G52" s="12" t="n">
        <x:f>IF('Raw Results'!$BG$14="True",1,0)</x:f>
        <x:v>1</x:v>
      </x:c>
      <x:c r="H52" s="12" t="n">
        <x:f>VALUE('Raw Results'!$BJ$14)</x:f>
        <x:v>60</x:v>
      </x:c>
      <x:c r="I52" s="12" t="n">
        <x:f>VALUE('Raw Results'!$BK$14)</x:f>
        <x:v>38</x:v>
      </x:c>
      <x:c r="J52" s="12" t="n">
        <x:f>IF('Raw Results'!$BM$14="True",1,0)</x:f>
        <x:v>1</x:v>
      </x:c>
      <x:c r="K52" s="12" t="n">
        <x:f>VALUE('Raw Results'!$BP$14)</x:f>
        <x:v>0</x:v>
      </x:c>
      <x:c r="L52" s="12" t="n">
        <x:f>VALUE('Raw Results'!$BQ$14)</x:f>
        <x:v>0</x:v>
      </x:c>
      <x:c r="M52" s="10" t="str">
        <x:f>'Raw Results'!$BR$14</x:f>
      </x:c>
      <x:c r="N52" s="16" t="n">
        <x:f>VALUE('Raw Results'!$BS$14)</x:f>
        <x:v>0.0019835999701172113</x:v>
      </x:c>
      <x:c r="O52" s="12" t="n">
        <x:f>VALUE('Raw Results'!$BT$14)</x:f>
        <x:v>38</x:v>
      </x:c>
      <x:c r="P52" s="12" t="n">
        <x:f>VALUE('Raw Results'!$BU$14)</x:f>
        <x:v>38</x:v>
      </x:c>
      <x:c r="Q52" s="12" t="n">
        <x:f>IF('Raw Results'!$BW$14="True",1,0)</x:f>
        <x:v>1</x:v>
      </x:c>
      <x:c r="R52" s="12" t="n">
        <x:f>VALUE('Raw Results'!$BY$14)</x:f>
        <x:v>0</x:v>
      </x:c>
      <x:c r="S52" s="12" t="n">
        <x:f>VALUE('Raw Results'!$BZ$14)</x:f>
        <x:v>0</x:v>
      </x:c>
      <x:c r="T52" s="16" t="n">
        <x:f>VALUE('Raw Results'!$BL$14)</x:f>
        <x:v>0.01812559994868934</x:v>
      </x:c>
      <x:c r="U52" s="16" t="n">
        <x:f>VALUE('Raw Results'!$BV$14)</x:f>
        <x:v>0.020109199918806553</x:v>
      </x:c>
      <x:c r="V52" s="18" t="n">
        <x:f>IF(T52=0,0,N52/T52)</x:f>
        <x:v>0.10943637593969104</x:v>
      </x:c>
      <x:c r="W52" s="10" t="n">
        <x:f>IF(AND(G52=1,Q52=1),1,0)</x:f>
        <x:v>1</x:v>
      </x:c>
      <x:c r="X52" s="20" t="n">
        <x:f>IF(W52=1,P52-F52,"")</x:f>
        <x:v>0</x:v>
      </x:c>
      <x:c r="Y52" s="10" t="str">
        <x:f>IF(W52=0,"excluded",IF(X52&lt;0,"repaired",IF(X52&gt;0,"entropy","tie")))</x:f>
        <x:v>tie</x:v>
      </x:c>
      <x:c r="Z52" s="10" t="n">
        <x:f>IF(VALUE(L52)&gt;0,1,0)</x:f>
        <x:v>0</x:v>
      </x:c>
      <x:c r="AA52" s="10" t="n">
        <x:f>IF(AND('Raw Results'!$BN$14="True",'Raw Results'!$BO$14="True"),1,0)</x:f>
        <x:v>1</x:v>
      </x:c>
      <x:c r="AB52" s="10" t="n">
        <x:f>IF(AND(J52=0,Q52=1),1,0)</x:f>
        <x:v>0</x:v>
      </x:c>
      <x:c r="AC52" s="20" t="n">
        <x:f>P52-I52</x:f>
        <x:v>0</x:v>
      </x:c>
      <x:c r="AD52" s="10" t="n">
        <x:f>IF(AND(G52=1,J52=0),1,0)</x:f>
        <x:v>0</x:v>
      </x:c>
      <x:c r="AE52" s="10" t="n">
        <x:f>IF(AND(G52=0,Q52=1),1,0)</x:f>
        <x:v>0</x:v>
      </x:c>
    </x:row>
    <x:row r="53">
      <x:c r="A53" s="10" t="str">
        <x:f>"ICH"</x:f>
        <x:v>ICH</x:v>
      </x:c>
      <x:c r="B53" s="12" t="n">
        <x:f>VALUE('Raw Results'!$A$14)</x:f>
        <x:v>100</x:v>
      </x:c>
      <x:c r="C53" s="14" t="n">
        <x:f>VALUE('Raw Results'!$B$14)</x:f>
        <x:v>0.1</x:v>
      </x:c>
      <x:c r="D53" s="12" t="n">
        <x:f>VALUE('Raw Results'!$C$14)</x:f>
        <x:v>1</x:v>
      </x:c>
      <x:c r="E53" s="12" t="n">
        <x:f>VALUE('Raw Results'!$D$14)</x:f>
        <x:v>1235212459</x:v>
      </x:c>
      <x:c r="F53" s="12" t="n">
        <x:f>VALUE('Raw Results'!$CA$14)</x:f>
        <x:v>38</x:v>
      </x:c>
      <x:c r="G53" s="12" t="n">
        <x:f>IF('Raw Results'!$CC$14="True",1,0)</x:f>
        <x:v>1</x:v>
      </x:c>
      <x:c r="H53" s="12" t="n">
        <x:f>VALUE('Raw Results'!$CF$14)</x:f>
        <x:v>38</x:v>
      </x:c>
      <x:c r="I53" s="12" t="n">
        <x:f>VALUE('Raw Results'!$CG$14)</x:f>
        <x:v>38</x:v>
      </x:c>
      <x:c r="J53" s="12" t="n">
        <x:f>IF('Raw Results'!$CI$14="True",1,0)</x:f>
        <x:v>1</x:v>
      </x:c>
      <x:c r="K53" s="12" t="n">
        <x:f>VALUE('Raw Results'!$CL$14)</x:f>
        <x:v>0</x:v>
      </x:c>
      <x:c r="L53" s="12" t="n">
        <x:f>VALUE('Raw Results'!$CM$14)</x:f>
        <x:v>0</x:v>
      </x:c>
      <x:c r="M53" s="10" t="str">
        <x:f>'Raw Results'!$CN$14</x:f>
      </x:c>
      <x:c r="N53" s="16" t="n">
        <x:f>VALUE('Raw Results'!$CO$14)</x:f>
        <x:v>0.001964199938811362</x:v>
      </x:c>
      <x:c r="O53" s="12" t="n">
        <x:f>VALUE('Raw Results'!$CP$14)</x:f>
        <x:v>38</x:v>
      </x:c>
      <x:c r="P53" s="12" t="n">
        <x:f>VALUE('Raw Results'!$CQ$14)</x:f>
        <x:v>38</x:v>
      </x:c>
      <x:c r="Q53" s="12" t="n">
        <x:f>IF('Raw Results'!$CS$14="True",1,0)</x:f>
        <x:v>1</x:v>
      </x:c>
      <x:c r="R53" s="12" t="n">
        <x:f>VALUE('Raw Results'!$CU$14)</x:f>
        <x:v>0</x:v>
      </x:c>
      <x:c r="S53" s="12" t="n">
        <x:f>VALUE('Raw Results'!$CV$14)</x:f>
        <x:v>0</x:v>
      </x:c>
      <x:c r="T53" s="16" t="n">
        <x:f>VALUE('Raw Results'!$CH$14)</x:f>
        <x:v>0.19836399995256215</x:v>
      </x:c>
      <x:c r="U53" s="16" t="n">
        <x:f>VALUE('Raw Results'!$CR$14)</x:f>
        <x:v>0.20032819989137352</x:v>
      </x:c>
      <x:c r="V53" s="18" t="n">
        <x:f>IF(T53=0,0,N53/T53)</x:f>
        <x:v>0.00990199804037573</x:v>
      </x:c>
      <x:c r="W53" s="10" t="n">
        <x:f>IF(AND(G53=1,Q53=1),1,0)</x:f>
        <x:v>1</x:v>
      </x:c>
      <x:c r="X53" s="20" t="n">
        <x:f>IF(W53=1,P53-F53,"")</x:f>
        <x:v>0</x:v>
      </x:c>
      <x:c r="Y53" s="10" t="str">
        <x:f>IF(W53=0,"excluded",IF(X53&lt;0,"repaired",IF(X53&gt;0,"entropy","tie")))</x:f>
        <x:v>tie</x:v>
      </x:c>
      <x:c r="Z53" s="10" t="n">
        <x:f>IF(VALUE(L53)&gt;0,1,0)</x:f>
        <x:v>0</x:v>
      </x:c>
      <x:c r="AA53" s="10" t="n">
        <x:f>IF(AND('Raw Results'!$CJ$14="True",'Raw Results'!$CK$14="True"),1,0)</x:f>
        <x:v>1</x:v>
      </x:c>
      <x:c r="AB53" s="10" t="n">
        <x:f>IF(AND(J53=0,Q53=1),1,0)</x:f>
        <x:v>0</x:v>
      </x:c>
      <x:c r="AC53" s="20" t="n">
        <x:f>P53-I53</x:f>
        <x:v>0</x:v>
      </x:c>
      <x:c r="AD53" s="10" t="n">
        <x:f>IF(AND(G53=1,J53=0),1,0)</x:f>
        <x:v>0</x:v>
      </x:c>
      <x:c r="AE53" s="10" t="n">
        <x:f>IF(AND(G53=0,Q53=1),1,0)</x:f>
        <x:v>0</x:v>
      </x:c>
    </x:row>
    <x:row r="54">
      <x:c r="A54" s="10" t="str">
        <x:f>"Grid"</x:f>
        <x:v>Grid</x:v>
      </x:c>
      <x:c r="B54" s="12" t="n">
        <x:f>VALUE('Raw Results'!$A$15)</x:f>
        <x:v>100</x:v>
      </x:c>
      <x:c r="C54" s="14" t="n">
        <x:f>VALUE('Raw Results'!$B$15)</x:f>
        <x:v>0.1</x:v>
      </x:c>
      <x:c r="D54" s="12" t="n">
        <x:f>VALUE('Raw Results'!$C$15)</x:f>
        <x:v>2</x:v>
      </x:c>
      <x:c r="E54" s="12" t="n">
        <x:f>VALUE('Raw Results'!$D$15)</x:f>
        <x:v>2254199506</x:v>
      </x:c>
      <x:c r="F54" s="12" t="n">
        <x:f>VALUE('Raw Results'!$M$15)</x:f>
        <x:v>53</x:v>
      </x:c>
      <x:c r="G54" s="12" t="n">
        <x:f>IF('Raw Results'!$O$15="True",1,0)</x:f>
        <x:v>0</x:v>
      </x:c>
      <x:c r="H54" s="12" t="n">
        <x:f>VALUE('Raw Results'!$R$15)</x:f>
        <x:v>45</x:v>
      </x:c>
      <x:c r="I54" s="12" t="n">
        <x:f>VALUE('Raw Results'!$S$15)</x:f>
        <x:v>45</x:v>
      </x:c>
      <x:c r="J54" s="12" t="n">
        <x:f>IF('Raw Results'!$U$15="True",1,0)</x:f>
        <x:v>0</x:v>
      </x:c>
      <x:c r="K54" s="12" t="n">
        <x:f>VALUE('Raw Results'!$X$15)</x:f>
        <x:v>9</x:v>
      </x:c>
      <x:c r="L54" s="12" t="n">
        <x:f>VALUE('Raw Results'!$Y$15)</x:f>
        <x:v>6</x:v>
      </x:c>
      <x:c r="M54" s="10" t="str">
        <x:f>'Raw Results'!$Z$15</x:f>
        <x:v>18,31,9,17,83,91</x:v>
      </x:c>
      <x:c r="N54" s="16" t="n">
        <x:f>VALUE('Raw Results'!$AA$15)</x:f>
        <x:v>0.021774000022560358</x:v>
      </x:c>
      <x:c r="O54" s="12" t="n">
        <x:f>VALUE('Raw Results'!$AB$15)</x:f>
        <x:v>51</x:v>
      </x:c>
      <x:c r="P54" s="12" t="n">
        <x:f>VALUE('Raw Results'!$AC$15)</x:f>
        <x:v>39</x:v>
      </x:c>
      <x:c r="Q54" s="12" t="n">
        <x:f>IF('Raw Results'!$AE$15="True",1,0)</x:f>
        <x:v>1</x:v>
      </x:c>
      <x:c r="R54" s="12" t="n">
        <x:f>VALUE('Raw Results'!$AG$15)</x:f>
        <x:v>12</x:v>
      </x:c>
      <x:c r="S54" s="12" t="n">
        <x:f>VALUE('Raw Results'!$AH$15)</x:f>
        <x:v>-6</x:v>
      </x:c>
      <x:c r="T54" s="16" t="n">
        <x:f>VALUE('Raw Results'!$T$15)</x:f>
        <x:v>0.004383099963888526</x:v>
      </x:c>
      <x:c r="U54" s="16" t="n">
        <x:f>VALUE('Raw Results'!$AD$15)</x:f>
        <x:v>0.026157099986448884</x:v>
      </x:c>
      <x:c r="V54" s="18" t="n">
        <x:f>IF(T54=0,0,N54/T54)</x:f>
        <x:v>4.967716958762506</x:v>
      </x:c>
      <x:c r="W54" s="10" t="n">
        <x:f>IF(AND(G54=1,Q54=1),1,0)</x:f>
        <x:v>0</x:v>
      </x:c>
      <x:c r="X54" s="20" t="str">
        <x:f>IF(W54=1,P54-F54,"")</x:f>
      </x:c>
      <x:c r="Y54" s="10" t="str">
        <x:f>IF(W54=0,"excluded",IF(X54&lt;0,"repaired",IF(X54&gt;0,"entropy","tie")))</x:f>
        <x:v>excluded</x:v>
      </x:c>
      <x:c r="Z54" s="10" t="n">
        <x:f>IF(VALUE(L54)&gt;0,1,0)</x:f>
        <x:v>1</x:v>
      </x:c>
      <x:c r="AA54" s="10" t="n">
        <x:f>IF(AND('Raw Results'!$V$15="True",'Raw Results'!$W$15="True"),1,0)</x:f>
        <x:v>1</x:v>
      </x:c>
      <x:c r="AB54" s="10" t="n">
        <x:f>IF(AND(J54=0,Q54=1),1,0)</x:f>
        <x:v>1</x:v>
      </x:c>
      <x:c r="AC54" s="20" t="n">
        <x:f>P54-I54</x:f>
        <x:v>-6</x:v>
      </x:c>
      <x:c r="AD54" s="10" t="n">
        <x:f>IF(AND(G54=1,J54=0),1,0)</x:f>
        <x:v>0</x:v>
      </x:c>
      <x:c r="AE54" s="10" t="n">
        <x:f>IF(AND(G54=0,Q54=1),1,0)</x:f>
        <x:v>1</x:v>
      </x:c>
    </x:row>
    <x:row r="55">
      <x:c r="A55" s="10" t="str">
        <x:f>"Circle"</x:f>
        <x:v>Circle</x:v>
      </x:c>
      <x:c r="B55" s="12" t="n">
        <x:f>VALUE('Raw Results'!$A$15)</x:f>
        <x:v>100</x:v>
      </x:c>
      <x:c r="C55" s="14" t="n">
        <x:f>VALUE('Raw Results'!$B$15)</x:f>
        <x:v>0.1</x:v>
      </x:c>
      <x:c r="D55" s="12" t="n">
        <x:f>VALUE('Raw Results'!$C$15)</x:f>
        <x:v>2</x:v>
      </x:c>
      <x:c r="E55" s="12" t="n">
        <x:f>VALUE('Raw Results'!$D$15)</x:f>
        <x:v>2254199506</x:v>
      </x:c>
      <x:c r="F55" s="12" t="n">
        <x:f>VALUE('Raw Results'!$AI$15)</x:f>
        <x:v>38</x:v>
      </x:c>
      <x:c r="G55" s="12" t="n">
        <x:f>IF('Raw Results'!$AK$15="True",1,0)</x:f>
        <x:v>1</x:v>
      </x:c>
      <x:c r="H55" s="12" t="n">
        <x:f>VALUE('Raw Results'!$AN$15)</x:f>
        <x:v>59</x:v>
      </x:c>
      <x:c r="I55" s="12" t="n">
        <x:f>VALUE('Raw Results'!$AO$15)</x:f>
        <x:v>38</x:v>
      </x:c>
      <x:c r="J55" s="12" t="n">
        <x:f>IF('Raw Results'!$AQ$15="True",1,0)</x:f>
        <x:v>1</x:v>
      </x:c>
      <x:c r="K55" s="12" t="n">
        <x:f>VALUE('Raw Results'!$AT$15)</x:f>
        <x:v>0</x:v>
      </x:c>
      <x:c r="L55" s="12" t="n">
        <x:f>VALUE('Raw Results'!$AU$15)</x:f>
        <x:v>0</x:v>
      </x:c>
      <x:c r="M55" s="10" t="str">
        <x:f>'Raw Results'!$AV$15</x:f>
      </x:c>
      <x:c r="N55" s="16" t="n">
        <x:f>VALUE('Raw Results'!$AW$15)</x:f>
        <x:v>0.0018657000036910176</x:v>
      </x:c>
      <x:c r="O55" s="12" t="n">
        <x:f>VALUE('Raw Results'!$AX$15)</x:f>
        <x:v>38</x:v>
      </x:c>
      <x:c r="P55" s="12" t="n">
        <x:f>VALUE('Raw Results'!$AY$15)</x:f>
        <x:v>38</x:v>
      </x:c>
      <x:c r="Q55" s="12" t="n">
        <x:f>IF('Raw Results'!$BA$15="True",1,0)</x:f>
        <x:v>1</x:v>
      </x:c>
      <x:c r="R55" s="12" t="n">
        <x:f>VALUE('Raw Results'!$BC$15)</x:f>
        <x:v>0</x:v>
      </x:c>
      <x:c r="S55" s="12" t="n">
        <x:f>VALUE('Raw Results'!$BD$15)</x:f>
        <x:v>0</x:v>
      </x:c>
      <x:c r="T55" s="16" t="n">
        <x:f>VALUE('Raw Results'!$AP$15)</x:f>
        <x:v>0.016956200008280575</x:v>
      </x:c>
      <x:c r="U55" s="16" t="n">
        <x:f>VALUE('Raw Results'!$AZ$15)</x:f>
        <x:v>0.018821900011971593</x:v>
      </x:c>
      <x:c r="V55" s="18" t="n">
        <x:f>IF(T55=0,0,N55/T55)</x:f>
        <x:v>0.11003054946154807</x:v>
      </x:c>
      <x:c r="W55" s="10" t="n">
        <x:f>IF(AND(G55=1,Q55=1),1,0)</x:f>
        <x:v>1</x:v>
      </x:c>
      <x:c r="X55" s="20" t="n">
        <x:f>IF(W55=1,P55-F55,"")</x:f>
        <x:v>0</x:v>
      </x:c>
      <x:c r="Y55" s="10" t="str">
        <x:f>IF(W55=0,"excluded",IF(X55&lt;0,"repaired",IF(X55&gt;0,"entropy","tie")))</x:f>
        <x:v>tie</x:v>
      </x:c>
      <x:c r="Z55" s="10" t="n">
        <x:f>IF(VALUE(L55)&gt;0,1,0)</x:f>
        <x:v>0</x:v>
      </x:c>
      <x:c r="AA55" s="10" t="n">
        <x:f>IF(AND('Raw Results'!$AR$15="True",'Raw Results'!$AS$15="True"),1,0)</x:f>
        <x:v>1</x:v>
      </x:c>
      <x:c r="AB55" s="10" t="n">
        <x:f>IF(AND(J55=0,Q55=1),1,0)</x:f>
        <x:v>0</x:v>
      </x:c>
      <x:c r="AC55" s="20" t="n">
        <x:f>P55-I55</x:f>
        <x:v>0</x:v>
      </x:c>
      <x:c r="AD55" s="10" t="n">
        <x:f>IF(AND(G55=1,J55=0),1,0)</x:f>
        <x:v>0</x:v>
      </x:c>
      <x:c r="AE55" s="10" t="n">
        <x:f>IF(AND(G55=0,Q55=1),1,0)</x:f>
        <x:v>0</x:v>
      </x:c>
    </x:row>
    <x:row r="56">
      <x:c r="A56" s="10" t="str">
        <x:f>"Zoomed Square"</x:f>
        <x:v>Zoomed Square</x:v>
      </x:c>
      <x:c r="B56" s="12" t="n">
        <x:f>VALUE('Raw Results'!$A$15)</x:f>
        <x:v>100</x:v>
      </x:c>
      <x:c r="C56" s="14" t="n">
        <x:f>VALUE('Raw Results'!$B$15)</x:f>
        <x:v>0.1</x:v>
      </x:c>
      <x:c r="D56" s="12" t="n">
        <x:f>VALUE('Raw Results'!$C$15)</x:f>
        <x:v>2</x:v>
      </x:c>
      <x:c r="E56" s="12" t="n">
        <x:f>VALUE('Raw Results'!$D$15)</x:f>
        <x:v>2254199506</x:v>
      </x:c>
      <x:c r="F56" s="12" t="n">
        <x:f>VALUE('Raw Results'!$BE$15)</x:f>
        <x:v>39</x:v>
      </x:c>
      <x:c r="G56" s="12" t="n">
        <x:f>IF('Raw Results'!$BG$15="True",1,0)</x:f>
        <x:v>1</x:v>
      </x:c>
      <x:c r="H56" s="12" t="n">
        <x:f>VALUE('Raw Results'!$BJ$15)</x:f>
        <x:v>57</x:v>
      </x:c>
      <x:c r="I56" s="12" t="n">
        <x:f>VALUE('Raw Results'!$BK$15)</x:f>
        <x:v>39</x:v>
      </x:c>
      <x:c r="J56" s="12" t="n">
        <x:f>IF('Raw Results'!$BM$15="True",1,0)</x:f>
        <x:v>1</x:v>
      </x:c>
      <x:c r="K56" s="12" t="n">
        <x:f>VALUE('Raw Results'!$BP$15)</x:f>
        <x:v>0</x:v>
      </x:c>
      <x:c r="L56" s="12" t="n">
        <x:f>VALUE('Raw Results'!$BQ$15)</x:f>
        <x:v>0</x:v>
      </x:c>
      <x:c r="M56" s="10" t="str">
        <x:f>'Raw Results'!$BR$15</x:f>
      </x:c>
      <x:c r="N56" s="16" t="n">
        <x:f>VALUE('Raw Results'!$BS$15)</x:f>
        <x:v>0.002024700050242245</x:v>
      </x:c>
      <x:c r="O56" s="12" t="n">
        <x:f>VALUE('Raw Results'!$BT$15)</x:f>
        <x:v>39</x:v>
      </x:c>
      <x:c r="P56" s="12" t="n">
        <x:f>VALUE('Raw Results'!$BU$15)</x:f>
        <x:v>39</x:v>
      </x:c>
      <x:c r="Q56" s="12" t="n">
        <x:f>IF('Raw Results'!$BW$15="True",1,0)</x:f>
        <x:v>1</x:v>
      </x:c>
      <x:c r="R56" s="12" t="n">
        <x:f>VALUE('Raw Results'!$BY$15)</x:f>
        <x:v>0</x:v>
      </x:c>
      <x:c r="S56" s="12" t="n">
        <x:f>VALUE('Raw Results'!$BZ$15)</x:f>
        <x:v>0</x:v>
      </x:c>
      <x:c r="T56" s="16" t="n">
        <x:f>VALUE('Raw Results'!$BL$15)</x:f>
        <x:v>0.014387200004421175</x:v>
      </x:c>
      <x:c r="U56" s="16" t="n">
        <x:f>VALUE('Raw Results'!$BV$15)</x:f>
        <x:v>0.01641190005466342</x:v>
      </x:c>
      <x:c r="V56" s="18" t="n">
        <x:f>IF(T56=0,0,N56/T56)</x:f>
        <x:v>0.14072926279053996</x:v>
      </x:c>
      <x:c r="W56" s="10" t="n">
        <x:f>IF(AND(G56=1,Q56=1),1,0)</x:f>
        <x:v>1</x:v>
      </x:c>
      <x:c r="X56" s="20" t="n">
        <x:f>IF(W56=1,P56-F56,"")</x:f>
        <x:v>0</x:v>
      </x:c>
      <x:c r="Y56" s="10" t="str">
        <x:f>IF(W56=0,"excluded",IF(X56&lt;0,"repaired",IF(X56&gt;0,"entropy","tie")))</x:f>
        <x:v>tie</x:v>
      </x:c>
      <x:c r="Z56" s="10" t="n">
        <x:f>IF(VALUE(L56)&gt;0,1,0)</x:f>
        <x:v>0</x:v>
      </x:c>
      <x:c r="AA56" s="10" t="n">
        <x:f>IF(AND('Raw Results'!$BN$15="True",'Raw Results'!$BO$15="True"),1,0)</x:f>
        <x:v>1</x:v>
      </x:c>
      <x:c r="AB56" s="10" t="n">
        <x:f>IF(AND(J56=0,Q56=1),1,0)</x:f>
        <x:v>0</x:v>
      </x:c>
      <x:c r="AC56" s="20" t="n">
        <x:f>P56-I56</x:f>
        <x:v>0</x:v>
      </x:c>
      <x:c r="AD56" s="10" t="n">
        <x:f>IF(AND(G56=1,J56=0),1,0)</x:f>
        <x:v>0</x:v>
      </x:c>
      <x:c r="AE56" s="10" t="n">
        <x:f>IF(AND(G56=0,Q56=1),1,0)</x:f>
        <x:v>0</x:v>
      </x:c>
    </x:row>
    <x:row r="57">
      <x:c r="A57" s="10" t="str">
        <x:f>"ICH"</x:f>
        <x:v>ICH</x:v>
      </x:c>
      <x:c r="B57" s="12" t="n">
        <x:f>VALUE('Raw Results'!$A$15)</x:f>
        <x:v>100</x:v>
      </x:c>
      <x:c r="C57" s="14" t="n">
        <x:f>VALUE('Raw Results'!$B$15)</x:f>
        <x:v>0.1</x:v>
      </x:c>
      <x:c r="D57" s="12" t="n">
        <x:f>VALUE('Raw Results'!$C$15)</x:f>
        <x:v>2</x:v>
      </x:c>
      <x:c r="E57" s="12" t="n">
        <x:f>VALUE('Raw Results'!$D$15)</x:f>
        <x:v>2254199506</x:v>
      </x:c>
      <x:c r="F57" s="12" t="n">
        <x:f>VALUE('Raw Results'!$CA$15)</x:f>
        <x:v>39</x:v>
      </x:c>
      <x:c r="G57" s="12" t="n">
        <x:f>IF('Raw Results'!$CC$15="True",1,0)</x:f>
        <x:v>1</x:v>
      </x:c>
      <x:c r="H57" s="12" t="n">
        <x:f>VALUE('Raw Results'!$CF$15)</x:f>
        <x:v>39</x:v>
      </x:c>
      <x:c r="I57" s="12" t="n">
        <x:f>VALUE('Raw Results'!$CG$15)</x:f>
        <x:v>39</x:v>
      </x:c>
      <x:c r="J57" s="12" t="n">
        <x:f>IF('Raw Results'!$CI$15="True",1,0)</x:f>
        <x:v>1</x:v>
      </x:c>
      <x:c r="K57" s="12" t="n">
        <x:f>VALUE('Raw Results'!$CL$15)</x:f>
        <x:v>0</x:v>
      </x:c>
      <x:c r="L57" s="12" t="n">
        <x:f>VALUE('Raw Results'!$CM$15)</x:f>
        <x:v>0</x:v>
      </x:c>
      <x:c r="M57" s="10" t="str">
        <x:f>'Raw Results'!$CN$15</x:f>
      </x:c>
      <x:c r="N57" s="16" t="n">
        <x:f>VALUE('Raw Results'!$CO$15)</x:f>
        <x:v>0.001693699974566698</x:v>
      </x:c>
      <x:c r="O57" s="12" t="n">
        <x:f>VALUE('Raw Results'!$CP$15)</x:f>
        <x:v>39</x:v>
      </x:c>
      <x:c r="P57" s="12" t="n">
        <x:f>VALUE('Raw Results'!$CQ$15)</x:f>
        <x:v>39</x:v>
      </x:c>
      <x:c r="Q57" s="12" t="n">
        <x:f>IF('Raw Results'!$CS$15="True",1,0)</x:f>
        <x:v>1</x:v>
      </x:c>
      <x:c r="R57" s="12" t="n">
        <x:f>VALUE('Raw Results'!$CU$15)</x:f>
        <x:v>0</x:v>
      </x:c>
      <x:c r="S57" s="12" t="n">
        <x:f>VALUE('Raw Results'!$CV$15)</x:f>
        <x:v>0</x:v>
      </x:c>
      <x:c r="T57" s="16" t="n">
        <x:f>VALUE('Raw Results'!$CH$15)</x:f>
        <x:v>0.20899029995780438</x:v>
      </x:c>
      <x:c r="U57" s="16" t="n">
        <x:f>VALUE('Raw Results'!$CR$15)</x:f>
        <x:v>0.21068399993237108</x:v>
      </x:c>
      <x:c r="V57" s="18" t="n">
        <x:f>IF(T57=0,0,N57/T57)</x:f>
        <x:v>0.00810420375925897</x:v>
      </x:c>
      <x:c r="W57" s="10" t="n">
        <x:f>IF(AND(G57=1,Q57=1),1,0)</x:f>
        <x:v>1</x:v>
      </x:c>
      <x:c r="X57" s="20" t="n">
        <x:f>IF(W57=1,P57-F57,"")</x:f>
        <x:v>0</x:v>
      </x:c>
      <x:c r="Y57" s="10" t="str">
        <x:f>IF(W57=0,"excluded",IF(X57&lt;0,"repaired",IF(X57&gt;0,"entropy","tie")))</x:f>
        <x:v>tie</x:v>
      </x:c>
      <x:c r="Z57" s="10" t="n">
        <x:f>IF(VALUE(L57)&gt;0,1,0)</x:f>
        <x:v>0</x:v>
      </x:c>
      <x:c r="AA57" s="10" t="n">
        <x:f>IF(AND('Raw Results'!$CJ$15="True",'Raw Results'!$CK$15="True"),1,0)</x:f>
        <x:v>1</x:v>
      </x:c>
      <x:c r="AB57" s="10" t="n">
        <x:f>IF(AND(J57=0,Q57=1),1,0)</x:f>
        <x:v>0</x:v>
      </x:c>
      <x:c r="AC57" s="20" t="n">
        <x:f>P57-I57</x:f>
        <x:v>0</x:v>
      </x:c>
      <x:c r="AD57" s="10" t="n">
        <x:f>IF(AND(G57=1,J57=0),1,0)</x:f>
        <x:v>0</x:v>
      </x:c>
      <x:c r="AE57" s="10" t="n">
        <x:f>IF(AND(G57=0,Q57=1),1,0)</x:f>
        <x:v>0</x:v>
      </x:c>
    </x:row>
    <x:row r="58">
      <x:c r="A58" s="10" t="str">
        <x:f>"Grid"</x:f>
        <x:v>Grid</x:v>
      </x:c>
      <x:c r="B58" s="12" t="n">
        <x:f>VALUE('Raw Results'!$A$16)</x:f>
        <x:v>100</x:v>
      </x:c>
      <x:c r="C58" s="14" t="n">
        <x:f>VALUE('Raw Results'!$B$16)</x:f>
        <x:v>0.1</x:v>
      </x:c>
      <x:c r="D58" s="12" t="n">
        <x:f>VALUE('Raw Results'!$C$16)</x:f>
        <x:v>3</x:v>
      </x:c>
      <x:c r="E58" s="12" t="n">
        <x:f>VALUE('Raw Results'!$D$16)</x:f>
        <x:v>983702907</x:v>
      </x:c>
      <x:c r="F58" s="12" t="n">
        <x:f>VALUE('Raw Results'!$M$16)</x:f>
        <x:v>57</x:v>
      </x:c>
      <x:c r="G58" s="12" t="n">
        <x:f>IF('Raw Results'!$O$16="True",1,0)</x:f>
        <x:v>0</x:v>
      </x:c>
      <x:c r="H58" s="12" t="n">
        <x:f>VALUE('Raw Results'!$R$16)</x:f>
        <x:v>52</x:v>
      </x:c>
      <x:c r="I58" s="12" t="n">
        <x:f>VALUE('Raw Results'!$S$16)</x:f>
        <x:v>52</x:v>
      </x:c>
      <x:c r="J58" s="12" t="n">
        <x:f>IF('Raw Results'!$U$16="True",1,0)</x:f>
        <x:v>0</x:v>
      </x:c>
      <x:c r="K58" s="12" t="n">
        <x:f>VALUE('Raw Results'!$X$16)</x:f>
        <x:v>11</x:v>
      </x:c>
      <x:c r="L58" s="12" t="n">
        <x:f>VALUE('Raw Results'!$Y$16)</x:f>
        <x:v>5</x:v>
      </x:c>
      <x:c r="M58" s="10" t="str">
        <x:f>'Raw Results'!$Z$16</x:f>
        <x:v>5,17,20,16,49</x:v>
      </x:c>
      <x:c r="N58" s="16" t="n">
        <x:f>VALUE('Raw Results'!$AA$16)</x:f>
        <x:v>0.023509499966166914</x:v>
      </x:c>
      <x:c r="O58" s="12" t="n">
        <x:f>VALUE('Raw Results'!$AB$16)</x:f>
        <x:v>57</x:v>
      </x:c>
      <x:c r="P58" s="12" t="n">
        <x:f>VALUE('Raw Results'!$AC$16)</x:f>
        <x:v>38</x:v>
      </x:c>
      <x:c r="Q58" s="12" t="n">
        <x:f>IF('Raw Results'!$AE$16="True",1,0)</x:f>
        <x:v>1</x:v>
      </x:c>
      <x:c r="R58" s="12" t="n">
        <x:f>VALUE('Raw Results'!$AG$16)</x:f>
        <x:v>19</x:v>
      </x:c>
      <x:c r="S58" s="12" t="n">
        <x:f>VALUE('Raw Results'!$AH$16)</x:f>
        <x:v>-14</x:v>
      </x:c>
      <x:c r="T58" s="16" t="n">
        <x:f>VALUE('Raw Results'!$T$16)</x:f>
        <x:v>0.005731099983677268</x:v>
      </x:c>
      <x:c r="U58" s="16" t="n">
        <x:f>VALUE('Raw Results'!$AD$16)</x:f>
        <x:v>0.02924059994984418</x:v>
      </x:c>
      <x:c r="V58" s="18" t="n">
        <x:f>IF(T58=0,0,N58/T58)</x:f>
        <x:v>4.102092099793105</x:v>
      </x:c>
      <x:c r="W58" s="10" t="n">
        <x:f>IF(AND(G58=1,Q58=1),1,0)</x:f>
        <x:v>0</x:v>
      </x:c>
      <x:c r="X58" s="20" t="str">
        <x:f>IF(W58=1,P58-F58,"")</x:f>
      </x:c>
      <x:c r="Y58" s="10" t="str">
        <x:f>IF(W58=0,"excluded",IF(X58&lt;0,"repaired",IF(X58&gt;0,"entropy","tie")))</x:f>
        <x:v>excluded</x:v>
      </x:c>
      <x:c r="Z58" s="10" t="n">
        <x:f>IF(VALUE(L58)&gt;0,1,0)</x:f>
        <x:v>1</x:v>
      </x:c>
      <x:c r="AA58" s="10" t="n">
        <x:f>IF(AND('Raw Results'!$V$16="True",'Raw Results'!$W$16="True"),1,0)</x:f>
        <x:v>1</x:v>
      </x:c>
      <x:c r="AB58" s="10" t="n">
        <x:f>IF(AND(J58=0,Q58=1),1,0)</x:f>
        <x:v>1</x:v>
      </x:c>
      <x:c r="AC58" s="20" t="n">
        <x:f>P58-I58</x:f>
        <x:v>-14</x:v>
      </x:c>
      <x:c r="AD58" s="10" t="n">
        <x:f>IF(AND(G58=1,J58=0),1,0)</x:f>
        <x:v>0</x:v>
      </x:c>
      <x:c r="AE58" s="10" t="n">
        <x:f>IF(AND(G58=0,Q58=1),1,0)</x:f>
        <x:v>1</x:v>
      </x:c>
    </x:row>
    <x:row r="59">
      <x:c r="A59" s="10" t="str">
        <x:f>"Circle"</x:f>
        <x:v>Circle</x:v>
      </x:c>
      <x:c r="B59" s="12" t="n">
        <x:f>VALUE('Raw Results'!$A$16)</x:f>
        <x:v>100</x:v>
      </x:c>
      <x:c r="C59" s="14" t="n">
        <x:f>VALUE('Raw Results'!$B$16)</x:f>
        <x:v>0.1</x:v>
      </x:c>
      <x:c r="D59" s="12" t="n">
        <x:f>VALUE('Raw Results'!$C$16)</x:f>
        <x:v>3</x:v>
      </x:c>
      <x:c r="E59" s="12" t="n">
        <x:f>VALUE('Raw Results'!$D$16)</x:f>
        <x:v>983702907</x:v>
      </x:c>
      <x:c r="F59" s="12" t="n">
        <x:f>VALUE('Raw Results'!$AI$16)</x:f>
        <x:v>38</x:v>
      </x:c>
      <x:c r="G59" s="12" t="n">
        <x:f>IF('Raw Results'!$AK$16="True",1,0)</x:f>
        <x:v>1</x:v>
      </x:c>
      <x:c r="H59" s="12" t="n">
        <x:f>VALUE('Raw Results'!$AN$16)</x:f>
        <x:v>66</x:v>
      </x:c>
      <x:c r="I59" s="12" t="n">
        <x:f>VALUE('Raw Results'!$AO$16)</x:f>
        <x:v>37</x:v>
      </x:c>
      <x:c r="J59" s="12" t="n">
        <x:f>IF('Raw Results'!$AQ$16="True",1,0)</x:f>
        <x:v>1</x:v>
      </x:c>
      <x:c r="K59" s="12" t="n">
        <x:f>VALUE('Raw Results'!$AT$16)</x:f>
        <x:v>0</x:v>
      </x:c>
      <x:c r="L59" s="12" t="n">
        <x:f>VALUE('Raw Results'!$AU$16)</x:f>
        <x:v>0</x:v>
      </x:c>
      <x:c r="M59" s="10" t="str">
        <x:f>'Raw Results'!$AV$16</x:f>
      </x:c>
      <x:c r="N59" s="16" t="n">
        <x:f>VALUE('Raw Results'!$AW$16)</x:f>
        <x:v>0.0017926000291481614</x:v>
      </x:c>
      <x:c r="O59" s="12" t="n">
        <x:f>VALUE('Raw Results'!$AX$16)</x:f>
        <x:v>37</x:v>
      </x:c>
      <x:c r="P59" s="12" t="n">
        <x:f>VALUE('Raw Results'!$AY$16)</x:f>
        <x:v>37</x:v>
      </x:c>
      <x:c r="Q59" s="12" t="n">
        <x:f>IF('Raw Results'!$BA$16="True",1,0)</x:f>
        <x:v>1</x:v>
      </x:c>
      <x:c r="R59" s="12" t="n">
        <x:f>VALUE('Raw Results'!$BC$16)</x:f>
        <x:v>0</x:v>
      </x:c>
      <x:c r="S59" s="12" t="n">
        <x:f>VALUE('Raw Results'!$BD$16)</x:f>
        <x:v>0</x:v>
      </x:c>
      <x:c r="T59" s="16" t="n">
        <x:f>VALUE('Raw Results'!$AP$16)</x:f>
        <x:v>0.019289199961349368</x:v>
      </x:c>
      <x:c r="U59" s="16" t="n">
        <x:f>VALUE('Raw Results'!$AZ$16)</x:f>
        <x:v>0.02108179999049753</x:v>
      </x:c>
      <x:c r="V59" s="18" t="n">
        <x:f>IF(T59=0,0,N59/T59)</x:f>
        <x:v>0.09293283457790236</x:v>
      </x:c>
      <x:c r="W59" s="10" t="n">
        <x:f>IF(AND(G59=1,Q59=1),1,0)</x:f>
        <x:v>1</x:v>
      </x:c>
      <x:c r="X59" s="20" t="n">
        <x:f>IF(W59=1,P59-F59,"")</x:f>
        <x:v>-1</x:v>
      </x:c>
      <x:c r="Y59" s="10" t="str">
        <x:f>IF(W59=0,"excluded",IF(X59&lt;0,"repaired",IF(X59&gt;0,"entropy","tie")))</x:f>
        <x:v>repaired</x:v>
      </x:c>
      <x:c r="Z59" s="10" t="n">
        <x:f>IF(VALUE(L59)&gt;0,1,0)</x:f>
        <x:v>0</x:v>
      </x:c>
      <x:c r="AA59" s="10" t="n">
        <x:f>IF(AND('Raw Results'!$AR$16="True",'Raw Results'!$AS$16="True"),1,0)</x:f>
        <x:v>1</x:v>
      </x:c>
      <x:c r="AB59" s="10" t="n">
        <x:f>IF(AND(J59=0,Q59=1),1,0)</x:f>
        <x:v>0</x:v>
      </x:c>
      <x:c r="AC59" s="20" t="n">
        <x:f>P59-I59</x:f>
        <x:v>0</x:v>
      </x:c>
      <x:c r="AD59" s="10" t="n">
        <x:f>IF(AND(G59=1,J59=0),1,0)</x:f>
        <x:v>0</x:v>
      </x:c>
      <x:c r="AE59" s="10" t="n">
        <x:f>IF(AND(G59=0,Q59=1),1,0)</x:f>
        <x:v>0</x:v>
      </x:c>
    </x:row>
    <x:row r="60">
      <x:c r="A60" s="10" t="str">
        <x:f>"Zoomed Square"</x:f>
        <x:v>Zoomed Square</x:v>
      </x:c>
      <x:c r="B60" s="12" t="n">
        <x:f>VALUE('Raw Results'!$A$16)</x:f>
        <x:v>100</x:v>
      </x:c>
      <x:c r="C60" s="14" t="n">
        <x:f>VALUE('Raw Results'!$B$16)</x:f>
        <x:v>0.1</x:v>
      </x:c>
      <x:c r="D60" s="12" t="n">
        <x:f>VALUE('Raw Results'!$C$16)</x:f>
        <x:v>3</x:v>
      </x:c>
      <x:c r="E60" s="12" t="n">
        <x:f>VALUE('Raw Results'!$D$16)</x:f>
        <x:v>983702907</x:v>
      </x:c>
      <x:c r="F60" s="12" t="n">
        <x:f>VALUE('Raw Results'!$BE$16)</x:f>
        <x:v>38</x:v>
      </x:c>
      <x:c r="G60" s="12" t="n">
        <x:f>IF('Raw Results'!$BG$16="True",1,0)</x:f>
        <x:v>1</x:v>
      </x:c>
      <x:c r="H60" s="12" t="n">
        <x:f>VALUE('Raw Results'!$BJ$16)</x:f>
        <x:v>67</x:v>
      </x:c>
      <x:c r="I60" s="12" t="n">
        <x:f>VALUE('Raw Results'!$BK$16)</x:f>
        <x:v>38</x:v>
      </x:c>
      <x:c r="J60" s="12" t="n">
        <x:f>IF('Raw Results'!$BM$16="True",1,0)</x:f>
        <x:v>1</x:v>
      </x:c>
      <x:c r="K60" s="12" t="n">
        <x:f>VALUE('Raw Results'!$BP$16)</x:f>
        <x:v>0</x:v>
      </x:c>
      <x:c r="L60" s="12" t="n">
        <x:f>VALUE('Raw Results'!$BQ$16)</x:f>
        <x:v>0</x:v>
      </x:c>
      <x:c r="M60" s="10" t="str">
        <x:f>'Raw Results'!$BR$16</x:f>
      </x:c>
      <x:c r="N60" s="16" t="n">
        <x:f>VALUE('Raw Results'!$BS$16)</x:f>
        <x:v>0.0018403000431135297</x:v>
      </x:c>
      <x:c r="O60" s="12" t="n">
        <x:f>VALUE('Raw Results'!$BT$16)</x:f>
        <x:v>38</x:v>
      </x:c>
      <x:c r="P60" s="12" t="n">
        <x:f>VALUE('Raw Results'!$BU$16)</x:f>
        <x:v>38</x:v>
      </x:c>
      <x:c r="Q60" s="12" t="n">
        <x:f>IF('Raw Results'!$BW$16="True",1,0)</x:f>
        <x:v>1</x:v>
      </x:c>
      <x:c r="R60" s="12" t="n">
        <x:f>VALUE('Raw Results'!$BY$16)</x:f>
        <x:v>0</x:v>
      </x:c>
      <x:c r="S60" s="12" t="n">
        <x:f>VALUE('Raw Results'!$BZ$16)</x:f>
        <x:v>0</x:v>
      </x:c>
      <x:c r="T60" s="16" t="n">
        <x:f>VALUE('Raw Results'!$BL$16)</x:f>
        <x:v>0.020212400006130338</x:v>
      </x:c>
      <x:c r="U60" s="16" t="n">
        <x:f>VALUE('Raw Results'!$BV$16)</x:f>
        <x:v>0.022052700049243867</x:v>
      </x:c>
      <x:c r="V60" s="18" t="n">
        <x:f>IF(T60=0,0,N60/T60)</x:f>
        <x:v>0.09104807160729919</x:v>
      </x:c>
      <x:c r="W60" s="10" t="n">
        <x:f>IF(AND(G60=1,Q60=1),1,0)</x:f>
        <x:v>1</x:v>
      </x:c>
      <x:c r="X60" s="20" t="n">
        <x:f>IF(W60=1,P60-F60,"")</x:f>
        <x:v>0</x:v>
      </x:c>
      <x:c r="Y60" s="10" t="str">
        <x:f>IF(W60=0,"excluded",IF(X60&lt;0,"repaired",IF(X60&gt;0,"entropy","tie")))</x:f>
        <x:v>tie</x:v>
      </x:c>
      <x:c r="Z60" s="10" t="n">
        <x:f>IF(VALUE(L60)&gt;0,1,0)</x:f>
        <x:v>0</x:v>
      </x:c>
      <x:c r="AA60" s="10" t="n">
        <x:f>IF(AND('Raw Results'!$BN$16="True",'Raw Results'!$BO$16="True"),1,0)</x:f>
        <x:v>1</x:v>
      </x:c>
      <x:c r="AB60" s="10" t="n">
        <x:f>IF(AND(J60=0,Q60=1),1,0)</x:f>
        <x:v>0</x:v>
      </x:c>
      <x:c r="AC60" s="20" t="n">
        <x:f>P60-I60</x:f>
        <x:v>0</x:v>
      </x:c>
      <x:c r="AD60" s="10" t="n">
        <x:f>IF(AND(G60=1,J60=0),1,0)</x:f>
        <x:v>0</x:v>
      </x:c>
      <x:c r="AE60" s="10" t="n">
        <x:f>IF(AND(G60=0,Q60=1),1,0)</x:f>
        <x:v>0</x:v>
      </x:c>
    </x:row>
    <x:row r="61">
      <x:c r="A61" s="10" t="str">
        <x:f>"ICH"</x:f>
        <x:v>ICH</x:v>
      </x:c>
      <x:c r="B61" s="12" t="n">
        <x:f>VALUE('Raw Results'!$A$16)</x:f>
        <x:v>100</x:v>
      </x:c>
      <x:c r="C61" s="14" t="n">
        <x:f>VALUE('Raw Results'!$B$16)</x:f>
        <x:v>0.1</x:v>
      </x:c>
      <x:c r="D61" s="12" t="n">
        <x:f>VALUE('Raw Results'!$C$16)</x:f>
        <x:v>3</x:v>
      </x:c>
      <x:c r="E61" s="12" t="n">
        <x:f>VALUE('Raw Results'!$D$16)</x:f>
        <x:v>983702907</x:v>
      </x:c>
      <x:c r="F61" s="12" t="n">
        <x:f>VALUE('Raw Results'!$CA$16)</x:f>
        <x:v>37</x:v>
      </x:c>
      <x:c r="G61" s="12" t="n">
        <x:f>IF('Raw Results'!$CC$16="True",1,0)</x:f>
        <x:v>1</x:v>
      </x:c>
      <x:c r="H61" s="12" t="n">
        <x:f>VALUE('Raw Results'!$CF$16)</x:f>
        <x:v>37</x:v>
      </x:c>
      <x:c r="I61" s="12" t="n">
        <x:f>VALUE('Raw Results'!$CG$16)</x:f>
        <x:v>37</x:v>
      </x:c>
      <x:c r="J61" s="12" t="n">
        <x:f>IF('Raw Results'!$CI$16="True",1,0)</x:f>
        <x:v>1</x:v>
      </x:c>
      <x:c r="K61" s="12" t="n">
        <x:f>VALUE('Raw Results'!$CL$16)</x:f>
        <x:v>0</x:v>
      </x:c>
      <x:c r="L61" s="12" t="n">
        <x:f>VALUE('Raw Results'!$CM$16)</x:f>
        <x:v>0</x:v>
      </x:c>
      <x:c r="M61" s="10" t="str">
        <x:f>'Raw Results'!$CN$16</x:f>
      </x:c>
      <x:c r="N61" s="16" t="n">
        <x:f>VALUE('Raw Results'!$CO$16)</x:f>
        <x:v>0.0018568000523373485</x:v>
      </x:c>
      <x:c r="O61" s="12" t="n">
        <x:f>VALUE('Raw Results'!$CP$16)</x:f>
        <x:v>37</x:v>
      </x:c>
      <x:c r="P61" s="12" t="n">
        <x:f>VALUE('Raw Results'!$CQ$16)</x:f>
        <x:v>37</x:v>
      </x:c>
      <x:c r="Q61" s="12" t="n">
        <x:f>IF('Raw Results'!$CS$16="True",1,0)</x:f>
        <x:v>1</x:v>
      </x:c>
      <x:c r="R61" s="12" t="n">
        <x:f>VALUE('Raw Results'!$CU$16)</x:f>
        <x:v>0</x:v>
      </x:c>
      <x:c r="S61" s="12" t="n">
        <x:f>VALUE('Raw Results'!$CV$16)</x:f>
        <x:v>0</x:v>
      </x:c>
      <x:c r="T61" s="16" t="n">
        <x:f>VALUE('Raw Results'!$CH$16)</x:f>
        <x:v>0.20232989999931306</x:v>
      </x:c>
      <x:c r="U61" s="16" t="n">
        <x:f>VALUE('Raw Results'!$CR$16)</x:f>
        <x:v>0.2041867000516504</x:v>
      </x:c>
      <x:c r="V61" s="18" t="n">
        <x:f>IF(T61=0,0,N61/T61)</x:f>
        <x:v>0.009177091731591093</x:v>
      </x:c>
      <x:c r="W61" s="10" t="n">
        <x:f>IF(AND(G61=1,Q61=1),1,0)</x:f>
        <x:v>1</x:v>
      </x:c>
      <x:c r="X61" s="20" t="n">
        <x:f>IF(W61=1,P61-F61,"")</x:f>
        <x:v>0</x:v>
      </x:c>
      <x:c r="Y61" s="10" t="str">
        <x:f>IF(W61=0,"excluded",IF(X61&lt;0,"repaired",IF(X61&gt;0,"entropy","tie")))</x:f>
        <x:v>tie</x:v>
      </x:c>
      <x:c r="Z61" s="10" t="n">
        <x:f>IF(VALUE(L61)&gt;0,1,0)</x:f>
        <x:v>0</x:v>
      </x:c>
      <x:c r="AA61" s="10" t="n">
        <x:f>IF(AND('Raw Results'!$CJ$16="True",'Raw Results'!$CK$16="True"),1,0)</x:f>
        <x:v>1</x:v>
      </x:c>
      <x:c r="AB61" s="10" t="n">
        <x:f>IF(AND(J61=0,Q61=1),1,0)</x:f>
        <x:v>0</x:v>
      </x:c>
      <x:c r="AC61" s="20" t="n">
        <x:f>P61-I61</x:f>
        <x:v>0</x:v>
      </x:c>
      <x:c r="AD61" s="10" t="n">
        <x:f>IF(AND(G61=1,J61=0),1,0)</x:f>
        <x:v>0</x:v>
      </x:c>
      <x:c r="AE61" s="10" t="n">
        <x:f>IF(AND(G61=0,Q61=1),1,0)</x:f>
        <x:v>0</x:v>
      </x:c>
    </x:row>
    <x:row r="62">
      <x:c r="A62" s="10" t="str">
        <x:f>"Grid"</x:f>
        <x:v>Grid</x:v>
      </x:c>
      <x:c r="B62" s="12" t="n">
        <x:f>VALUE('Raw Results'!$A$17)</x:f>
        <x:v>100</x:v>
      </x:c>
      <x:c r="C62" s="14" t="n">
        <x:f>VALUE('Raw Results'!$B$17)</x:f>
        <x:v>0.3</x:v>
      </x:c>
      <x:c r="D62" s="12" t="n">
        <x:f>VALUE('Raw Results'!$C$17)</x:f>
        <x:v>1</x:v>
      </x:c>
      <x:c r="E62" s="12" t="n">
        <x:f>VALUE('Raw Results'!$D$17)</x:f>
        <x:v>3343778646</x:v>
      </x:c>
      <x:c r="F62" s="12" t="n">
        <x:f>VALUE('Raw Results'!$M$17)</x:f>
        <x:v>20</x:v>
      </x:c>
      <x:c r="G62" s="12" t="n">
        <x:f>IF('Raw Results'!$O$17="True",1,0)</x:f>
        <x:v>1</x:v>
      </x:c>
      <x:c r="H62" s="12" t="n">
        <x:f>VALUE('Raw Results'!$R$17)</x:f>
        <x:v>44</x:v>
      </x:c>
      <x:c r="I62" s="12" t="n">
        <x:f>VALUE('Raw Results'!$S$17)</x:f>
        <x:v>20</x:v>
      </x:c>
      <x:c r="J62" s="12" t="n">
        <x:f>IF('Raw Results'!$U$17="True",1,0)</x:f>
        <x:v>1</x:v>
      </x:c>
      <x:c r="K62" s="12" t="n">
        <x:f>VALUE('Raw Results'!$X$17)</x:f>
        <x:v>0</x:v>
      </x:c>
      <x:c r="L62" s="12" t="n">
        <x:f>VALUE('Raw Results'!$Y$17)</x:f>
        <x:v>0</x:v>
      </x:c>
      <x:c r="M62" s="10" t="str">
        <x:f>'Raw Results'!$Z$17</x:f>
      </x:c>
      <x:c r="N62" s="16" t="n">
        <x:f>VALUE('Raw Results'!$AA$17)</x:f>
        <x:v>0.0010141999227926135</x:v>
      </x:c>
      <x:c r="O62" s="12" t="n">
        <x:f>VALUE('Raw Results'!$AB$17)</x:f>
        <x:v>20</x:v>
      </x:c>
      <x:c r="P62" s="12" t="n">
        <x:f>VALUE('Raw Results'!$AC$17)</x:f>
        <x:v>20</x:v>
      </x:c>
      <x:c r="Q62" s="12" t="n">
        <x:f>IF('Raw Results'!$AE$17="True",1,0)</x:f>
        <x:v>1</x:v>
      </x:c>
      <x:c r="R62" s="12" t="n">
        <x:f>VALUE('Raw Results'!$AG$17)</x:f>
        <x:v>0</x:v>
      </x:c>
      <x:c r="S62" s="12" t="n">
        <x:f>VALUE('Raw Results'!$AH$17)</x:f>
        <x:v>0</x:v>
      </x:c>
      <x:c r="T62" s="16" t="n">
        <x:f>VALUE('Raw Results'!$T$17)</x:f>
        <x:v>0.02086689998395741</x:v>
      </x:c>
      <x:c r="U62" s="16" t="n">
        <x:f>VALUE('Raw Results'!$AD$17)</x:f>
        <x:v>0.021881099906750023</x:v>
      </x:c>
      <x:c r="V62" s="18" t="n">
        <x:f>IF(T62=0,0,N62/T62)</x:f>
        <x:v>0.04860328671591545</x:v>
      </x:c>
      <x:c r="W62" s="10" t="n">
        <x:f>IF(AND(G62=1,Q62=1),1,0)</x:f>
        <x:v>1</x:v>
      </x:c>
      <x:c r="X62" s="20" t="n">
        <x:f>IF(W62=1,P62-F62,"")</x:f>
        <x:v>0</x:v>
      </x:c>
      <x:c r="Y62" s="10" t="str">
        <x:f>IF(W62=0,"excluded",IF(X62&lt;0,"repaired",IF(X62&gt;0,"entropy","tie")))</x:f>
        <x:v>tie</x:v>
      </x:c>
      <x:c r="Z62" s="10" t="n">
        <x:f>IF(VALUE(L62)&gt;0,1,0)</x:f>
        <x:v>0</x:v>
      </x:c>
      <x:c r="AA62" s="10" t="n">
        <x:f>IF(AND('Raw Results'!$V$17="True",'Raw Results'!$W$17="True"),1,0)</x:f>
        <x:v>1</x:v>
      </x:c>
      <x:c r="AB62" s="10" t="n">
        <x:f>IF(AND(J62=0,Q62=1),1,0)</x:f>
        <x:v>0</x:v>
      </x:c>
      <x:c r="AC62" s="20" t="n">
        <x:f>P62-I62</x:f>
        <x:v>0</x:v>
      </x:c>
      <x:c r="AD62" s="10" t="n">
        <x:f>IF(AND(G62=1,J62=0),1,0)</x:f>
        <x:v>0</x:v>
      </x:c>
      <x:c r="AE62" s="10" t="n">
        <x:f>IF(AND(G62=0,Q62=1),1,0)</x:f>
        <x:v>0</x:v>
      </x:c>
    </x:row>
    <x:row r="63">
      <x:c r="A63" s="10" t="str">
        <x:f>"Circle"</x:f>
        <x:v>Circle</x:v>
      </x:c>
      <x:c r="B63" s="12" t="n">
        <x:f>VALUE('Raw Results'!$A$17)</x:f>
        <x:v>100</x:v>
      </x:c>
      <x:c r="C63" s="14" t="n">
        <x:f>VALUE('Raw Results'!$B$17)</x:f>
        <x:v>0.3</x:v>
      </x:c>
      <x:c r="D63" s="12" t="n">
        <x:f>VALUE('Raw Results'!$C$17)</x:f>
        <x:v>1</x:v>
      </x:c>
      <x:c r="E63" s="12" t="n">
        <x:f>VALUE('Raw Results'!$D$17)</x:f>
        <x:v>3343778646</x:v>
      </x:c>
      <x:c r="F63" s="12" t="n">
        <x:f>VALUE('Raw Results'!$AI$17)</x:f>
        <x:v>21</x:v>
      </x:c>
      <x:c r="G63" s="12" t="n">
        <x:f>IF('Raw Results'!$AK$17="True",1,0)</x:f>
        <x:v>1</x:v>
      </x:c>
      <x:c r="H63" s="12" t="n">
        <x:f>VALUE('Raw Results'!$AN$17)</x:f>
        <x:v>65</x:v>
      </x:c>
      <x:c r="I63" s="12" t="n">
        <x:f>VALUE('Raw Results'!$AO$17)</x:f>
        <x:v>19</x:v>
      </x:c>
      <x:c r="J63" s="12" t="n">
        <x:f>IF('Raw Results'!$AQ$17="True",1,0)</x:f>
        <x:v>1</x:v>
      </x:c>
      <x:c r="K63" s="12" t="n">
        <x:f>VALUE('Raw Results'!$AT$17)</x:f>
        <x:v>0</x:v>
      </x:c>
      <x:c r="L63" s="12" t="n">
        <x:f>VALUE('Raw Results'!$AU$17)</x:f>
        <x:v>0</x:v>
      </x:c>
      <x:c r="M63" s="10" t="str">
        <x:f>'Raw Results'!$AV$17</x:f>
      </x:c>
      <x:c r="N63" s="16" t="n">
        <x:f>VALUE('Raw Results'!$AW$17)</x:f>
        <x:v>0.0010824999772012234</x:v>
      </x:c>
      <x:c r="O63" s="12" t="n">
        <x:f>VALUE('Raw Results'!$AX$17)</x:f>
        <x:v>19</x:v>
      </x:c>
      <x:c r="P63" s="12" t="n">
        <x:f>VALUE('Raw Results'!$AY$17)</x:f>
        <x:v>19</x:v>
      </x:c>
      <x:c r="Q63" s="12" t="n">
        <x:f>IF('Raw Results'!$BA$17="True",1,0)</x:f>
        <x:v>1</x:v>
      </x:c>
      <x:c r="R63" s="12" t="n">
        <x:f>VALUE('Raw Results'!$BC$17)</x:f>
        <x:v>0</x:v>
      </x:c>
      <x:c r="S63" s="12" t="n">
        <x:f>VALUE('Raw Results'!$BD$17)</x:f>
        <x:v>0</x:v>
      </x:c>
      <x:c r="T63" s="16" t="n">
        <x:f>VALUE('Raw Results'!$AP$17)</x:f>
        <x:v>0.023435199982486665</x:v>
      </x:c>
      <x:c r="U63" s="16" t="n">
        <x:f>VALUE('Raw Results'!$AZ$17)</x:f>
        <x:v>0.02451769995968789</x:v>
      </x:c>
      <x:c r="V63" s="18" t="n">
        <x:f>IF(T63=0,0,N63/T63)</x:f>
        <x:v>0.04619119862472628</x:v>
      </x:c>
      <x:c r="W63" s="10" t="n">
        <x:f>IF(AND(G63=1,Q63=1),1,0)</x:f>
        <x:v>1</x:v>
      </x:c>
      <x:c r="X63" s="20" t="n">
        <x:f>IF(W63=1,P63-F63,"")</x:f>
        <x:v>-2</x:v>
      </x:c>
      <x:c r="Y63" s="10" t="str">
        <x:f>IF(W63=0,"excluded",IF(X63&lt;0,"repaired",IF(X63&gt;0,"entropy","tie")))</x:f>
        <x:v>repaired</x:v>
      </x:c>
      <x:c r="Z63" s="10" t="n">
        <x:f>IF(VALUE(L63)&gt;0,1,0)</x:f>
        <x:v>0</x:v>
      </x:c>
      <x:c r="AA63" s="10" t="n">
        <x:f>IF(AND('Raw Results'!$AR$17="True",'Raw Results'!$AS$17="True"),1,0)</x:f>
        <x:v>1</x:v>
      </x:c>
      <x:c r="AB63" s="10" t="n">
        <x:f>IF(AND(J63=0,Q63=1),1,0)</x:f>
        <x:v>0</x:v>
      </x:c>
      <x:c r="AC63" s="20" t="n">
        <x:f>P63-I63</x:f>
        <x:v>0</x:v>
      </x:c>
      <x:c r="AD63" s="10" t="n">
        <x:f>IF(AND(G63=1,J63=0),1,0)</x:f>
        <x:v>0</x:v>
      </x:c>
      <x:c r="AE63" s="10" t="n">
        <x:f>IF(AND(G63=0,Q63=1),1,0)</x:f>
        <x:v>0</x:v>
      </x:c>
    </x:row>
    <x:row r="64">
      <x:c r="A64" s="10" t="str">
        <x:f>"Zoomed Square"</x:f>
        <x:v>Zoomed Square</x:v>
      </x:c>
      <x:c r="B64" s="12" t="n">
        <x:f>VALUE('Raw Results'!$A$17)</x:f>
        <x:v>100</x:v>
      </x:c>
      <x:c r="C64" s="14" t="n">
        <x:f>VALUE('Raw Results'!$B$17)</x:f>
        <x:v>0.3</x:v>
      </x:c>
      <x:c r="D64" s="12" t="n">
        <x:f>VALUE('Raw Results'!$C$17)</x:f>
        <x:v>1</x:v>
      </x:c>
      <x:c r="E64" s="12" t="n">
        <x:f>VALUE('Raw Results'!$D$17)</x:f>
        <x:v>3343778646</x:v>
      </x:c>
      <x:c r="F64" s="12" t="n">
        <x:f>VALUE('Raw Results'!$BE$17)</x:f>
        <x:v>20</x:v>
      </x:c>
      <x:c r="G64" s="12" t="n">
        <x:f>IF('Raw Results'!$BG$17="True",1,0)</x:f>
        <x:v>1</x:v>
      </x:c>
      <x:c r="H64" s="12" t="n">
        <x:f>VALUE('Raw Results'!$BJ$17)</x:f>
        <x:v>53</x:v>
      </x:c>
      <x:c r="I64" s="12" t="n">
        <x:f>VALUE('Raw Results'!$BK$17)</x:f>
        <x:v>20</x:v>
      </x:c>
      <x:c r="J64" s="12" t="n">
        <x:f>IF('Raw Results'!$BM$17="True",1,0)</x:f>
        <x:v>1</x:v>
      </x:c>
      <x:c r="K64" s="12" t="n">
        <x:f>VALUE('Raw Results'!$BP$17)</x:f>
        <x:v>0</x:v>
      </x:c>
      <x:c r="L64" s="12" t="n">
        <x:f>VALUE('Raw Results'!$BQ$17)</x:f>
        <x:v>0</x:v>
      </x:c>
      <x:c r="M64" s="10" t="str">
        <x:f>'Raw Results'!$BR$17</x:f>
      </x:c>
      <x:c r="N64" s="16" t="n">
        <x:f>VALUE('Raw Results'!$BS$17)</x:f>
        <x:v>0.0012017999542877078</x:v>
      </x:c>
      <x:c r="O64" s="12" t="n">
        <x:f>VALUE('Raw Results'!$BT$17)</x:f>
        <x:v>20</x:v>
      </x:c>
      <x:c r="P64" s="12" t="n">
        <x:f>VALUE('Raw Results'!$BU$17)</x:f>
        <x:v>20</x:v>
      </x:c>
      <x:c r="Q64" s="12" t="n">
        <x:f>IF('Raw Results'!$BW$17="True",1,0)</x:f>
        <x:v>1</x:v>
      </x:c>
      <x:c r="R64" s="12" t="n">
        <x:f>VALUE('Raw Results'!$BY$17)</x:f>
        <x:v>0</x:v>
      </x:c>
      <x:c r="S64" s="12" t="n">
        <x:f>VALUE('Raw Results'!$BZ$17)</x:f>
        <x:v>0</x:v>
      </x:c>
      <x:c r="T64" s="16" t="n">
        <x:f>VALUE('Raw Results'!$BL$17)</x:f>
        <x:v>0.02120019996073097</x:v>
      </x:c>
      <x:c r="U64" s="16" t="n">
        <x:f>VALUE('Raw Results'!$BV$17)</x:f>
        <x:v>0.022401999915018678</x:v>
      </x:c>
      <x:c r="V64" s="18" t="n">
        <x:f>IF(T64=0,0,N64/T64)</x:f>
        <x:v>0.05668814240025076</x:v>
      </x:c>
      <x:c r="W64" s="10" t="n">
        <x:f>IF(AND(G64=1,Q64=1),1,0)</x:f>
        <x:v>1</x:v>
      </x:c>
      <x:c r="X64" s="20" t="n">
        <x:f>IF(W64=1,P64-F64,"")</x:f>
        <x:v>0</x:v>
      </x:c>
      <x:c r="Y64" s="10" t="str">
        <x:f>IF(W64=0,"excluded",IF(X64&lt;0,"repaired",IF(X64&gt;0,"entropy","tie")))</x:f>
        <x:v>tie</x:v>
      </x:c>
      <x:c r="Z64" s="10" t="n">
        <x:f>IF(VALUE(L64)&gt;0,1,0)</x:f>
        <x:v>0</x:v>
      </x:c>
      <x:c r="AA64" s="10" t="n">
        <x:f>IF(AND('Raw Results'!$BN$17="True",'Raw Results'!$BO$17="True"),1,0)</x:f>
        <x:v>1</x:v>
      </x:c>
      <x:c r="AB64" s="10" t="n">
        <x:f>IF(AND(J64=0,Q64=1),1,0)</x:f>
        <x:v>0</x:v>
      </x:c>
      <x:c r="AC64" s="20" t="n">
        <x:f>P64-I64</x:f>
        <x:v>0</x:v>
      </x:c>
      <x:c r="AD64" s="10" t="n">
        <x:f>IF(AND(G64=1,J64=0),1,0)</x:f>
        <x:v>0</x:v>
      </x:c>
      <x:c r="AE64" s="10" t="n">
        <x:f>IF(AND(G64=0,Q64=1),1,0)</x:f>
        <x:v>0</x:v>
      </x:c>
    </x:row>
    <x:row r="65">
      <x:c r="A65" s="10" t="str">
        <x:f>"ICH"</x:f>
        <x:v>ICH</x:v>
      </x:c>
      <x:c r="B65" s="12" t="n">
        <x:f>VALUE('Raw Results'!$A$17)</x:f>
        <x:v>100</x:v>
      </x:c>
      <x:c r="C65" s="14" t="n">
        <x:f>VALUE('Raw Results'!$B$17)</x:f>
        <x:v>0.3</x:v>
      </x:c>
      <x:c r="D65" s="12" t="n">
        <x:f>VALUE('Raw Results'!$C$17)</x:f>
        <x:v>1</x:v>
      </x:c>
      <x:c r="E65" s="12" t="n">
        <x:f>VALUE('Raw Results'!$D$17)</x:f>
        <x:v>3343778646</x:v>
      </x:c>
      <x:c r="F65" s="12" t="n">
        <x:f>VALUE('Raw Results'!$CA$17)</x:f>
        <x:v>22</x:v>
      </x:c>
      <x:c r="G65" s="12" t="n">
        <x:f>IF('Raw Results'!$CC$17="True",1,0)</x:f>
        <x:v>1</x:v>
      </x:c>
      <x:c r="H65" s="12" t="n">
        <x:f>VALUE('Raw Results'!$CF$17)</x:f>
        <x:v>23</x:v>
      </x:c>
      <x:c r="I65" s="12" t="n">
        <x:f>VALUE('Raw Results'!$CG$17)</x:f>
        <x:v>23</x:v>
      </x:c>
      <x:c r="J65" s="12" t="n">
        <x:f>IF('Raw Results'!$CI$17="True",1,0)</x:f>
        <x:v>1</x:v>
      </x:c>
      <x:c r="K65" s="12" t="n">
        <x:f>VALUE('Raw Results'!$CL$17)</x:f>
        <x:v>0</x:v>
      </x:c>
      <x:c r="L65" s="12" t="n">
        <x:f>VALUE('Raw Results'!$CM$17)</x:f>
        <x:v>0</x:v>
      </x:c>
      <x:c r="M65" s="10" t="str">
        <x:f>'Raw Results'!$CN$17</x:f>
      </x:c>
      <x:c r="N65" s="16" t="n">
        <x:f>VALUE('Raw Results'!$CO$17)</x:f>
        <x:v>0.0012916999403387308</x:v>
      </x:c>
      <x:c r="O65" s="12" t="n">
        <x:f>VALUE('Raw Results'!$CP$17)</x:f>
        <x:v>23</x:v>
      </x:c>
      <x:c r="P65" s="12" t="n">
        <x:f>VALUE('Raw Results'!$CQ$17)</x:f>
        <x:v>23</x:v>
      </x:c>
      <x:c r="Q65" s="12" t="n">
        <x:f>IF('Raw Results'!$CS$17="True",1,0)</x:f>
        <x:v>1</x:v>
      </x:c>
      <x:c r="R65" s="12" t="n">
        <x:f>VALUE('Raw Results'!$CU$17)</x:f>
        <x:v>0</x:v>
      </x:c>
      <x:c r="S65" s="12" t="n">
        <x:f>VALUE('Raw Results'!$CV$17)</x:f>
        <x:v>0</x:v>
      </x:c>
      <x:c r="T65" s="16" t="n">
        <x:f>VALUE('Raw Results'!$CH$17)</x:f>
        <x:v>0.17208370007574558</x:v>
      </x:c>
      <x:c r="U65" s="16" t="n">
        <x:f>VALUE('Raw Results'!$CR$17)</x:f>
        <x:v>0.1733754000160843</x:v>
      </x:c>
      <x:c r="V65" s="18" t="n">
        <x:f>IF(T65=0,0,N65/T65)</x:f>
        <x:v>0.0075062306294562875</x:v>
      </x:c>
      <x:c r="W65" s="10" t="n">
        <x:f>IF(AND(G65=1,Q65=1),1,0)</x:f>
        <x:v>1</x:v>
      </x:c>
      <x:c r="X65" s="20" t="n">
        <x:f>IF(W65=1,P65-F65,"")</x:f>
        <x:v>1</x:v>
      </x:c>
      <x:c r="Y65" s="10" t="str">
        <x:f>IF(W65=0,"excluded",IF(X65&lt;0,"repaired",IF(X65&gt;0,"entropy","tie")))</x:f>
        <x:v>entropy</x:v>
      </x:c>
      <x:c r="Z65" s="10" t="n">
        <x:f>IF(VALUE(L65)&gt;0,1,0)</x:f>
        <x:v>0</x:v>
      </x:c>
      <x:c r="AA65" s="10" t="n">
        <x:f>IF(AND('Raw Results'!$CJ$17="True",'Raw Results'!$CK$17="True"),1,0)</x:f>
        <x:v>1</x:v>
      </x:c>
      <x:c r="AB65" s="10" t="n">
        <x:f>IF(AND(J65=0,Q65=1),1,0)</x:f>
        <x:v>0</x:v>
      </x:c>
      <x:c r="AC65" s="20" t="n">
        <x:f>P65-I65</x:f>
        <x:v>0</x:v>
      </x:c>
      <x:c r="AD65" s="10" t="n">
        <x:f>IF(AND(G65=1,J65=0),1,0)</x:f>
        <x:v>0</x:v>
      </x:c>
      <x:c r="AE65" s="10" t="n">
        <x:f>IF(AND(G65=0,Q65=1),1,0)</x:f>
        <x:v>0</x:v>
      </x:c>
    </x:row>
    <x:row r="66">
      <x:c r="A66" s="10" t="str">
        <x:f>"Grid"</x:f>
        <x:v>Grid</x:v>
      </x:c>
      <x:c r="B66" s="12" t="n">
        <x:f>VALUE('Raw Results'!$A$18)</x:f>
        <x:v>100</x:v>
      </x:c>
      <x:c r="C66" s="14" t="n">
        <x:f>VALUE('Raw Results'!$B$18)</x:f>
        <x:v>0.3</x:v>
      </x:c>
      <x:c r="D66" s="12" t="n">
        <x:f>VALUE('Raw Results'!$C$18)</x:f>
        <x:v>2</x:v>
      </x:c>
      <x:c r="E66" s="12" t="n">
        <x:f>VALUE('Raw Results'!$D$18)</x:f>
        <x:v>1469195711</x:v>
      </x:c>
      <x:c r="F66" s="12" t="n">
        <x:f>VALUE('Raw Results'!$M$18)</x:f>
        <x:v>22</x:v>
      </x:c>
      <x:c r="G66" s="12" t="n">
        <x:f>IF('Raw Results'!$O$18="True",1,0)</x:f>
        <x:v>1</x:v>
      </x:c>
      <x:c r="H66" s="12" t="n">
        <x:f>VALUE('Raw Results'!$R$18)</x:f>
        <x:v>41</x:v>
      </x:c>
      <x:c r="I66" s="12" t="n">
        <x:f>VALUE('Raw Results'!$S$18)</x:f>
        <x:v>41</x:v>
      </x:c>
      <x:c r="J66" s="12" t="n">
        <x:f>IF('Raw Results'!$U$18="True",1,0)</x:f>
        <x:v>0</x:v>
      </x:c>
      <x:c r="K66" s="12" t="n">
        <x:f>VALUE('Raw Results'!$X$18)</x:f>
        <x:v>1</x:v>
      </x:c>
      <x:c r="L66" s="12" t="n">
        <x:f>VALUE('Raw Results'!$Y$18)</x:f>
        <x:v>1</x:v>
      </x:c>
      <x:c r="M66" s="10" t="str">
        <x:f>'Raw Results'!$Z$18</x:f>
        <x:v>2</x:v>
      </x:c>
      <x:c r="N66" s="16" t="n">
        <x:f>VALUE('Raw Results'!$AA$18)</x:f>
        <x:v>0.011232599965296686</x:v>
      </x:c>
      <x:c r="O66" s="12" t="n">
        <x:f>VALUE('Raw Results'!$AB$18)</x:f>
        <x:v>42</x:v>
      </x:c>
      <x:c r="P66" s="12" t="n">
        <x:f>VALUE('Raw Results'!$AC$18)</x:f>
        <x:v>19</x:v>
      </x:c>
      <x:c r="Q66" s="12" t="n">
        <x:f>IF('Raw Results'!$AE$18="True",1,0)</x:f>
        <x:v>1</x:v>
      </x:c>
      <x:c r="R66" s="12" t="n">
        <x:f>VALUE('Raw Results'!$AG$18)</x:f>
        <x:v>23</x:v>
      </x:c>
      <x:c r="S66" s="12" t="n">
        <x:f>VALUE('Raw Results'!$AH$18)</x:f>
        <x:v>-22</x:v>
      </x:c>
      <x:c r="T66" s="16" t="n">
        <x:f>VALUE('Raw Results'!$T$18)</x:f>
        <x:v>0.014098000014200807</x:v>
      </x:c>
      <x:c r="U66" s="16" t="n">
        <x:f>VALUE('Raw Results'!$AD$18)</x:f>
        <x:v>0.025330599979497492</x:v>
      </x:c>
      <x:c r="V66" s="18" t="n">
        <x:f>IF(T66=0,0,N66/T66)</x:f>
        <x:v>0.7967513089787328</x:v>
      </x:c>
      <x:c r="W66" s="10" t="n">
        <x:f>IF(AND(G66=1,Q66=1),1,0)</x:f>
        <x:v>1</x:v>
      </x:c>
      <x:c r="X66" s="20" t="n">
        <x:f>IF(W66=1,P66-F66,"")</x:f>
        <x:v>-3</x:v>
      </x:c>
      <x:c r="Y66" s="10" t="str">
        <x:f>IF(W66=0,"excluded",IF(X66&lt;0,"repaired",IF(X66&gt;0,"entropy","tie")))</x:f>
        <x:v>repaired</x:v>
      </x:c>
      <x:c r="Z66" s="10" t="n">
        <x:f>IF(VALUE(L66)&gt;0,1,0)</x:f>
        <x:v>1</x:v>
      </x:c>
      <x:c r="AA66" s="10" t="n">
        <x:f>IF(AND('Raw Results'!$V$18="True",'Raw Results'!$W$18="True"),1,0)</x:f>
        <x:v>1</x:v>
      </x:c>
      <x:c r="AB66" s="10" t="n">
        <x:f>IF(AND(J66=0,Q66=1),1,0)</x:f>
        <x:v>1</x:v>
      </x:c>
      <x:c r="AC66" s="20" t="n">
        <x:f>P66-I66</x:f>
        <x:v>-22</x:v>
      </x:c>
      <x:c r="AD66" s="10" t="n">
        <x:f>IF(AND(G66=1,J66=0),1,0)</x:f>
        <x:v>1</x:v>
      </x:c>
      <x:c r="AE66" s="10" t="n">
        <x:f>IF(AND(G66=0,Q66=1),1,0)</x:f>
        <x:v>0</x:v>
      </x:c>
    </x:row>
    <x:row r="67">
      <x:c r="A67" s="10" t="str">
        <x:f>"Circle"</x:f>
        <x:v>Circle</x:v>
      </x:c>
      <x:c r="B67" s="12" t="n">
        <x:f>VALUE('Raw Results'!$A$18)</x:f>
        <x:v>100</x:v>
      </x:c>
      <x:c r="C67" s="14" t="n">
        <x:f>VALUE('Raw Results'!$B$18)</x:f>
        <x:v>0.3</x:v>
      </x:c>
      <x:c r="D67" s="12" t="n">
        <x:f>VALUE('Raw Results'!$C$18)</x:f>
        <x:v>2</x:v>
      </x:c>
      <x:c r="E67" s="12" t="n">
        <x:f>VALUE('Raw Results'!$D$18)</x:f>
        <x:v>1469195711</x:v>
      </x:c>
      <x:c r="F67" s="12" t="n">
        <x:f>VALUE('Raw Results'!$AI$18)</x:f>
        <x:v>23</x:v>
      </x:c>
      <x:c r="G67" s="12" t="n">
        <x:f>IF('Raw Results'!$AK$18="True",1,0)</x:f>
        <x:v>1</x:v>
      </x:c>
      <x:c r="H67" s="12" t="n">
        <x:f>VALUE('Raw Results'!$AN$18)</x:f>
        <x:v>58</x:v>
      </x:c>
      <x:c r="I67" s="12" t="n">
        <x:f>VALUE('Raw Results'!$AO$18)</x:f>
        <x:v>23</x:v>
      </x:c>
      <x:c r="J67" s="12" t="n">
        <x:f>IF('Raw Results'!$AQ$18="True",1,0)</x:f>
        <x:v>1</x:v>
      </x:c>
      <x:c r="K67" s="12" t="n">
        <x:f>VALUE('Raw Results'!$AT$18)</x:f>
        <x:v>0</x:v>
      </x:c>
      <x:c r="L67" s="12" t="n">
        <x:f>VALUE('Raw Results'!$AU$18)</x:f>
        <x:v>0</x:v>
      </x:c>
      <x:c r="M67" s="10" t="str">
        <x:f>'Raw Results'!$AV$18</x:f>
      </x:c>
      <x:c r="N67" s="16" t="n">
        <x:f>VALUE('Raw Results'!$AW$18)</x:f>
        <x:v>0.0013871000846847892</x:v>
      </x:c>
      <x:c r="O67" s="12" t="n">
        <x:f>VALUE('Raw Results'!$AX$18)</x:f>
        <x:v>23</x:v>
      </x:c>
      <x:c r="P67" s="12" t="n">
        <x:f>VALUE('Raw Results'!$AY$18)</x:f>
        <x:v>23</x:v>
      </x:c>
      <x:c r="Q67" s="12" t="n">
        <x:f>IF('Raw Results'!$BA$18="True",1,0)</x:f>
        <x:v>1</x:v>
      </x:c>
      <x:c r="R67" s="12" t="n">
        <x:f>VALUE('Raw Results'!$BC$18)</x:f>
        <x:v>0</x:v>
      </x:c>
      <x:c r="S67" s="12" t="n">
        <x:f>VALUE('Raw Results'!$BD$18)</x:f>
        <x:v>0</x:v>
      </x:c>
      <x:c r="T67" s="16" t="n">
        <x:f>VALUE('Raw Results'!$AP$18)</x:f>
        <x:v>0.01479819999076426</x:v>
      </x:c>
      <x:c r="U67" s="16" t="n">
        <x:f>VALUE('Raw Results'!$AZ$18)</x:f>
        <x:v>0.01618530007544905</x:v>
      </x:c>
      <x:c r="V67" s="18" t="n">
        <x:f>IF(T67=0,0,N67/T67)</x:f>
        <x:v>0.09373437888057301</x:v>
      </x:c>
      <x:c r="W67" s="10" t="n">
        <x:f>IF(AND(G67=1,Q67=1),1,0)</x:f>
        <x:v>1</x:v>
      </x:c>
      <x:c r="X67" s="20" t="n">
        <x:f>IF(W67=1,P67-F67,"")</x:f>
        <x:v>0</x:v>
      </x:c>
      <x:c r="Y67" s="10" t="str">
        <x:f>IF(W67=0,"excluded",IF(X67&lt;0,"repaired",IF(X67&gt;0,"entropy","tie")))</x:f>
        <x:v>tie</x:v>
      </x:c>
      <x:c r="Z67" s="10" t="n">
        <x:f>IF(VALUE(L67)&gt;0,1,0)</x:f>
        <x:v>0</x:v>
      </x:c>
      <x:c r="AA67" s="10" t="n">
        <x:f>IF(AND('Raw Results'!$AR$18="True",'Raw Results'!$AS$18="True"),1,0)</x:f>
        <x:v>1</x:v>
      </x:c>
      <x:c r="AB67" s="10" t="n">
        <x:f>IF(AND(J67=0,Q67=1),1,0)</x:f>
        <x:v>0</x:v>
      </x:c>
      <x:c r="AC67" s="20" t="n">
        <x:f>P67-I67</x:f>
        <x:v>0</x:v>
      </x:c>
      <x:c r="AD67" s="10" t="n">
        <x:f>IF(AND(G67=1,J67=0),1,0)</x:f>
        <x:v>0</x:v>
      </x:c>
      <x:c r="AE67" s="10" t="n">
        <x:f>IF(AND(G67=0,Q67=1),1,0)</x:f>
        <x:v>0</x:v>
      </x:c>
    </x:row>
    <x:row r="68">
      <x:c r="A68" s="10" t="str">
        <x:f>"Zoomed Square"</x:f>
        <x:v>Zoomed Square</x:v>
      </x:c>
      <x:c r="B68" s="12" t="n">
        <x:f>VALUE('Raw Results'!$A$18)</x:f>
        <x:v>100</x:v>
      </x:c>
      <x:c r="C68" s="14" t="n">
        <x:f>VALUE('Raw Results'!$B$18)</x:f>
        <x:v>0.3</x:v>
      </x:c>
      <x:c r="D68" s="12" t="n">
        <x:f>VALUE('Raw Results'!$C$18)</x:f>
        <x:v>2</x:v>
      </x:c>
      <x:c r="E68" s="12" t="n">
        <x:f>VALUE('Raw Results'!$D$18)</x:f>
        <x:v>1469195711</x:v>
      </x:c>
      <x:c r="F68" s="12" t="n">
        <x:f>VALUE('Raw Results'!$BE$18)</x:f>
        <x:v>22</x:v>
      </x:c>
      <x:c r="G68" s="12" t="n">
        <x:f>IF('Raw Results'!$BG$18="True",1,0)</x:f>
        <x:v>1</x:v>
      </x:c>
      <x:c r="H68" s="12" t="n">
        <x:f>VALUE('Raw Results'!$BJ$18)</x:f>
        <x:v>54</x:v>
      </x:c>
      <x:c r="I68" s="12" t="n">
        <x:f>VALUE('Raw Results'!$BK$18)</x:f>
        <x:v>23</x:v>
      </x:c>
      <x:c r="J68" s="12" t="n">
        <x:f>IF('Raw Results'!$BM$18="True",1,0)</x:f>
        <x:v>1</x:v>
      </x:c>
      <x:c r="K68" s="12" t="n">
        <x:f>VALUE('Raw Results'!$BP$18)</x:f>
        <x:v>0</x:v>
      </x:c>
      <x:c r="L68" s="12" t="n">
        <x:f>VALUE('Raw Results'!$BQ$18)</x:f>
        <x:v>0</x:v>
      </x:c>
      <x:c r="M68" s="10" t="str">
        <x:f>'Raw Results'!$BR$18</x:f>
      </x:c>
      <x:c r="N68" s="16" t="n">
        <x:f>VALUE('Raw Results'!$BS$18)</x:f>
        <x:v>0.0012565000215545297</x:v>
      </x:c>
      <x:c r="O68" s="12" t="n">
        <x:f>VALUE('Raw Results'!$BT$18)</x:f>
        <x:v>23</x:v>
      </x:c>
      <x:c r="P68" s="12" t="n">
        <x:f>VALUE('Raw Results'!$BU$18)</x:f>
        <x:v>23</x:v>
      </x:c>
      <x:c r="Q68" s="12" t="n">
        <x:f>IF('Raw Results'!$BW$18="True",1,0)</x:f>
        <x:v>1</x:v>
      </x:c>
      <x:c r="R68" s="12" t="n">
        <x:f>VALUE('Raw Results'!$BY$18)</x:f>
        <x:v>0</x:v>
      </x:c>
      <x:c r="S68" s="12" t="n">
        <x:f>VALUE('Raw Results'!$BZ$18)</x:f>
        <x:v>0</x:v>
      </x:c>
      <x:c r="T68" s="16" t="n">
        <x:f>VALUE('Raw Results'!$BL$18)</x:f>
        <x:v>0.015408899984322488</x:v>
      </x:c>
      <x:c r="U68" s="16" t="n">
        <x:f>VALUE('Raw Results'!$BV$18)</x:f>
        <x:v>0.016665400005877018</x:v>
      </x:c>
      <x:c r="V68" s="18" t="n">
        <x:f>IF(T68=0,0,N68/T68)</x:f>
        <x:v>0.08154378462011781</x:v>
      </x:c>
      <x:c r="W68" s="10" t="n">
        <x:f>IF(AND(G68=1,Q68=1),1,0)</x:f>
        <x:v>1</x:v>
      </x:c>
      <x:c r="X68" s="20" t="n">
        <x:f>IF(W68=1,P68-F68,"")</x:f>
        <x:v>1</x:v>
      </x:c>
      <x:c r="Y68" s="10" t="str">
        <x:f>IF(W68=0,"excluded",IF(X68&lt;0,"repaired",IF(X68&gt;0,"entropy","tie")))</x:f>
        <x:v>entropy</x:v>
      </x:c>
      <x:c r="Z68" s="10" t="n">
        <x:f>IF(VALUE(L68)&gt;0,1,0)</x:f>
        <x:v>0</x:v>
      </x:c>
      <x:c r="AA68" s="10" t="n">
        <x:f>IF(AND('Raw Results'!$BN$18="True",'Raw Results'!$BO$18="True"),1,0)</x:f>
        <x:v>1</x:v>
      </x:c>
      <x:c r="AB68" s="10" t="n">
        <x:f>IF(AND(J68=0,Q68=1),1,0)</x:f>
        <x:v>0</x:v>
      </x:c>
      <x:c r="AC68" s="20" t="n">
        <x:f>P68-I68</x:f>
        <x:v>0</x:v>
      </x:c>
      <x:c r="AD68" s="10" t="n">
        <x:f>IF(AND(G68=1,J68=0),1,0)</x:f>
        <x:v>0</x:v>
      </x:c>
      <x:c r="AE68" s="10" t="n">
        <x:f>IF(AND(G68=0,Q68=1),1,0)</x:f>
        <x:v>0</x:v>
      </x:c>
    </x:row>
    <x:row r="69">
      <x:c r="A69" s="10" t="str">
        <x:f>"ICH"</x:f>
        <x:v>ICH</x:v>
      </x:c>
      <x:c r="B69" s="12" t="n">
        <x:f>VALUE('Raw Results'!$A$18)</x:f>
        <x:v>100</x:v>
      </x:c>
      <x:c r="C69" s="14" t="n">
        <x:f>VALUE('Raw Results'!$B$18)</x:f>
        <x:v>0.3</x:v>
      </x:c>
      <x:c r="D69" s="12" t="n">
        <x:f>VALUE('Raw Results'!$C$18)</x:f>
        <x:v>2</x:v>
      </x:c>
      <x:c r="E69" s="12" t="n">
        <x:f>VALUE('Raw Results'!$D$18)</x:f>
        <x:v>1469195711</x:v>
      </x:c>
      <x:c r="F69" s="12" t="n">
        <x:f>VALUE('Raw Results'!$CA$18)</x:f>
        <x:v>21</x:v>
      </x:c>
      <x:c r="G69" s="12" t="n">
        <x:f>IF('Raw Results'!$CC$18="True",1,0)</x:f>
        <x:v>1</x:v>
      </x:c>
      <x:c r="H69" s="12" t="n">
        <x:f>VALUE('Raw Results'!$CF$18)</x:f>
        <x:v>21</x:v>
      </x:c>
      <x:c r="I69" s="12" t="n">
        <x:f>VALUE('Raw Results'!$CG$18)</x:f>
        <x:v>21</x:v>
      </x:c>
      <x:c r="J69" s="12" t="n">
        <x:f>IF('Raw Results'!$CI$18="True",1,0)</x:f>
        <x:v>1</x:v>
      </x:c>
      <x:c r="K69" s="12" t="n">
        <x:f>VALUE('Raw Results'!$CL$18)</x:f>
        <x:v>0</x:v>
      </x:c>
      <x:c r="L69" s="12" t="n">
        <x:f>VALUE('Raw Results'!$CM$18)</x:f>
        <x:v>0</x:v>
      </x:c>
      <x:c r="M69" s="10" t="str">
        <x:f>'Raw Results'!$CN$18</x:f>
      </x:c>
      <x:c r="N69" s="16" t="n">
        <x:f>VALUE('Raw Results'!$CO$18)</x:f>
        <x:v>0.001173500088043511</x:v>
      </x:c>
      <x:c r="O69" s="12" t="n">
        <x:f>VALUE('Raw Results'!$CP$18)</x:f>
        <x:v>21</x:v>
      </x:c>
      <x:c r="P69" s="12" t="n">
        <x:f>VALUE('Raw Results'!$CQ$18)</x:f>
        <x:v>21</x:v>
      </x:c>
      <x:c r="Q69" s="12" t="n">
        <x:f>IF('Raw Results'!$CS$18="True",1,0)</x:f>
        <x:v>1</x:v>
      </x:c>
      <x:c r="R69" s="12" t="n">
        <x:f>VALUE('Raw Results'!$CU$18)</x:f>
        <x:v>0</x:v>
      </x:c>
      <x:c r="S69" s="12" t="n">
        <x:f>VALUE('Raw Results'!$CV$18)</x:f>
        <x:v>0</x:v>
      </x:c>
      <x:c r="T69" s="16" t="n">
        <x:f>VALUE('Raw Results'!$CH$18)</x:f>
        <x:v>0.15514300006907433</x:v>
      </x:c>
      <x:c r="U69" s="16" t="n">
        <x:f>VALUE('Raw Results'!$CR$18)</x:f>
        <x:v>0.15631650015711784</x:v>
      </x:c>
      <x:c r="V69" s="18" t="n">
        <x:f>IF(T69=0,0,N69/T69)</x:f>
        <x:v>0.007563989915890716</x:v>
      </x:c>
      <x:c r="W69" s="10" t="n">
        <x:f>IF(AND(G69=1,Q69=1),1,0)</x:f>
        <x:v>1</x:v>
      </x:c>
      <x:c r="X69" s="20" t="n">
        <x:f>IF(W69=1,P69-F69,"")</x:f>
        <x:v>0</x:v>
      </x:c>
      <x:c r="Y69" s="10" t="str">
        <x:f>IF(W69=0,"excluded",IF(X69&lt;0,"repaired",IF(X69&gt;0,"entropy","tie")))</x:f>
        <x:v>tie</x:v>
      </x:c>
      <x:c r="Z69" s="10" t="n">
        <x:f>IF(VALUE(L69)&gt;0,1,0)</x:f>
        <x:v>0</x:v>
      </x:c>
      <x:c r="AA69" s="10" t="n">
        <x:f>IF(AND('Raw Results'!$CJ$18="True",'Raw Results'!$CK$18="True"),1,0)</x:f>
        <x:v>1</x:v>
      </x:c>
      <x:c r="AB69" s="10" t="n">
        <x:f>IF(AND(J69=0,Q69=1),1,0)</x:f>
        <x:v>0</x:v>
      </x:c>
      <x:c r="AC69" s="20" t="n">
        <x:f>P69-I69</x:f>
        <x:v>0</x:v>
      </x:c>
      <x:c r="AD69" s="10" t="n">
        <x:f>IF(AND(G69=1,J69=0),1,0)</x:f>
        <x:v>0</x:v>
      </x:c>
      <x:c r="AE69" s="10" t="n">
        <x:f>IF(AND(G69=0,Q69=1),1,0)</x:f>
        <x:v>0</x:v>
      </x:c>
    </x:row>
    <x:row r="70">
      <x:c r="A70" s="10" t="str">
        <x:f>"Grid"</x:f>
        <x:v>Grid</x:v>
      </x:c>
      <x:c r="B70" s="12" t="n">
        <x:f>VALUE('Raw Results'!$A$19)</x:f>
        <x:v>100</x:v>
      </x:c>
      <x:c r="C70" s="14" t="n">
        <x:f>VALUE('Raw Results'!$B$19)</x:f>
        <x:v>0.3</x:v>
      </x:c>
      <x:c r="D70" s="12" t="n">
        <x:f>VALUE('Raw Results'!$C$19)</x:f>
        <x:v>3</x:v>
      </x:c>
      <x:c r="E70" s="12" t="n">
        <x:f>VALUE('Raw Results'!$D$19)</x:f>
        <x:v>4234583871</x:v>
      </x:c>
      <x:c r="F70" s="12" t="n">
        <x:f>VALUE('Raw Results'!$M$19)</x:f>
        <x:v>22</x:v>
      </x:c>
      <x:c r="G70" s="12" t="n">
        <x:f>IF('Raw Results'!$O$19="True",1,0)</x:f>
        <x:v>1</x:v>
      </x:c>
      <x:c r="H70" s="12" t="n">
        <x:f>VALUE('Raw Results'!$R$19)</x:f>
        <x:v>40</x:v>
      </x:c>
      <x:c r="I70" s="12" t="n">
        <x:f>VALUE('Raw Results'!$S$19)</x:f>
        <x:v>21</x:v>
      </x:c>
      <x:c r="J70" s="12" t="n">
        <x:f>IF('Raw Results'!$U$19="True",1,0)</x:f>
        <x:v>1</x:v>
      </x:c>
      <x:c r="K70" s="12" t="n">
        <x:f>VALUE('Raw Results'!$X$19)</x:f>
        <x:v>0</x:v>
      </x:c>
      <x:c r="L70" s="12" t="n">
        <x:f>VALUE('Raw Results'!$Y$19)</x:f>
        <x:v>0</x:v>
      </x:c>
      <x:c r="M70" s="10" t="str">
        <x:f>'Raw Results'!$Z$19</x:f>
      </x:c>
      <x:c r="N70" s="16" t="n">
        <x:f>VALUE('Raw Results'!$AA$19)</x:f>
        <x:v>0.0010095000034198165</x:v>
      </x:c>
      <x:c r="O70" s="12" t="n">
        <x:f>VALUE('Raw Results'!$AB$19)</x:f>
        <x:v>21</x:v>
      </x:c>
      <x:c r="P70" s="12" t="n">
        <x:f>VALUE('Raw Results'!$AC$19)</x:f>
        <x:v>21</x:v>
      </x:c>
      <x:c r="Q70" s="12" t="n">
        <x:f>IF('Raw Results'!$AE$19="True",1,0)</x:f>
        <x:v>1</x:v>
      </x:c>
      <x:c r="R70" s="12" t="n">
        <x:f>VALUE('Raw Results'!$AG$19)</x:f>
        <x:v>0</x:v>
      </x:c>
      <x:c r="S70" s="12" t="n">
        <x:f>VALUE('Raw Results'!$AH$19)</x:f>
        <x:v>0</x:v>
      </x:c>
      <x:c r="T70" s="16" t="n">
        <x:f>VALUE('Raw Results'!$T$19)</x:f>
        <x:v>0.01705439994111657</x:v>
      </x:c>
      <x:c r="U70" s="16" t="n">
        <x:f>VALUE('Raw Results'!$AD$19)</x:f>
        <x:v>0.018063899944536388</x:v>
      </x:c>
      <x:c r="V70" s="18" t="n">
        <x:f>IF(T70=0,0,N70/T70)</x:f>
        <x:v>0.059192935952323125</x:v>
      </x:c>
      <x:c r="W70" s="10" t="n">
        <x:f>IF(AND(G70=1,Q70=1),1,0)</x:f>
        <x:v>1</x:v>
      </x:c>
      <x:c r="X70" s="20" t="n">
        <x:f>IF(W70=1,P70-F70,"")</x:f>
        <x:v>-1</x:v>
      </x:c>
      <x:c r="Y70" s="10" t="str">
        <x:f>IF(W70=0,"excluded",IF(X70&lt;0,"repaired",IF(X70&gt;0,"entropy","tie")))</x:f>
        <x:v>repaired</x:v>
      </x:c>
      <x:c r="Z70" s="10" t="n">
        <x:f>IF(VALUE(L70)&gt;0,1,0)</x:f>
        <x:v>0</x:v>
      </x:c>
      <x:c r="AA70" s="10" t="n">
        <x:f>IF(AND('Raw Results'!$V$19="True",'Raw Results'!$W$19="True"),1,0)</x:f>
        <x:v>1</x:v>
      </x:c>
      <x:c r="AB70" s="10" t="n">
        <x:f>IF(AND(J70=0,Q70=1),1,0)</x:f>
        <x:v>0</x:v>
      </x:c>
      <x:c r="AC70" s="20" t="n">
        <x:f>P70-I70</x:f>
        <x:v>0</x:v>
      </x:c>
      <x:c r="AD70" s="10" t="n">
        <x:f>IF(AND(G70=1,J70=0),1,0)</x:f>
        <x:v>0</x:v>
      </x:c>
      <x:c r="AE70" s="10" t="n">
        <x:f>IF(AND(G70=0,Q70=1),1,0)</x:f>
        <x:v>0</x:v>
      </x:c>
    </x:row>
    <x:row r="71">
      <x:c r="A71" s="10" t="str">
        <x:f>"Circle"</x:f>
        <x:v>Circle</x:v>
      </x:c>
      <x:c r="B71" s="12" t="n">
        <x:f>VALUE('Raw Results'!$A$19)</x:f>
        <x:v>100</x:v>
      </x:c>
      <x:c r="C71" s="14" t="n">
        <x:f>VALUE('Raw Results'!$B$19)</x:f>
        <x:v>0.3</x:v>
      </x:c>
      <x:c r="D71" s="12" t="n">
        <x:f>VALUE('Raw Results'!$C$19)</x:f>
        <x:v>3</x:v>
      </x:c>
      <x:c r="E71" s="12" t="n">
        <x:f>VALUE('Raw Results'!$D$19)</x:f>
        <x:v>4234583871</x:v>
      </x:c>
      <x:c r="F71" s="12" t="n">
        <x:f>VALUE('Raw Results'!$AI$19)</x:f>
        <x:v>19</x:v>
      </x:c>
      <x:c r="G71" s="12" t="n">
        <x:f>IF('Raw Results'!$AK$19="True",1,0)</x:f>
        <x:v>1</x:v>
      </x:c>
      <x:c r="H71" s="12" t="n">
        <x:f>VALUE('Raw Results'!$AN$19)</x:f>
        <x:v>70</x:v>
      </x:c>
      <x:c r="I71" s="12" t="n">
        <x:f>VALUE('Raw Results'!$AO$19)</x:f>
        <x:v>20</x:v>
      </x:c>
      <x:c r="J71" s="12" t="n">
        <x:f>IF('Raw Results'!$AQ$19="True",1,0)</x:f>
        <x:v>1</x:v>
      </x:c>
      <x:c r="K71" s="12" t="n">
        <x:f>VALUE('Raw Results'!$AT$19)</x:f>
        <x:v>0</x:v>
      </x:c>
      <x:c r="L71" s="12" t="n">
        <x:f>VALUE('Raw Results'!$AU$19)</x:f>
        <x:v>0</x:v>
      </x:c>
      <x:c r="M71" s="10" t="str">
        <x:f>'Raw Results'!$AV$19</x:f>
      </x:c>
      <x:c r="N71" s="16" t="n">
        <x:f>VALUE('Raw Results'!$AW$19)</x:f>
        <x:v>0.0009627999970689416</x:v>
      </x:c>
      <x:c r="O71" s="12" t="n">
        <x:f>VALUE('Raw Results'!$AX$19)</x:f>
        <x:v>20</x:v>
      </x:c>
      <x:c r="P71" s="12" t="n">
        <x:f>VALUE('Raw Results'!$AY$19)</x:f>
        <x:v>20</x:v>
      </x:c>
      <x:c r="Q71" s="12" t="n">
        <x:f>IF('Raw Results'!$BA$19="True",1,0)</x:f>
        <x:v>1</x:v>
      </x:c>
      <x:c r="R71" s="12" t="n">
        <x:f>VALUE('Raw Results'!$BC$19)</x:f>
        <x:v>0</x:v>
      </x:c>
      <x:c r="S71" s="12" t="n">
        <x:f>VALUE('Raw Results'!$BD$19)</x:f>
        <x:v>0</x:v>
      </x:c>
      <x:c r="T71" s="16" t="n">
        <x:f>VALUE('Raw Results'!$AP$19)</x:f>
        <x:v>0.014003199990838766</x:v>
      </x:c>
      <x:c r="U71" s="16" t="n">
        <x:f>VALUE('Raw Results'!$AZ$19)</x:f>
        <x:v>0.014965999987907708</x:v>
      </x:c>
      <x:c r="V71" s="18" t="n">
        <x:f>IF(T71=0,0,N71/T71)</x:f>
        <x:v>0.06875571281555849</x:v>
      </x:c>
      <x:c r="W71" s="10" t="n">
        <x:f>IF(AND(G71=1,Q71=1),1,0)</x:f>
        <x:v>1</x:v>
      </x:c>
      <x:c r="X71" s="20" t="n">
        <x:f>IF(W71=1,P71-F71,"")</x:f>
        <x:v>1</x:v>
      </x:c>
      <x:c r="Y71" s="10" t="str">
        <x:f>IF(W71=0,"excluded",IF(X71&lt;0,"repaired",IF(X71&gt;0,"entropy","tie")))</x:f>
        <x:v>entropy</x:v>
      </x:c>
      <x:c r="Z71" s="10" t="n">
        <x:f>IF(VALUE(L71)&gt;0,1,0)</x:f>
        <x:v>0</x:v>
      </x:c>
      <x:c r="AA71" s="10" t="n">
        <x:f>IF(AND('Raw Results'!$AR$19="True",'Raw Results'!$AS$19="True"),1,0)</x:f>
        <x:v>1</x:v>
      </x:c>
      <x:c r="AB71" s="10" t="n">
        <x:f>IF(AND(J71=0,Q71=1),1,0)</x:f>
        <x:v>0</x:v>
      </x:c>
      <x:c r="AC71" s="20" t="n">
        <x:f>P71-I71</x:f>
        <x:v>0</x:v>
      </x:c>
      <x:c r="AD71" s="10" t="n">
        <x:f>IF(AND(G71=1,J71=0),1,0)</x:f>
        <x:v>0</x:v>
      </x:c>
      <x:c r="AE71" s="10" t="n">
        <x:f>IF(AND(G71=0,Q71=1),1,0)</x:f>
        <x:v>0</x:v>
      </x:c>
    </x:row>
    <x:row r="72">
      <x:c r="A72" s="10" t="str">
        <x:f>"Zoomed Square"</x:f>
        <x:v>Zoomed Square</x:v>
      </x:c>
      <x:c r="B72" s="12" t="n">
        <x:f>VALUE('Raw Results'!$A$19)</x:f>
        <x:v>100</x:v>
      </x:c>
      <x:c r="C72" s="14" t="n">
        <x:f>VALUE('Raw Results'!$B$19)</x:f>
        <x:v>0.3</x:v>
      </x:c>
      <x:c r="D72" s="12" t="n">
        <x:f>VALUE('Raw Results'!$C$19)</x:f>
        <x:v>3</x:v>
      </x:c>
      <x:c r="E72" s="12" t="n">
        <x:f>VALUE('Raw Results'!$D$19)</x:f>
        <x:v>4234583871</x:v>
      </x:c>
      <x:c r="F72" s="12" t="n">
        <x:f>VALUE('Raw Results'!$BE$19)</x:f>
        <x:v>20</x:v>
      </x:c>
      <x:c r="G72" s="12" t="n">
        <x:f>IF('Raw Results'!$BG$19="True",1,0)</x:f>
        <x:v>1</x:v>
      </x:c>
      <x:c r="H72" s="12" t="n">
        <x:f>VALUE('Raw Results'!$BJ$19)</x:f>
        <x:v>53</x:v>
      </x:c>
      <x:c r="I72" s="12" t="n">
        <x:f>VALUE('Raw Results'!$BK$19)</x:f>
        <x:v>20</x:v>
      </x:c>
      <x:c r="J72" s="12" t="n">
        <x:f>IF('Raw Results'!$BM$19="True",1,0)</x:f>
        <x:v>1</x:v>
      </x:c>
      <x:c r="K72" s="12" t="n">
        <x:f>VALUE('Raw Results'!$BP$19)</x:f>
        <x:v>0</x:v>
      </x:c>
      <x:c r="L72" s="12" t="n">
        <x:f>VALUE('Raw Results'!$BQ$19)</x:f>
        <x:v>0</x:v>
      </x:c>
      <x:c r="M72" s="10" t="str">
        <x:f>'Raw Results'!$BR$19</x:f>
      </x:c>
      <x:c r="N72" s="16" t="n">
        <x:f>VALUE('Raw Results'!$BS$19)</x:f>
        <x:v>0.0010700999991968274</x:v>
      </x:c>
      <x:c r="O72" s="12" t="n">
        <x:f>VALUE('Raw Results'!$BT$19)</x:f>
        <x:v>20</x:v>
      </x:c>
      <x:c r="P72" s="12" t="n">
        <x:f>VALUE('Raw Results'!$BU$19)</x:f>
        <x:v>20</x:v>
      </x:c>
      <x:c r="Q72" s="12" t="n">
        <x:f>IF('Raw Results'!$BW$19="True",1,0)</x:f>
        <x:v>1</x:v>
      </x:c>
      <x:c r="R72" s="12" t="n">
        <x:f>VALUE('Raw Results'!$BY$19)</x:f>
        <x:v>0</x:v>
      </x:c>
      <x:c r="S72" s="12" t="n">
        <x:f>VALUE('Raw Results'!$BZ$19)</x:f>
        <x:v>0</x:v>
      </x:c>
      <x:c r="T72" s="16" t="n">
        <x:f>VALUE('Raw Results'!$BL$19)</x:f>
        <x:v>0.017072099959477782</x:v>
      </x:c>
      <x:c r="U72" s="16" t="n">
        <x:f>VALUE('Raw Results'!$BV$19)</x:f>
        <x:v>0.01814219995867461</x:v>
      </x:c>
      <x:c r="V72" s="18" t="n">
        <x:f>IF(T72=0,0,N72/T72)</x:f>
        <x:v>0.06268121682375392</x:v>
      </x:c>
      <x:c r="W72" s="10" t="n">
        <x:f>IF(AND(G72=1,Q72=1),1,0)</x:f>
        <x:v>1</x:v>
      </x:c>
      <x:c r="X72" s="20" t="n">
        <x:f>IF(W72=1,P72-F72,"")</x:f>
        <x:v>0</x:v>
      </x:c>
      <x:c r="Y72" s="10" t="str">
        <x:f>IF(W72=0,"excluded",IF(X72&lt;0,"repaired",IF(X72&gt;0,"entropy","tie")))</x:f>
        <x:v>tie</x:v>
      </x:c>
      <x:c r="Z72" s="10" t="n">
        <x:f>IF(VALUE(L72)&gt;0,1,0)</x:f>
        <x:v>0</x:v>
      </x:c>
      <x:c r="AA72" s="10" t="n">
        <x:f>IF(AND('Raw Results'!$BN$19="True",'Raw Results'!$BO$19="True"),1,0)</x:f>
        <x:v>1</x:v>
      </x:c>
      <x:c r="AB72" s="10" t="n">
        <x:f>IF(AND(J72=0,Q72=1),1,0)</x:f>
        <x:v>0</x:v>
      </x:c>
      <x:c r="AC72" s="20" t="n">
        <x:f>P72-I72</x:f>
        <x:v>0</x:v>
      </x:c>
      <x:c r="AD72" s="10" t="n">
        <x:f>IF(AND(G72=1,J72=0),1,0)</x:f>
        <x:v>0</x:v>
      </x:c>
      <x:c r="AE72" s="10" t="n">
        <x:f>IF(AND(G72=0,Q72=1),1,0)</x:f>
        <x:v>0</x:v>
      </x:c>
    </x:row>
    <x:row r="73">
      <x:c r="A73" s="10" t="str">
        <x:f>"ICH"</x:f>
        <x:v>ICH</x:v>
      </x:c>
      <x:c r="B73" s="12" t="n">
        <x:f>VALUE('Raw Results'!$A$19)</x:f>
        <x:v>100</x:v>
      </x:c>
      <x:c r="C73" s="14" t="n">
        <x:f>VALUE('Raw Results'!$B$19)</x:f>
        <x:v>0.3</x:v>
      </x:c>
      <x:c r="D73" s="12" t="n">
        <x:f>VALUE('Raw Results'!$C$19)</x:f>
        <x:v>3</x:v>
      </x:c>
      <x:c r="E73" s="12" t="n">
        <x:f>VALUE('Raw Results'!$D$19)</x:f>
        <x:v>4234583871</x:v>
      </x:c>
      <x:c r="F73" s="12" t="n">
        <x:f>VALUE('Raw Results'!$CA$19)</x:f>
        <x:v>19</x:v>
      </x:c>
      <x:c r="G73" s="12" t="n">
        <x:f>IF('Raw Results'!$CC$19="True",1,0)</x:f>
        <x:v>1</x:v>
      </x:c>
      <x:c r="H73" s="12" t="n">
        <x:f>VALUE('Raw Results'!$CF$19)</x:f>
        <x:v>19</x:v>
      </x:c>
      <x:c r="I73" s="12" t="n">
        <x:f>VALUE('Raw Results'!$CG$19)</x:f>
        <x:v>19</x:v>
      </x:c>
      <x:c r="J73" s="12" t="n">
        <x:f>IF('Raw Results'!$CI$19="True",1,0)</x:f>
        <x:v>1</x:v>
      </x:c>
      <x:c r="K73" s="12" t="n">
        <x:f>VALUE('Raw Results'!$CL$19)</x:f>
        <x:v>0</x:v>
      </x:c>
      <x:c r="L73" s="12" t="n">
        <x:f>VALUE('Raw Results'!$CM$19)</x:f>
        <x:v>0</x:v>
      </x:c>
      <x:c r="M73" s="10" t="str">
        <x:f>'Raw Results'!$CN$19</x:f>
      </x:c>
      <x:c r="N73" s="16" t="n">
        <x:f>VALUE('Raw Results'!$CO$19)</x:f>
        <x:v>0.0019295000238344073</x:v>
      </x:c>
      <x:c r="O73" s="12" t="n">
        <x:f>VALUE('Raw Results'!$CP$19)</x:f>
        <x:v>19</x:v>
      </x:c>
      <x:c r="P73" s="12" t="n">
        <x:f>VALUE('Raw Results'!$CQ$19)</x:f>
        <x:v>19</x:v>
      </x:c>
      <x:c r="Q73" s="12" t="n">
        <x:f>IF('Raw Results'!$CS$19="True",1,0)</x:f>
        <x:v>1</x:v>
      </x:c>
      <x:c r="R73" s="12" t="n">
        <x:f>VALUE('Raw Results'!$CU$19)</x:f>
        <x:v>0</x:v>
      </x:c>
      <x:c r="S73" s="12" t="n">
        <x:f>VALUE('Raw Results'!$CV$19)</x:f>
        <x:v>0</x:v>
      </x:c>
      <x:c r="T73" s="16" t="n">
        <x:f>VALUE('Raw Results'!$CH$19)</x:f>
        <x:v>0.16222769999876618</x:v>
      </x:c>
      <x:c r="U73" s="16" t="n">
        <x:f>VALUE('Raw Results'!$CR$19)</x:f>
        <x:v>0.1641572000226006</x:v>
      </x:c>
      <x:c r="V73" s="18" t="n">
        <x:f>IF(T73=0,0,N73/T73)</x:f>
        <x:v>0.011893776610585504</x:v>
      </x:c>
      <x:c r="W73" s="10" t="n">
        <x:f>IF(AND(G73=1,Q73=1),1,0)</x:f>
        <x:v>1</x:v>
      </x:c>
      <x:c r="X73" s="20" t="n">
        <x:f>IF(W73=1,P73-F73,"")</x:f>
        <x:v>0</x:v>
      </x:c>
      <x:c r="Y73" s="10" t="str">
        <x:f>IF(W73=0,"excluded",IF(X73&lt;0,"repaired",IF(X73&gt;0,"entropy","tie")))</x:f>
        <x:v>tie</x:v>
      </x:c>
      <x:c r="Z73" s="10" t="n">
        <x:f>IF(VALUE(L73)&gt;0,1,0)</x:f>
        <x:v>0</x:v>
      </x:c>
      <x:c r="AA73" s="10" t="n">
        <x:f>IF(AND('Raw Results'!$CJ$19="True",'Raw Results'!$CK$19="True"),1,0)</x:f>
        <x:v>1</x:v>
      </x:c>
      <x:c r="AB73" s="10" t="n">
        <x:f>IF(AND(J73=0,Q73=1),1,0)</x:f>
        <x:v>0</x:v>
      </x:c>
      <x:c r="AC73" s="20" t="n">
        <x:f>P73-I73</x:f>
        <x:v>0</x:v>
      </x:c>
      <x:c r="AD73" s="10" t="n">
        <x:f>IF(AND(G73=1,J73=0),1,0)</x:f>
        <x:v>0</x:v>
      </x:c>
      <x:c r="AE73" s="10" t="n">
        <x:f>IF(AND(G73=0,Q73=1),1,0)</x:f>
        <x:v>0</x:v>
      </x:c>
    </x:row>
    <x:row r="74">
      <x:c r="A74" s="10" t="str">
        <x:f>"Grid"</x:f>
        <x:v>Grid</x:v>
      </x:c>
      <x:c r="B74" s="12" t="n">
        <x:f>VALUE('Raw Results'!$A$20)</x:f>
        <x:v>100</x:v>
      </x:c>
      <x:c r="C74" s="14" t="n">
        <x:f>VALUE('Raw Results'!$B$20)</x:f>
        <x:v>0.5</x:v>
      </x:c>
      <x:c r="D74" s="12" t="n">
        <x:f>VALUE('Raw Results'!$C$20)</x:f>
        <x:v>1</x:v>
      </x:c>
      <x:c r="E74" s="12" t="n">
        <x:f>VALUE('Raw Results'!$D$20)</x:f>
        <x:v>188944305</x:v>
      </x:c>
      <x:c r="F74" s="12" t="n">
        <x:f>VALUE('Raw Results'!$M$20)</x:f>
        <x:v>26</x:v>
      </x:c>
      <x:c r="G74" s="12" t="n">
        <x:f>IF('Raw Results'!$O$20="True",1,0)</x:f>
        <x:v>1</x:v>
      </x:c>
      <x:c r="H74" s="12" t="n">
        <x:f>VALUE('Raw Results'!$R$20)</x:f>
        <x:v>24</x:v>
      </x:c>
      <x:c r="I74" s="12" t="n">
        <x:f>VALUE('Raw Results'!$S$20)</x:f>
        <x:v>24</x:v>
      </x:c>
      <x:c r="J74" s="12" t="n">
        <x:f>IF('Raw Results'!$U$20="True",1,0)</x:f>
        <x:v>1</x:v>
      </x:c>
      <x:c r="K74" s="12" t="n">
        <x:f>VALUE('Raw Results'!$X$20)</x:f>
        <x:v>0</x:v>
      </x:c>
      <x:c r="L74" s="12" t="n">
        <x:f>VALUE('Raw Results'!$Y$20)</x:f>
        <x:v>0</x:v>
      </x:c>
      <x:c r="M74" s="10" t="str">
        <x:f>'Raw Results'!$Z$20</x:f>
      </x:c>
      <x:c r="N74" s="16" t="n">
        <x:f>VALUE('Raw Results'!$AA$20)</x:f>
        <x:v>0.001296199974603951</x:v>
      </x:c>
      <x:c r="O74" s="12" t="n">
        <x:f>VALUE('Raw Results'!$AB$20)</x:f>
        <x:v>24</x:v>
      </x:c>
      <x:c r="P74" s="12" t="n">
        <x:f>VALUE('Raw Results'!$AC$20)</x:f>
        <x:v>24</x:v>
      </x:c>
      <x:c r="Q74" s="12" t="n">
        <x:f>IF('Raw Results'!$AE$20="True",1,0)</x:f>
        <x:v>1</x:v>
      </x:c>
      <x:c r="R74" s="12" t="n">
        <x:f>VALUE('Raw Results'!$AG$20)</x:f>
        <x:v>0</x:v>
      </x:c>
      <x:c r="S74" s="12" t="n">
        <x:f>VALUE('Raw Results'!$AH$20)</x:f>
        <x:v>0</x:v>
      </x:c>
      <x:c r="T74" s="16" t="n">
        <x:f>VALUE('Raw Results'!$T$20)</x:f>
        <x:v>0.08311200002208352</x:v>
      </x:c>
      <x:c r="U74" s="16" t="n">
        <x:f>VALUE('Raw Results'!$AD$20)</x:f>
        <x:v>0.08440819999668747</x:v>
      </x:c>
      <x:c r="V74" s="18" t="n">
        <x:f>IF(T74=0,0,N74/T74)</x:f>
        <x:v>0.015595822194864042</x:v>
      </x:c>
      <x:c r="W74" s="10" t="n">
        <x:f>IF(AND(G74=1,Q74=1),1,0)</x:f>
        <x:v>1</x:v>
      </x:c>
      <x:c r="X74" s="20" t="n">
        <x:f>IF(W74=1,P74-F74,"")</x:f>
        <x:v>-2</x:v>
      </x:c>
      <x:c r="Y74" s="10" t="str">
        <x:f>IF(W74=0,"excluded",IF(X74&lt;0,"repaired",IF(X74&gt;0,"entropy","tie")))</x:f>
        <x:v>repaired</x:v>
      </x:c>
      <x:c r="Z74" s="10" t="n">
        <x:f>IF(VALUE(L74)&gt;0,1,0)</x:f>
        <x:v>0</x:v>
      </x:c>
      <x:c r="AA74" s="10" t="n">
        <x:f>IF(AND('Raw Results'!$V$20="True",'Raw Results'!$W$20="True"),1,0)</x:f>
        <x:v>1</x:v>
      </x:c>
      <x:c r="AB74" s="10" t="n">
        <x:f>IF(AND(J74=0,Q74=1),1,0)</x:f>
        <x:v>0</x:v>
      </x:c>
      <x:c r="AC74" s="20" t="n">
        <x:f>P74-I74</x:f>
        <x:v>0</x:v>
      </x:c>
      <x:c r="AD74" s="10" t="n">
        <x:f>IF(AND(G74=1,J74=0),1,0)</x:f>
        <x:v>0</x:v>
      </x:c>
      <x:c r="AE74" s="10" t="n">
        <x:f>IF(AND(G74=0,Q74=1),1,0)</x:f>
        <x:v>0</x:v>
      </x:c>
    </x:row>
    <x:row r="75">
      <x:c r="A75" s="10" t="str">
        <x:f>"Circle"</x:f>
        <x:v>Circle</x:v>
      </x:c>
      <x:c r="B75" s="12" t="n">
        <x:f>VALUE('Raw Results'!$A$20)</x:f>
        <x:v>100</x:v>
      </x:c>
      <x:c r="C75" s="14" t="n">
        <x:f>VALUE('Raw Results'!$B$20)</x:f>
        <x:v>0.5</x:v>
      </x:c>
      <x:c r="D75" s="12" t="n">
        <x:f>VALUE('Raw Results'!$C$20)</x:f>
        <x:v>1</x:v>
      </x:c>
      <x:c r="E75" s="12" t="n">
        <x:f>VALUE('Raw Results'!$D$20)</x:f>
        <x:v>188944305</x:v>
      </x:c>
      <x:c r="F75" s="12" t="n">
        <x:f>VALUE('Raw Results'!$AI$20)</x:f>
        <x:v>24</x:v>
      </x:c>
      <x:c r="G75" s="12" t="n">
        <x:f>IF('Raw Results'!$AK$20="True",1,0)</x:f>
        <x:v>1</x:v>
      </x:c>
      <x:c r="H75" s="12" t="n">
        <x:f>VALUE('Raw Results'!$AN$20)</x:f>
        <x:v>66</x:v>
      </x:c>
      <x:c r="I75" s="12" t="n">
        <x:f>VALUE('Raw Results'!$AO$20)</x:f>
        <x:v>25</x:v>
      </x:c>
      <x:c r="J75" s="12" t="n">
        <x:f>IF('Raw Results'!$AQ$20="True",1,0)</x:f>
        <x:v>1</x:v>
      </x:c>
      <x:c r="K75" s="12" t="n">
        <x:f>VALUE('Raw Results'!$AT$20)</x:f>
        <x:v>0</x:v>
      </x:c>
      <x:c r="L75" s="12" t="n">
        <x:f>VALUE('Raw Results'!$AU$20)</x:f>
        <x:v>0</x:v>
      </x:c>
      <x:c r="M75" s="10" t="str">
        <x:f>'Raw Results'!$AV$20</x:f>
      </x:c>
      <x:c r="N75" s="16" t="n">
        <x:f>VALUE('Raw Results'!$AW$20)</x:f>
        <x:v>0.0011708000674843788</x:v>
      </x:c>
      <x:c r="O75" s="12" t="n">
        <x:f>VALUE('Raw Results'!$AX$20)</x:f>
        <x:v>25</x:v>
      </x:c>
      <x:c r="P75" s="12" t="n">
        <x:f>VALUE('Raw Results'!$AY$20)</x:f>
        <x:v>25</x:v>
      </x:c>
      <x:c r="Q75" s="12" t="n">
        <x:f>IF('Raw Results'!$BA$20="True",1,0)</x:f>
        <x:v>1</x:v>
      </x:c>
      <x:c r="R75" s="12" t="n">
        <x:f>VALUE('Raw Results'!$BC$20)</x:f>
        <x:v>0</x:v>
      </x:c>
      <x:c r="S75" s="12" t="n">
        <x:f>VALUE('Raw Results'!$BD$20)</x:f>
        <x:v>0</x:v>
      </x:c>
      <x:c r="T75" s="16" t="n">
        <x:f>VALUE('Raw Results'!$AP$20)</x:f>
        <x:v>0.023290200042538345</x:v>
      </x:c>
      <x:c r="U75" s="16" t="n">
        <x:f>VALUE('Raw Results'!$AZ$20)</x:f>
        <x:v>0.024461000110022724</x:v>
      </x:c>
      <x:c r="V75" s="18" t="n">
        <x:f>IF(T75=0,0,N75/T75)</x:f>
        <x:v>0.05027007347923045</x:v>
      </x:c>
      <x:c r="W75" s="10" t="n">
        <x:f>IF(AND(G75=1,Q75=1),1,0)</x:f>
        <x:v>1</x:v>
      </x:c>
      <x:c r="X75" s="20" t="n">
        <x:f>IF(W75=1,P75-F75,"")</x:f>
        <x:v>1</x:v>
      </x:c>
      <x:c r="Y75" s="10" t="str">
        <x:f>IF(W75=0,"excluded",IF(X75&lt;0,"repaired",IF(X75&gt;0,"entropy","tie")))</x:f>
        <x:v>entropy</x:v>
      </x:c>
      <x:c r="Z75" s="10" t="n">
        <x:f>IF(VALUE(L75)&gt;0,1,0)</x:f>
        <x:v>0</x:v>
      </x:c>
      <x:c r="AA75" s="10" t="n">
        <x:f>IF(AND('Raw Results'!$AR$20="True",'Raw Results'!$AS$20="True"),1,0)</x:f>
        <x:v>1</x:v>
      </x:c>
      <x:c r="AB75" s="10" t="n">
        <x:f>IF(AND(J75=0,Q75=1),1,0)</x:f>
        <x:v>0</x:v>
      </x:c>
      <x:c r="AC75" s="20" t="n">
        <x:f>P75-I75</x:f>
        <x:v>0</x:v>
      </x:c>
      <x:c r="AD75" s="10" t="n">
        <x:f>IF(AND(G75=1,J75=0),1,0)</x:f>
        <x:v>0</x:v>
      </x:c>
      <x:c r="AE75" s="10" t="n">
        <x:f>IF(AND(G75=0,Q75=1),1,0)</x:f>
        <x:v>0</x:v>
      </x:c>
    </x:row>
    <x:row r="76">
      <x:c r="A76" s="10" t="str">
        <x:f>"Zoomed Square"</x:f>
        <x:v>Zoomed Square</x:v>
      </x:c>
      <x:c r="B76" s="12" t="n">
        <x:f>VALUE('Raw Results'!$A$20)</x:f>
        <x:v>100</x:v>
      </x:c>
      <x:c r="C76" s="14" t="n">
        <x:f>VALUE('Raw Results'!$B$20)</x:f>
        <x:v>0.5</x:v>
      </x:c>
      <x:c r="D76" s="12" t="n">
        <x:f>VALUE('Raw Results'!$C$20)</x:f>
        <x:v>1</x:v>
      </x:c>
      <x:c r="E76" s="12" t="n">
        <x:f>VALUE('Raw Results'!$D$20)</x:f>
        <x:v>188944305</x:v>
      </x:c>
      <x:c r="F76" s="12" t="n">
        <x:f>VALUE('Raw Results'!$BE$20)</x:f>
        <x:v>28</x:v>
      </x:c>
      <x:c r="G76" s="12" t="n">
        <x:f>IF('Raw Results'!$BG$20="True",1,0)</x:f>
        <x:v>1</x:v>
      </x:c>
      <x:c r="H76" s="12" t="n">
        <x:f>VALUE('Raw Results'!$BJ$20)</x:f>
        <x:v>63</x:v>
      </x:c>
      <x:c r="I76" s="12" t="n">
        <x:f>VALUE('Raw Results'!$BK$20)</x:f>
        <x:v>25</x:v>
      </x:c>
      <x:c r="J76" s="12" t="n">
        <x:f>IF('Raw Results'!$BM$20="True",1,0)</x:f>
        <x:v>1</x:v>
      </x:c>
      <x:c r="K76" s="12" t="n">
        <x:f>VALUE('Raw Results'!$BP$20)</x:f>
        <x:v>0</x:v>
      </x:c>
      <x:c r="L76" s="12" t="n">
        <x:f>VALUE('Raw Results'!$BQ$20)</x:f>
        <x:v>0</x:v>
      </x:c>
      <x:c r="M76" s="10" t="str">
        <x:f>'Raw Results'!$BR$20</x:f>
      </x:c>
      <x:c r="N76" s="16" t="n">
        <x:f>VALUE('Raw Results'!$BS$20)</x:f>
        <x:v>0.0013150000013411045</x:v>
      </x:c>
      <x:c r="O76" s="12" t="n">
        <x:f>VALUE('Raw Results'!$BT$20)</x:f>
        <x:v>25</x:v>
      </x:c>
      <x:c r="P76" s="12" t="n">
        <x:f>VALUE('Raw Results'!$BU$20)</x:f>
        <x:v>25</x:v>
      </x:c>
      <x:c r="Q76" s="12" t="n">
        <x:f>IF('Raw Results'!$BW$20="True",1,0)</x:f>
        <x:v>1</x:v>
      </x:c>
      <x:c r="R76" s="12" t="n">
        <x:f>VALUE('Raw Results'!$BY$20)</x:f>
        <x:v>0</x:v>
      </x:c>
      <x:c r="S76" s="12" t="n">
        <x:f>VALUE('Raw Results'!$BZ$20)</x:f>
        <x:v>0</x:v>
      </x:c>
      <x:c r="T76" s="16" t="n">
        <x:f>VALUE('Raw Results'!$BL$20)</x:f>
        <x:v>0.030866799992509186</x:v>
      </x:c>
      <x:c r="U76" s="16" t="n">
        <x:f>VALUE('Raw Results'!$BV$20)</x:f>
        <x:v>0.03218179999385029</x:v>
      </x:c>
      <x:c r="V76" s="18" t="n">
        <x:f>IF(T76=0,0,N76/T76)</x:f>
        <x:v>0.04260240781876421</x:v>
      </x:c>
      <x:c r="W76" s="10" t="n">
        <x:f>IF(AND(G76=1,Q76=1),1,0)</x:f>
        <x:v>1</x:v>
      </x:c>
      <x:c r="X76" s="20" t="n">
        <x:f>IF(W76=1,P76-F76,"")</x:f>
        <x:v>-3</x:v>
      </x:c>
      <x:c r="Y76" s="10" t="str">
        <x:f>IF(W76=0,"excluded",IF(X76&lt;0,"repaired",IF(X76&gt;0,"entropy","tie")))</x:f>
        <x:v>repaired</x:v>
      </x:c>
      <x:c r="Z76" s="10" t="n">
        <x:f>IF(VALUE(L76)&gt;0,1,0)</x:f>
        <x:v>0</x:v>
      </x:c>
      <x:c r="AA76" s="10" t="n">
        <x:f>IF(AND('Raw Results'!$BN$20="True",'Raw Results'!$BO$20="True"),1,0)</x:f>
        <x:v>1</x:v>
      </x:c>
      <x:c r="AB76" s="10" t="n">
        <x:f>IF(AND(J76=0,Q76=1),1,0)</x:f>
        <x:v>0</x:v>
      </x:c>
      <x:c r="AC76" s="20" t="n">
        <x:f>P76-I76</x:f>
        <x:v>0</x:v>
      </x:c>
      <x:c r="AD76" s="10" t="n">
        <x:f>IF(AND(G76=1,J76=0),1,0)</x:f>
        <x:v>0</x:v>
      </x:c>
      <x:c r="AE76" s="10" t="n">
        <x:f>IF(AND(G76=0,Q76=1),1,0)</x:f>
        <x:v>0</x:v>
      </x:c>
    </x:row>
    <x:row r="77">
      <x:c r="A77" s="10" t="str">
        <x:f>"ICH"</x:f>
        <x:v>ICH</x:v>
      </x:c>
      <x:c r="B77" s="12" t="n">
        <x:f>VALUE('Raw Results'!$A$20)</x:f>
        <x:v>100</x:v>
      </x:c>
      <x:c r="C77" s="14" t="n">
        <x:f>VALUE('Raw Results'!$B$20)</x:f>
        <x:v>0.5</x:v>
      </x:c>
      <x:c r="D77" s="12" t="n">
        <x:f>VALUE('Raw Results'!$C$20)</x:f>
        <x:v>1</x:v>
      </x:c>
      <x:c r="E77" s="12" t="n">
        <x:f>VALUE('Raw Results'!$D$20)</x:f>
        <x:v>188944305</x:v>
      </x:c>
      <x:c r="F77" s="12" t="n">
        <x:f>VALUE('Raw Results'!$CA$20)</x:f>
        <x:v>24</x:v>
      </x:c>
      <x:c r="G77" s="12" t="n">
        <x:f>IF('Raw Results'!$CC$20="True",1,0)</x:f>
        <x:v>1</x:v>
      </x:c>
      <x:c r="H77" s="12" t="n">
        <x:f>VALUE('Raw Results'!$CF$20)</x:f>
        <x:v>23</x:v>
      </x:c>
      <x:c r="I77" s="12" t="n">
        <x:f>VALUE('Raw Results'!$CG$20)</x:f>
        <x:v>23</x:v>
      </x:c>
      <x:c r="J77" s="12" t="n">
        <x:f>IF('Raw Results'!$CI$20="True",1,0)</x:f>
        <x:v>1</x:v>
      </x:c>
      <x:c r="K77" s="12" t="n">
        <x:f>VALUE('Raw Results'!$CL$20)</x:f>
        <x:v>0</x:v>
      </x:c>
      <x:c r="L77" s="12" t="n">
        <x:f>VALUE('Raw Results'!$CM$20)</x:f>
        <x:v>0</x:v>
      </x:c>
      <x:c r="M77" s="10" t="str">
        <x:f>'Raw Results'!$CN$20</x:f>
      </x:c>
      <x:c r="N77" s="16" t="n">
        <x:f>VALUE('Raw Results'!$CO$20)</x:f>
        <x:v>0.001029500039294362</x:v>
      </x:c>
      <x:c r="O77" s="12" t="n">
        <x:f>VALUE('Raw Results'!$CP$20)</x:f>
        <x:v>23</x:v>
      </x:c>
      <x:c r="P77" s="12" t="n">
        <x:f>VALUE('Raw Results'!$CQ$20)</x:f>
        <x:v>23</x:v>
      </x:c>
      <x:c r="Q77" s="12" t="n">
        <x:f>IF('Raw Results'!$CS$20="True",1,0)</x:f>
        <x:v>1</x:v>
      </x:c>
      <x:c r="R77" s="12" t="n">
        <x:f>VALUE('Raw Results'!$CU$20)</x:f>
        <x:v>0</x:v>
      </x:c>
      <x:c r="S77" s="12" t="n">
        <x:f>VALUE('Raw Results'!$CV$20)</x:f>
        <x:v>0</x:v>
      </x:c>
      <x:c r="T77" s="16" t="n">
        <x:f>VALUE('Raw Results'!$CH$20)</x:f>
        <x:v>0.19719750003423542</x:v>
      </x:c>
      <x:c r="U77" s="16" t="n">
        <x:f>VALUE('Raw Results'!$CR$20)</x:f>
        <x:v>0.19822700007352978</x:v>
      </x:c>
      <x:c r="V77" s="18" t="n">
        <x:f>IF(T77=0,0,N77/T77)</x:f>
        <x:v>0.005220654618418747</x:v>
      </x:c>
      <x:c r="W77" s="10" t="n">
        <x:f>IF(AND(G77=1,Q77=1),1,0)</x:f>
        <x:v>1</x:v>
      </x:c>
      <x:c r="X77" s="20" t="n">
        <x:f>IF(W77=1,P77-F77,"")</x:f>
        <x:v>-1</x:v>
      </x:c>
      <x:c r="Y77" s="10" t="str">
        <x:f>IF(W77=0,"excluded",IF(X77&lt;0,"repaired",IF(X77&gt;0,"entropy","tie")))</x:f>
        <x:v>repaired</x:v>
      </x:c>
      <x:c r="Z77" s="10" t="n">
        <x:f>IF(VALUE(L77)&gt;0,1,0)</x:f>
        <x:v>0</x:v>
      </x:c>
      <x:c r="AA77" s="10" t="n">
        <x:f>IF(AND('Raw Results'!$CJ$20="True",'Raw Results'!$CK$20="True"),1,0)</x:f>
        <x:v>1</x:v>
      </x:c>
      <x:c r="AB77" s="10" t="n">
        <x:f>IF(AND(J77=0,Q77=1),1,0)</x:f>
        <x:v>0</x:v>
      </x:c>
      <x:c r="AC77" s="20" t="n">
        <x:f>P77-I77</x:f>
        <x:v>0</x:v>
      </x:c>
      <x:c r="AD77" s="10" t="n">
        <x:f>IF(AND(G77=1,J77=0),1,0)</x:f>
        <x:v>0</x:v>
      </x:c>
      <x:c r="AE77" s="10" t="n">
        <x:f>IF(AND(G77=0,Q77=1),1,0)</x:f>
        <x:v>0</x:v>
      </x:c>
    </x:row>
    <x:row r="78">
      <x:c r="A78" s="10" t="str">
        <x:f>"Grid"</x:f>
        <x:v>Grid</x:v>
      </x:c>
      <x:c r="B78" s="12" t="n">
        <x:f>VALUE('Raw Results'!$A$21)</x:f>
        <x:v>100</x:v>
      </x:c>
      <x:c r="C78" s="14" t="n">
        <x:f>VALUE('Raw Results'!$B$21)</x:f>
        <x:v>0.5</x:v>
      </x:c>
      <x:c r="D78" s="12" t="n">
        <x:f>VALUE('Raw Results'!$C$21)</x:f>
        <x:v>2</x:v>
      </x:c>
      <x:c r="E78" s="12" t="n">
        <x:f>VALUE('Raw Results'!$D$21)</x:f>
        <x:v>1744016034</x:v>
      </x:c>
      <x:c r="F78" s="12" t="n">
        <x:f>VALUE('Raw Results'!$M$21)</x:f>
        <x:v>26</x:v>
      </x:c>
      <x:c r="G78" s="12" t="n">
        <x:f>IF('Raw Results'!$O$21="True",1,0)</x:f>
        <x:v>1</x:v>
      </x:c>
      <x:c r="H78" s="12" t="n">
        <x:f>VALUE('Raw Results'!$R$21)</x:f>
        <x:v>24</x:v>
      </x:c>
      <x:c r="I78" s="12" t="n">
        <x:f>VALUE('Raw Results'!$S$21)</x:f>
        <x:v>22</x:v>
      </x:c>
      <x:c r="J78" s="12" t="n">
        <x:f>IF('Raw Results'!$U$21="True",1,0)</x:f>
        <x:v>1</x:v>
      </x:c>
      <x:c r="K78" s="12" t="n">
        <x:f>VALUE('Raw Results'!$X$21)</x:f>
        <x:v>0</x:v>
      </x:c>
      <x:c r="L78" s="12" t="n">
        <x:f>VALUE('Raw Results'!$Y$21)</x:f>
        <x:v>0</x:v>
      </x:c>
      <x:c r="M78" s="10" t="str">
        <x:f>'Raw Results'!$Z$21</x:f>
      </x:c>
      <x:c r="N78" s="16" t="n">
        <x:f>VALUE('Raw Results'!$AA$21)</x:f>
        <x:v>0.0010495999595150352</x:v>
      </x:c>
      <x:c r="O78" s="12" t="n">
        <x:f>VALUE('Raw Results'!$AB$21)</x:f>
        <x:v>22</x:v>
      </x:c>
      <x:c r="P78" s="12" t="n">
        <x:f>VALUE('Raw Results'!$AC$21)</x:f>
        <x:v>22</x:v>
      </x:c>
      <x:c r="Q78" s="12" t="n">
        <x:f>IF('Raw Results'!$AE$21="True",1,0)</x:f>
        <x:v>1</x:v>
      </x:c>
      <x:c r="R78" s="12" t="n">
        <x:f>VALUE('Raw Results'!$AG$21)</x:f>
        <x:v>0</x:v>
      </x:c>
      <x:c r="S78" s="12" t="n">
        <x:f>VALUE('Raw Results'!$AH$21)</x:f>
        <x:v>0</x:v>
      </x:c>
      <x:c r="T78" s="16" t="n">
        <x:f>VALUE('Raw Results'!$T$21)</x:f>
        <x:v>0.08015359996352345</x:v>
      </x:c>
      <x:c r="U78" s="16" t="n">
        <x:f>VALUE('Raw Results'!$AD$21)</x:f>
        <x:v>0.08120319992303848</x:v>
      </x:c>
      <x:c r="V78" s="18" t="n">
        <x:f>IF(T78=0,0,N78/T78)</x:f>
        <x:v>0.013094857373751028</x:v>
      </x:c>
      <x:c r="W78" s="10" t="n">
        <x:f>IF(AND(G78=1,Q78=1),1,0)</x:f>
        <x:v>1</x:v>
      </x:c>
      <x:c r="X78" s="20" t="n">
        <x:f>IF(W78=1,P78-F78,"")</x:f>
        <x:v>-4</x:v>
      </x:c>
      <x:c r="Y78" s="10" t="str">
        <x:f>IF(W78=0,"excluded",IF(X78&lt;0,"repaired",IF(X78&gt;0,"entropy","tie")))</x:f>
        <x:v>repaired</x:v>
      </x:c>
      <x:c r="Z78" s="10" t="n">
        <x:f>IF(VALUE(L78)&gt;0,1,0)</x:f>
        <x:v>0</x:v>
      </x:c>
      <x:c r="AA78" s="10" t="n">
        <x:f>IF(AND('Raw Results'!$V$21="True",'Raw Results'!$W$21="True"),1,0)</x:f>
        <x:v>1</x:v>
      </x:c>
      <x:c r="AB78" s="10" t="n">
        <x:f>IF(AND(J78=0,Q78=1),1,0)</x:f>
        <x:v>0</x:v>
      </x:c>
      <x:c r="AC78" s="20" t="n">
        <x:f>P78-I78</x:f>
        <x:v>0</x:v>
      </x:c>
      <x:c r="AD78" s="10" t="n">
        <x:f>IF(AND(G78=1,J78=0),1,0)</x:f>
        <x:v>0</x:v>
      </x:c>
      <x:c r="AE78" s="10" t="n">
        <x:f>IF(AND(G78=0,Q78=1),1,0)</x:f>
        <x:v>0</x:v>
      </x:c>
    </x:row>
    <x:row r="79">
      <x:c r="A79" s="10" t="str">
        <x:f>"Circle"</x:f>
        <x:v>Circle</x:v>
      </x:c>
      <x:c r="B79" s="12" t="n">
        <x:f>VALUE('Raw Results'!$A$21)</x:f>
        <x:v>100</x:v>
      </x:c>
      <x:c r="C79" s="14" t="n">
        <x:f>VALUE('Raw Results'!$B$21)</x:f>
        <x:v>0.5</x:v>
      </x:c>
      <x:c r="D79" s="12" t="n">
        <x:f>VALUE('Raw Results'!$C$21)</x:f>
        <x:v>2</x:v>
      </x:c>
      <x:c r="E79" s="12" t="n">
        <x:f>VALUE('Raw Results'!$D$21)</x:f>
        <x:v>1744016034</x:v>
      </x:c>
      <x:c r="F79" s="12" t="n">
        <x:f>VALUE('Raw Results'!$AI$21)</x:f>
        <x:v>29</x:v>
      </x:c>
      <x:c r="G79" s="12" t="n">
        <x:f>IF('Raw Results'!$AK$21="True",1,0)</x:f>
        <x:v>1</x:v>
      </x:c>
      <x:c r="H79" s="12" t="n">
        <x:f>VALUE('Raw Results'!$AN$21)</x:f>
        <x:v>64</x:v>
      </x:c>
      <x:c r="I79" s="12" t="n">
        <x:f>VALUE('Raw Results'!$AO$21)</x:f>
        <x:v>27</x:v>
      </x:c>
      <x:c r="J79" s="12" t="n">
        <x:f>IF('Raw Results'!$AQ$21="True",1,0)</x:f>
        <x:v>1</x:v>
      </x:c>
      <x:c r="K79" s="12" t="n">
        <x:f>VALUE('Raw Results'!$AT$21)</x:f>
        <x:v>0</x:v>
      </x:c>
      <x:c r="L79" s="12" t="n">
        <x:f>VALUE('Raw Results'!$AU$21)</x:f>
        <x:v>0</x:v>
      </x:c>
      <x:c r="M79" s="10" t="str">
        <x:f>'Raw Results'!$AV$21</x:f>
      </x:c>
      <x:c r="N79" s="16" t="n">
        <x:f>VALUE('Raw Results'!$AW$21)</x:f>
        <x:v>0.0014582000439986587</x:v>
      </x:c>
      <x:c r="O79" s="12" t="n">
        <x:f>VALUE('Raw Results'!$AX$21)</x:f>
        <x:v>27</x:v>
      </x:c>
      <x:c r="P79" s="12" t="n">
        <x:f>VALUE('Raw Results'!$AY$21)</x:f>
        <x:v>27</x:v>
      </x:c>
      <x:c r="Q79" s="12" t="n">
        <x:f>IF('Raw Results'!$BA$21="True",1,0)</x:f>
        <x:v>1</x:v>
      </x:c>
      <x:c r="R79" s="12" t="n">
        <x:f>VALUE('Raw Results'!$BC$21)</x:f>
        <x:v>0</x:v>
      </x:c>
      <x:c r="S79" s="12" t="n">
        <x:f>VALUE('Raw Results'!$BD$21)</x:f>
        <x:v>0</x:v>
      </x:c>
      <x:c r="T79" s="16" t="n">
        <x:f>VALUE('Raw Results'!$AP$21)</x:f>
        <x:v>0.022301000077277422</x:v>
      </x:c>
      <x:c r="U79" s="16" t="n">
        <x:f>VALUE('Raw Results'!$AZ$21)</x:f>
        <x:v>0.02375920012127608</x:v>
      </x:c>
      <x:c r="V79" s="18" t="n">
        <x:f>IF(T79=0,0,N79/T79)</x:f>
        <x:v>0.06538720411397266</x:v>
      </x:c>
      <x:c r="W79" s="10" t="n">
        <x:f>IF(AND(G79=1,Q79=1),1,0)</x:f>
        <x:v>1</x:v>
      </x:c>
      <x:c r="X79" s="20" t="n">
        <x:f>IF(W79=1,P79-F79,"")</x:f>
        <x:v>-2</x:v>
      </x:c>
      <x:c r="Y79" s="10" t="str">
        <x:f>IF(W79=0,"excluded",IF(X79&lt;0,"repaired",IF(X79&gt;0,"entropy","tie")))</x:f>
        <x:v>repaired</x:v>
      </x:c>
      <x:c r="Z79" s="10" t="n">
        <x:f>IF(VALUE(L79)&gt;0,1,0)</x:f>
        <x:v>0</x:v>
      </x:c>
      <x:c r="AA79" s="10" t="n">
        <x:f>IF(AND('Raw Results'!$AR$21="True",'Raw Results'!$AS$21="True"),1,0)</x:f>
        <x:v>1</x:v>
      </x:c>
      <x:c r="AB79" s="10" t="n">
        <x:f>IF(AND(J79=0,Q79=1),1,0)</x:f>
        <x:v>0</x:v>
      </x:c>
      <x:c r="AC79" s="20" t="n">
        <x:f>P79-I79</x:f>
        <x:v>0</x:v>
      </x:c>
      <x:c r="AD79" s="10" t="n">
        <x:f>IF(AND(G79=1,J79=0),1,0)</x:f>
        <x:v>0</x:v>
      </x:c>
      <x:c r="AE79" s="10" t="n">
        <x:f>IF(AND(G79=0,Q79=1),1,0)</x:f>
        <x:v>0</x:v>
      </x:c>
    </x:row>
    <x:row r="80">
      <x:c r="A80" s="10" t="str">
        <x:f>"Zoomed Square"</x:f>
        <x:v>Zoomed Square</x:v>
      </x:c>
      <x:c r="B80" s="12" t="n">
        <x:f>VALUE('Raw Results'!$A$21)</x:f>
        <x:v>100</x:v>
      </x:c>
      <x:c r="C80" s="14" t="n">
        <x:f>VALUE('Raw Results'!$B$21)</x:f>
        <x:v>0.5</x:v>
      </x:c>
      <x:c r="D80" s="12" t="n">
        <x:f>VALUE('Raw Results'!$C$21)</x:f>
        <x:v>2</x:v>
      </x:c>
      <x:c r="E80" s="12" t="n">
        <x:f>VALUE('Raw Results'!$D$21)</x:f>
        <x:v>1744016034</x:v>
      </x:c>
      <x:c r="F80" s="12" t="n">
        <x:f>VALUE('Raw Results'!$BE$21)</x:f>
        <x:v>28</x:v>
      </x:c>
      <x:c r="G80" s="12" t="n">
        <x:f>IF('Raw Results'!$BG$21="True",1,0)</x:f>
        <x:v>1</x:v>
      </x:c>
      <x:c r="H80" s="12" t="n">
        <x:f>VALUE('Raw Results'!$BJ$21)</x:f>
        <x:v>42</x:v>
      </x:c>
      <x:c r="I80" s="12" t="n">
        <x:f>VALUE('Raw Results'!$BK$21)</x:f>
        <x:v>29</x:v>
      </x:c>
      <x:c r="J80" s="12" t="n">
        <x:f>IF('Raw Results'!$BM$21="True",1,0)</x:f>
        <x:v>1</x:v>
      </x:c>
      <x:c r="K80" s="12" t="n">
        <x:f>VALUE('Raw Results'!$BP$21)</x:f>
        <x:v>0</x:v>
      </x:c>
      <x:c r="L80" s="12" t="n">
        <x:f>VALUE('Raw Results'!$BQ$21)</x:f>
        <x:v>0</x:v>
      </x:c>
      <x:c r="M80" s="10" t="str">
        <x:f>'Raw Results'!$BR$21</x:f>
      </x:c>
      <x:c r="N80" s="16" t="n">
        <x:f>VALUE('Raw Results'!$BS$21)</x:f>
        <x:v>0.0019385999767109752</x:v>
      </x:c>
      <x:c r="O80" s="12" t="n">
        <x:f>VALUE('Raw Results'!$BT$21)</x:f>
        <x:v>29</x:v>
      </x:c>
      <x:c r="P80" s="12" t="n">
        <x:f>VALUE('Raw Results'!$BU$21)</x:f>
        <x:v>29</x:v>
      </x:c>
      <x:c r="Q80" s="12" t="n">
        <x:f>IF('Raw Results'!$BW$21="True",1,0)</x:f>
        <x:v>1</x:v>
      </x:c>
      <x:c r="R80" s="12" t="n">
        <x:f>VALUE('Raw Results'!$BY$21)</x:f>
        <x:v>0</x:v>
      </x:c>
      <x:c r="S80" s="12" t="n">
        <x:f>VALUE('Raw Results'!$BZ$21)</x:f>
        <x:v>0</x:v>
      </x:c>
      <x:c r="T80" s="16" t="n">
        <x:f>VALUE('Raw Results'!$BL$21)</x:f>
        <x:v>0.04171270004007965</x:v>
      </x:c>
      <x:c r="U80" s="16" t="n">
        <x:f>VALUE('Raw Results'!$BV$21)</x:f>
        <x:v>0.04365130001679063</x:v>
      </x:c>
      <x:c r="V80" s="18" t="n">
        <x:f>IF(T80=0,0,N80/T80)</x:f>
        <x:v>0.04647505375696781</x:v>
      </x:c>
      <x:c r="W80" s="10" t="n">
        <x:f>IF(AND(G80=1,Q80=1),1,0)</x:f>
        <x:v>1</x:v>
      </x:c>
      <x:c r="X80" s="20" t="n">
        <x:f>IF(W80=1,P80-F80,"")</x:f>
        <x:v>1</x:v>
      </x:c>
      <x:c r="Y80" s="10" t="str">
        <x:f>IF(W80=0,"excluded",IF(X80&lt;0,"repaired",IF(X80&gt;0,"entropy","tie")))</x:f>
        <x:v>entropy</x:v>
      </x:c>
      <x:c r="Z80" s="10" t="n">
        <x:f>IF(VALUE(L80)&gt;0,1,0)</x:f>
        <x:v>0</x:v>
      </x:c>
      <x:c r="AA80" s="10" t="n">
        <x:f>IF(AND('Raw Results'!$BN$21="True",'Raw Results'!$BO$21="True"),1,0)</x:f>
        <x:v>1</x:v>
      </x:c>
      <x:c r="AB80" s="10" t="n">
        <x:f>IF(AND(J80=0,Q80=1),1,0)</x:f>
        <x:v>0</x:v>
      </x:c>
      <x:c r="AC80" s="20" t="n">
        <x:f>P80-I80</x:f>
        <x:v>0</x:v>
      </x:c>
      <x:c r="AD80" s="10" t="n">
        <x:f>IF(AND(G80=1,J80=0),1,0)</x:f>
        <x:v>0</x:v>
      </x:c>
      <x:c r="AE80" s="10" t="n">
        <x:f>IF(AND(G80=0,Q80=1),1,0)</x:f>
        <x:v>0</x:v>
      </x:c>
    </x:row>
    <x:row r="81">
      <x:c r="A81" s="10" t="str">
        <x:f>"ICH"</x:f>
        <x:v>ICH</x:v>
      </x:c>
      <x:c r="B81" s="12" t="n">
        <x:f>VALUE('Raw Results'!$A$21)</x:f>
        <x:v>100</x:v>
      </x:c>
      <x:c r="C81" s="14" t="n">
        <x:f>VALUE('Raw Results'!$B$21)</x:f>
        <x:v>0.5</x:v>
      </x:c>
      <x:c r="D81" s="12" t="n">
        <x:f>VALUE('Raw Results'!$C$21)</x:f>
        <x:v>2</x:v>
      </x:c>
      <x:c r="E81" s="12" t="n">
        <x:f>VALUE('Raw Results'!$D$21)</x:f>
        <x:v>1744016034</x:v>
      </x:c>
      <x:c r="F81" s="12" t="n">
        <x:f>VALUE('Raw Results'!$CA$21)</x:f>
        <x:v>24</x:v>
      </x:c>
      <x:c r="G81" s="12" t="n">
        <x:f>IF('Raw Results'!$CC$21="True",1,0)</x:f>
        <x:v>1</x:v>
      </x:c>
      <x:c r="H81" s="12" t="n">
        <x:f>VALUE('Raw Results'!$CF$21)</x:f>
        <x:v>22</x:v>
      </x:c>
      <x:c r="I81" s="12" t="n">
        <x:f>VALUE('Raw Results'!$CG$21)</x:f>
        <x:v>22</x:v>
      </x:c>
      <x:c r="J81" s="12" t="n">
        <x:f>IF('Raw Results'!$CI$21="True",1,0)</x:f>
        <x:v>1</x:v>
      </x:c>
      <x:c r="K81" s="12" t="n">
        <x:f>VALUE('Raw Results'!$CL$21)</x:f>
        <x:v>0</x:v>
      </x:c>
      <x:c r="L81" s="12" t="n">
        <x:f>VALUE('Raw Results'!$CM$21)</x:f>
        <x:v>0</x:v>
      </x:c>
      <x:c r="M81" s="10" t="str">
        <x:f>'Raw Results'!$CN$21</x:f>
      </x:c>
      <x:c r="N81" s="16" t="n">
        <x:f>VALUE('Raw Results'!$CO$21)</x:f>
        <x:v>0.0010513999732211232</x:v>
      </x:c>
      <x:c r="O81" s="12" t="n">
        <x:f>VALUE('Raw Results'!$CP$21)</x:f>
        <x:v>22</x:v>
      </x:c>
      <x:c r="P81" s="12" t="n">
        <x:f>VALUE('Raw Results'!$CQ$21)</x:f>
        <x:v>22</x:v>
      </x:c>
      <x:c r="Q81" s="12" t="n">
        <x:f>IF('Raw Results'!$CS$21="True",1,0)</x:f>
        <x:v>1</x:v>
      </x:c>
      <x:c r="R81" s="12" t="n">
        <x:f>VALUE('Raw Results'!$CU$21)</x:f>
        <x:v>0</x:v>
      </x:c>
      <x:c r="S81" s="12" t="n">
        <x:f>VALUE('Raw Results'!$CV$21)</x:f>
        <x:v>0</x:v>
      </x:c>
      <x:c r="T81" s="16" t="n">
        <x:f>VALUE('Raw Results'!$CH$21)</x:f>
        <x:v>0.1742384999524802</x:v>
      </x:c>
      <x:c r="U81" s="16" t="n">
        <x:f>VALUE('Raw Results'!$CR$21)</x:f>
        <x:v>0.17528989992570132</x:v>
      </x:c>
      <x:c r="V81" s="18" t="n">
        <x:f>IF(T81=0,0,N81/T81)</x:f>
        <x:v>0.0060342574890616596</x:v>
      </x:c>
      <x:c r="W81" s="10" t="n">
        <x:f>IF(AND(G81=1,Q81=1),1,0)</x:f>
        <x:v>1</x:v>
      </x:c>
      <x:c r="X81" s="20" t="n">
        <x:f>IF(W81=1,P81-F81,"")</x:f>
        <x:v>-2</x:v>
      </x:c>
      <x:c r="Y81" s="10" t="str">
        <x:f>IF(W81=0,"excluded",IF(X81&lt;0,"repaired",IF(X81&gt;0,"entropy","tie")))</x:f>
        <x:v>repaired</x:v>
      </x:c>
      <x:c r="Z81" s="10" t="n">
        <x:f>IF(VALUE(L81)&gt;0,1,0)</x:f>
        <x:v>0</x:v>
      </x:c>
      <x:c r="AA81" s="10" t="n">
        <x:f>IF(AND('Raw Results'!$CJ$21="True",'Raw Results'!$CK$21="True"),1,0)</x:f>
        <x:v>1</x:v>
      </x:c>
      <x:c r="AB81" s="10" t="n">
        <x:f>IF(AND(J81=0,Q81=1),1,0)</x:f>
        <x:v>0</x:v>
      </x:c>
      <x:c r="AC81" s="20" t="n">
        <x:f>P81-I81</x:f>
        <x:v>0</x:v>
      </x:c>
      <x:c r="AD81" s="10" t="n">
        <x:f>IF(AND(G81=1,J81=0),1,0)</x:f>
        <x:v>0</x:v>
      </x:c>
      <x:c r="AE81" s="10" t="n">
        <x:f>IF(AND(G81=0,Q81=1),1,0)</x:f>
        <x:v>0</x:v>
      </x:c>
    </x:row>
    <x:row r="82">
      <x:c r="A82" s="10" t="str">
        <x:f>"Grid"</x:f>
        <x:v>Grid</x:v>
      </x:c>
      <x:c r="B82" s="12" t="n">
        <x:f>VALUE('Raw Results'!$A$22)</x:f>
        <x:v>100</x:v>
      </x:c>
      <x:c r="C82" s="14" t="n">
        <x:f>VALUE('Raw Results'!$B$22)</x:f>
        <x:v>0.5</x:v>
      </x:c>
      <x:c r="D82" s="12" t="n">
        <x:f>VALUE('Raw Results'!$C$22)</x:f>
        <x:v>3</x:v>
      </x:c>
      <x:c r="E82" s="12" t="n">
        <x:f>VALUE('Raw Results'!$D$22)</x:f>
        <x:v>2509545635</x:v>
      </x:c>
      <x:c r="F82" s="12" t="n">
        <x:f>VALUE('Raw Results'!$M$22)</x:f>
        <x:v>23</x:v>
      </x:c>
      <x:c r="G82" s="12" t="n">
        <x:f>IF('Raw Results'!$O$22="True",1,0)</x:f>
        <x:v>1</x:v>
      </x:c>
      <x:c r="H82" s="12" t="n">
        <x:f>VALUE('Raw Results'!$R$22)</x:f>
        <x:v>21</x:v>
      </x:c>
      <x:c r="I82" s="12" t="n">
        <x:f>VALUE('Raw Results'!$S$22)</x:f>
        <x:v>21</x:v>
      </x:c>
      <x:c r="J82" s="12" t="n">
        <x:f>IF('Raw Results'!$U$22="True",1,0)</x:f>
        <x:v>1</x:v>
      </x:c>
      <x:c r="K82" s="12" t="n">
        <x:f>VALUE('Raw Results'!$X$22)</x:f>
        <x:v>0</x:v>
      </x:c>
      <x:c r="L82" s="12" t="n">
        <x:f>VALUE('Raw Results'!$Y$22)</x:f>
        <x:v>0</x:v>
      </x:c>
      <x:c r="M82" s="10" t="str">
        <x:f>'Raw Results'!$Z$22</x:f>
      </x:c>
      <x:c r="N82" s="16" t="n">
        <x:f>VALUE('Raw Results'!$AA$22)</x:f>
        <x:v>0.001043599913828075</x:v>
      </x:c>
      <x:c r="O82" s="12" t="n">
        <x:f>VALUE('Raw Results'!$AB$22)</x:f>
        <x:v>21</x:v>
      </x:c>
      <x:c r="P82" s="12" t="n">
        <x:f>VALUE('Raw Results'!$AC$22)</x:f>
        <x:v>21</x:v>
      </x:c>
      <x:c r="Q82" s="12" t="n">
        <x:f>IF('Raw Results'!$AE$22="True",1,0)</x:f>
        <x:v>1</x:v>
      </x:c>
      <x:c r="R82" s="12" t="n">
        <x:f>VALUE('Raw Results'!$AG$22)</x:f>
        <x:v>0</x:v>
      </x:c>
      <x:c r="S82" s="12" t="n">
        <x:f>VALUE('Raw Results'!$AH$22)</x:f>
        <x:v>0</x:v>
      </x:c>
      <x:c r="T82" s="16" t="n">
        <x:f>VALUE('Raw Results'!$T$22)</x:f>
        <x:v>0.08039619994815439</x:v>
      </x:c>
      <x:c r="U82" s="16" t="n">
        <x:f>VALUE('Raw Results'!$AD$22)</x:f>
        <x:v>0.08143979986198246</x:v>
      </x:c>
      <x:c r="V82" s="18" t="n">
        <x:f>IF(T82=0,0,N82/T82)</x:f>
        <x:v>0.012980711955304702</x:v>
      </x:c>
      <x:c r="W82" s="10" t="n">
        <x:f>IF(AND(G82=1,Q82=1),1,0)</x:f>
        <x:v>1</x:v>
      </x:c>
      <x:c r="X82" s="20" t="n">
        <x:f>IF(W82=1,P82-F82,"")</x:f>
        <x:v>-2</x:v>
      </x:c>
      <x:c r="Y82" s="10" t="str">
        <x:f>IF(W82=0,"excluded",IF(X82&lt;0,"repaired",IF(X82&gt;0,"entropy","tie")))</x:f>
        <x:v>repaired</x:v>
      </x:c>
      <x:c r="Z82" s="10" t="n">
        <x:f>IF(VALUE(L82)&gt;0,1,0)</x:f>
        <x:v>0</x:v>
      </x:c>
      <x:c r="AA82" s="10" t="n">
        <x:f>IF(AND('Raw Results'!$V$22="True",'Raw Results'!$W$22="True"),1,0)</x:f>
        <x:v>1</x:v>
      </x:c>
      <x:c r="AB82" s="10" t="n">
        <x:f>IF(AND(J82=0,Q82=1),1,0)</x:f>
        <x:v>0</x:v>
      </x:c>
      <x:c r="AC82" s="20" t="n">
        <x:f>P82-I82</x:f>
        <x:v>0</x:v>
      </x:c>
      <x:c r="AD82" s="10" t="n">
        <x:f>IF(AND(G82=1,J82=0),1,0)</x:f>
        <x:v>0</x:v>
      </x:c>
      <x:c r="AE82" s="10" t="n">
        <x:f>IF(AND(G82=0,Q82=1),1,0)</x:f>
        <x:v>0</x:v>
      </x:c>
    </x:row>
    <x:row r="83">
      <x:c r="A83" s="10" t="str">
        <x:f>"Circle"</x:f>
        <x:v>Circle</x:v>
      </x:c>
      <x:c r="B83" s="12" t="n">
        <x:f>VALUE('Raw Results'!$A$22)</x:f>
        <x:v>100</x:v>
      </x:c>
      <x:c r="C83" s="14" t="n">
        <x:f>VALUE('Raw Results'!$B$22)</x:f>
        <x:v>0.5</x:v>
      </x:c>
      <x:c r="D83" s="12" t="n">
        <x:f>VALUE('Raw Results'!$C$22)</x:f>
        <x:v>3</x:v>
      </x:c>
      <x:c r="E83" s="12" t="n">
        <x:f>VALUE('Raw Results'!$D$22)</x:f>
        <x:v>2509545635</x:v>
      </x:c>
      <x:c r="F83" s="12" t="n">
        <x:f>VALUE('Raw Results'!$AI$22)</x:f>
        <x:v>23</x:v>
      </x:c>
      <x:c r="G83" s="12" t="n">
        <x:f>IF('Raw Results'!$AK$22="True",1,0)</x:f>
        <x:v>1</x:v>
      </x:c>
      <x:c r="H83" s="12" t="n">
        <x:f>VALUE('Raw Results'!$AN$22)</x:f>
        <x:v>59</x:v>
      </x:c>
      <x:c r="I83" s="12" t="n">
        <x:f>VALUE('Raw Results'!$AO$22)</x:f>
        <x:v>26</x:v>
      </x:c>
      <x:c r="J83" s="12" t="n">
        <x:f>IF('Raw Results'!$AQ$22="True",1,0)</x:f>
        <x:v>1</x:v>
      </x:c>
      <x:c r="K83" s="12" t="n">
        <x:f>VALUE('Raw Results'!$AT$22)</x:f>
        <x:v>0</x:v>
      </x:c>
      <x:c r="L83" s="12" t="n">
        <x:f>VALUE('Raw Results'!$AU$22)</x:f>
        <x:v>0</x:v>
      </x:c>
      <x:c r="M83" s="10" t="str">
        <x:f>'Raw Results'!$AV$22</x:f>
      </x:c>
      <x:c r="N83" s="16" t="n">
        <x:f>VALUE('Raw Results'!$AW$22)</x:f>
        <x:v>0.0010884000221267343</x:v>
      </x:c>
      <x:c r="O83" s="12" t="n">
        <x:f>VALUE('Raw Results'!$AX$22)</x:f>
        <x:v>26</x:v>
      </x:c>
      <x:c r="P83" s="12" t="n">
        <x:f>VALUE('Raw Results'!$AY$22)</x:f>
        <x:v>26</x:v>
      </x:c>
      <x:c r="Q83" s="12" t="n">
        <x:f>IF('Raw Results'!$BA$22="True",1,0)</x:f>
        <x:v>1</x:v>
      </x:c>
      <x:c r="R83" s="12" t="n">
        <x:f>VALUE('Raw Results'!$BC$22)</x:f>
        <x:v>0</x:v>
      </x:c>
      <x:c r="S83" s="12" t="n">
        <x:f>VALUE('Raw Results'!$BD$22)</x:f>
        <x:v>0</x:v>
      </x:c>
      <x:c r="T83" s="16" t="n">
        <x:f>VALUE('Raw Results'!$AP$22)</x:f>
        <x:v>0.017644599894993007</x:v>
      </x:c>
      <x:c r="U83" s="16" t="n">
        <x:f>VALUE('Raw Results'!$AZ$22)</x:f>
        <x:v>0.01873299991711974</x:v>
      </x:c>
      <x:c r="V83" s="18" t="n">
        <x:f>IF(T83=0,0,N83/T83)</x:f>
        <x:v>0.06168459634131962</x:v>
      </x:c>
      <x:c r="W83" s="10" t="n">
        <x:f>IF(AND(G83=1,Q83=1),1,0)</x:f>
        <x:v>1</x:v>
      </x:c>
      <x:c r="X83" s="20" t="n">
        <x:f>IF(W83=1,P83-F83,"")</x:f>
        <x:v>3</x:v>
      </x:c>
      <x:c r="Y83" s="10" t="str">
        <x:f>IF(W83=0,"excluded",IF(X83&lt;0,"repaired",IF(X83&gt;0,"entropy","tie")))</x:f>
        <x:v>entropy</x:v>
      </x:c>
      <x:c r="Z83" s="10" t="n">
        <x:f>IF(VALUE(L83)&gt;0,1,0)</x:f>
        <x:v>0</x:v>
      </x:c>
      <x:c r="AA83" s="10" t="n">
        <x:f>IF(AND('Raw Results'!$AR$22="True",'Raw Results'!$AS$22="True"),1,0)</x:f>
        <x:v>1</x:v>
      </x:c>
      <x:c r="AB83" s="10" t="n">
        <x:f>IF(AND(J83=0,Q83=1),1,0)</x:f>
        <x:v>0</x:v>
      </x:c>
      <x:c r="AC83" s="20" t="n">
        <x:f>P83-I83</x:f>
        <x:v>0</x:v>
      </x:c>
      <x:c r="AD83" s="10" t="n">
        <x:f>IF(AND(G83=1,J83=0),1,0)</x:f>
        <x:v>0</x:v>
      </x:c>
      <x:c r="AE83" s="10" t="n">
        <x:f>IF(AND(G83=0,Q83=1),1,0)</x:f>
        <x:v>0</x:v>
      </x:c>
    </x:row>
    <x:row r="84">
      <x:c r="A84" s="10" t="str">
        <x:f>"Zoomed Square"</x:f>
        <x:v>Zoomed Square</x:v>
      </x:c>
      <x:c r="B84" s="12" t="n">
        <x:f>VALUE('Raw Results'!$A$22)</x:f>
        <x:v>100</x:v>
      </x:c>
      <x:c r="C84" s="14" t="n">
        <x:f>VALUE('Raw Results'!$B$22)</x:f>
        <x:v>0.5</x:v>
      </x:c>
      <x:c r="D84" s="12" t="n">
        <x:f>VALUE('Raw Results'!$C$22)</x:f>
        <x:v>3</x:v>
      </x:c>
      <x:c r="E84" s="12" t="n">
        <x:f>VALUE('Raw Results'!$D$22)</x:f>
        <x:v>2509545635</x:v>
      </x:c>
      <x:c r="F84" s="12" t="n">
        <x:f>VALUE('Raw Results'!$BE$22)</x:f>
        <x:v>25</x:v>
      </x:c>
      <x:c r="G84" s="12" t="n">
        <x:f>IF('Raw Results'!$BG$22="True",1,0)</x:f>
        <x:v>1</x:v>
      </x:c>
      <x:c r="H84" s="12" t="n">
        <x:f>VALUE('Raw Results'!$BJ$22)</x:f>
        <x:v>43</x:v>
      </x:c>
      <x:c r="I84" s="12" t="n">
        <x:f>VALUE('Raw Results'!$BK$22)</x:f>
        <x:v>24</x:v>
      </x:c>
      <x:c r="J84" s="12" t="n">
        <x:f>IF('Raw Results'!$BM$22="True",1,0)</x:f>
        <x:v>1</x:v>
      </x:c>
      <x:c r="K84" s="12" t="n">
        <x:f>VALUE('Raw Results'!$BP$22)</x:f>
        <x:v>0</x:v>
      </x:c>
      <x:c r="L84" s="12" t="n">
        <x:f>VALUE('Raw Results'!$BQ$22)</x:f>
        <x:v>0</x:v>
      </x:c>
      <x:c r="M84" s="10" t="str">
        <x:f>'Raw Results'!$BR$22</x:f>
      </x:c>
      <x:c r="N84" s="16" t="n">
        <x:f>VALUE('Raw Results'!$BS$22)</x:f>
        <x:v>0.0011635998962447047</x:v>
      </x:c>
      <x:c r="O84" s="12" t="n">
        <x:f>VALUE('Raw Results'!$BT$22)</x:f>
        <x:v>24</x:v>
      </x:c>
      <x:c r="P84" s="12" t="n">
        <x:f>VALUE('Raw Results'!$BU$22)</x:f>
        <x:v>24</x:v>
      </x:c>
      <x:c r="Q84" s="12" t="n">
        <x:f>IF('Raw Results'!$BW$22="True",1,0)</x:f>
        <x:v>1</x:v>
      </x:c>
      <x:c r="R84" s="12" t="n">
        <x:f>VALUE('Raw Results'!$BY$22)</x:f>
        <x:v>0</x:v>
      </x:c>
      <x:c r="S84" s="12" t="n">
        <x:f>VALUE('Raw Results'!$BZ$22)</x:f>
        <x:v>0</x:v>
      </x:c>
      <x:c r="T84" s="16" t="n">
        <x:f>VALUE('Raw Results'!$BL$22)</x:f>
        <x:v>0.044677000027149916</x:v>
      </x:c>
      <x:c r="U84" s="16" t="n">
        <x:f>VALUE('Raw Results'!$BV$22)</x:f>
        <x:v>0.04584059992339462</x:v>
      </x:c>
      <x:c r="V84" s="18" t="n">
        <x:f>IF(T84=0,0,N84/T84)</x:f>
        <x:v>0.026044718659211513</x:v>
      </x:c>
      <x:c r="W84" s="10" t="n">
        <x:f>IF(AND(G84=1,Q84=1),1,0)</x:f>
        <x:v>1</x:v>
      </x:c>
      <x:c r="X84" s="20" t="n">
        <x:f>IF(W84=1,P84-F84,"")</x:f>
        <x:v>-1</x:v>
      </x:c>
      <x:c r="Y84" s="10" t="str">
        <x:f>IF(W84=0,"excluded",IF(X84&lt;0,"repaired",IF(X84&gt;0,"entropy","tie")))</x:f>
        <x:v>repaired</x:v>
      </x:c>
      <x:c r="Z84" s="10" t="n">
        <x:f>IF(VALUE(L84)&gt;0,1,0)</x:f>
        <x:v>0</x:v>
      </x:c>
      <x:c r="AA84" s="10" t="n">
        <x:f>IF(AND('Raw Results'!$BN$22="True",'Raw Results'!$BO$22="True"),1,0)</x:f>
        <x:v>1</x:v>
      </x:c>
      <x:c r="AB84" s="10" t="n">
        <x:f>IF(AND(J84=0,Q84=1),1,0)</x:f>
        <x:v>0</x:v>
      </x:c>
      <x:c r="AC84" s="20" t="n">
        <x:f>P84-I84</x:f>
        <x:v>0</x:v>
      </x:c>
      <x:c r="AD84" s="10" t="n">
        <x:f>IF(AND(G84=1,J84=0),1,0)</x:f>
        <x:v>0</x:v>
      </x:c>
      <x:c r="AE84" s="10" t="n">
        <x:f>IF(AND(G84=0,Q84=1),1,0)</x:f>
        <x:v>0</x:v>
      </x:c>
    </x:row>
    <x:row r="85">
      <x:c r="A85" s="10" t="str">
        <x:f>"ICH"</x:f>
        <x:v>ICH</x:v>
      </x:c>
      <x:c r="B85" s="12" t="n">
        <x:f>VALUE('Raw Results'!$A$22)</x:f>
        <x:v>100</x:v>
      </x:c>
      <x:c r="C85" s="14" t="n">
        <x:f>VALUE('Raw Results'!$B$22)</x:f>
        <x:v>0.5</x:v>
      </x:c>
      <x:c r="D85" s="12" t="n">
        <x:f>VALUE('Raw Results'!$C$22)</x:f>
        <x:v>3</x:v>
      </x:c>
      <x:c r="E85" s="12" t="n">
        <x:f>VALUE('Raw Results'!$D$22)</x:f>
        <x:v>2509545635</x:v>
      </x:c>
      <x:c r="F85" s="12" t="n">
        <x:f>VALUE('Raw Results'!$CA$22)</x:f>
        <x:v>22</x:v>
      </x:c>
      <x:c r="G85" s="12" t="n">
        <x:f>IF('Raw Results'!$CC$22="True",1,0)</x:f>
        <x:v>1</x:v>
      </x:c>
      <x:c r="H85" s="12" t="n">
        <x:f>VALUE('Raw Results'!$CF$22)</x:f>
        <x:v>21</x:v>
      </x:c>
      <x:c r="I85" s="12" t="n">
        <x:f>VALUE('Raw Results'!$CG$22)</x:f>
        <x:v>21</x:v>
      </x:c>
      <x:c r="J85" s="12" t="n">
        <x:f>IF('Raw Results'!$CI$22="True",1,0)</x:f>
        <x:v>1</x:v>
      </x:c>
      <x:c r="K85" s="12" t="n">
        <x:f>VALUE('Raw Results'!$CL$22)</x:f>
        <x:v>0</x:v>
      </x:c>
      <x:c r="L85" s="12" t="n">
        <x:f>VALUE('Raw Results'!$CM$22)</x:f>
        <x:v>0</x:v>
      </x:c>
      <x:c r="M85" s="10" t="str">
        <x:f>'Raw Results'!$CN$22</x:f>
      </x:c>
      <x:c r="N85" s="16" t="n">
        <x:f>VALUE('Raw Results'!$CO$22)</x:f>
        <x:v>0.001048700069077313</x:v>
      </x:c>
      <x:c r="O85" s="12" t="n">
        <x:f>VALUE('Raw Results'!$CP$22)</x:f>
        <x:v>21</x:v>
      </x:c>
      <x:c r="P85" s="12" t="n">
        <x:f>VALUE('Raw Results'!$CQ$22)</x:f>
        <x:v>21</x:v>
      </x:c>
      <x:c r="Q85" s="12" t="n">
        <x:f>IF('Raw Results'!$CS$22="True",1,0)</x:f>
        <x:v>1</x:v>
      </x:c>
      <x:c r="R85" s="12" t="n">
        <x:f>VALUE('Raw Results'!$CU$22)</x:f>
        <x:v>0</x:v>
      </x:c>
      <x:c r="S85" s="12" t="n">
        <x:f>VALUE('Raw Results'!$CV$22)</x:f>
        <x:v>0</x:v>
      </x:c>
      <x:c r="T85" s="16" t="n">
        <x:f>VALUE('Raw Results'!$CH$22)</x:f>
        <x:v>0.18184700002893806</x:v>
      </x:c>
      <x:c r="U85" s="16" t="n">
        <x:f>VALUE('Raw Results'!$CR$22)</x:f>
        <x:v>0.18289570009801537</x:v>
      </x:c>
      <x:c r="V85" s="18" t="n">
        <x:f>IF(T85=0,0,N85/T85)</x:f>
        <x:v>0.005766936319600703</x:v>
      </x:c>
      <x:c r="W85" s="10" t="n">
        <x:f>IF(AND(G85=1,Q85=1),1,0)</x:f>
        <x:v>1</x:v>
      </x:c>
      <x:c r="X85" s="20" t="n">
        <x:f>IF(W85=1,P85-F85,"")</x:f>
        <x:v>-1</x:v>
      </x:c>
      <x:c r="Y85" s="10" t="str">
        <x:f>IF(W85=0,"excluded",IF(X85&lt;0,"repaired",IF(X85&gt;0,"entropy","tie")))</x:f>
        <x:v>repaired</x:v>
      </x:c>
      <x:c r="Z85" s="10" t="n">
        <x:f>IF(VALUE(L85)&gt;0,1,0)</x:f>
        <x:v>0</x:v>
      </x:c>
      <x:c r="AA85" s="10" t="n">
        <x:f>IF(AND('Raw Results'!$CJ$22="True",'Raw Results'!$CK$22="True"),1,0)</x:f>
        <x:v>1</x:v>
      </x:c>
      <x:c r="AB85" s="10" t="n">
        <x:f>IF(AND(J85=0,Q85=1),1,0)</x:f>
        <x:v>0</x:v>
      </x:c>
      <x:c r="AC85" s="20" t="n">
        <x:f>P85-I85</x:f>
        <x:v>0</x:v>
      </x:c>
      <x:c r="AD85" s="10" t="n">
        <x:f>IF(AND(G85=1,J85=0),1,0)</x:f>
        <x:v>0</x:v>
      </x:c>
      <x:c r="AE85" s="10" t="n">
        <x:f>IF(AND(G85=0,Q85=1),1,0)</x:f>
        <x:v>0</x:v>
      </x:c>
    </x:row>
    <x:row r="86">
      <x:c r="A86" s="10" t="str">
        <x:f>"Grid"</x:f>
        <x:v>Grid</x:v>
      </x:c>
      <x:c r="B86" s="12" t="n">
        <x:f>VALUE('Raw Results'!$A$23)</x:f>
        <x:v>100</x:v>
      </x:c>
      <x:c r="C86" s="14" t="n">
        <x:f>VALUE('Raw Results'!$B$23)</x:f>
        <x:v>0.7</x:v>
      </x:c>
      <x:c r="D86" s="12" t="n">
        <x:f>VALUE('Raw Results'!$C$23)</x:f>
        <x:v>1</x:v>
      </x:c>
      <x:c r="E86" s="12" t="n">
        <x:f>VALUE('Raw Results'!$D$23)</x:f>
        <x:v>388144498</x:v>
      </x:c>
      <x:c r="F86" s="12" t="n">
        <x:f>VALUE('Raw Results'!$M$23)</x:f>
        <x:v>34</x:v>
      </x:c>
      <x:c r="G86" s="12" t="n">
        <x:f>IF('Raw Results'!$O$23="True",1,0)</x:f>
        <x:v>1</x:v>
      </x:c>
      <x:c r="H86" s="12" t="n">
        <x:f>VALUE('Raw Results'!$R$23)</x:f>
        <x:v>30</x:v>
      </x:c>
      <x:c r="I86" s="12" t="n">
        <x:f>VALUE('Raw Results'!$S$23)</x:f>
        <x:v>29</x:v>
      </x:c>
      <x:c r="J86" s="12" t="n">
        <x:f>IF('Raw Results'!$U$23="True",1,0)</x:f>
        <x:v>1</x:v>
      </x:c>
      <x:c r="K86" s="12" t="n">
        <x:f>VALUE('Raw Results'!$X$23)</x:f>
        <x:v>0</x:v>
      </x:c>
      <x:c r="L86" s="12" t="n">
        <x:f>VALUE('Raw Results'!$Y$23)</x:f>
        <x:v>0</x:v>
      </x:c>
      <x:c r="M86" s="10" t="str">
        <x:f>'Raw Results'!$Z$23</x:f>
      </x:c>
      <x:c r="N86" s="16" t="n">
        <x:f>VALUE('Raw Results'!$AA$23)</x:f>
        <x:v>0.0017155000241473317</x:v>
      </x:c>
      <x:c r="O86" s="12" t="n">
        <x:f>VALUE('Raw Results'!$AB$23)</x:f>
        <x:v>29</x:v>
      </x:c>
      <x:c r="P86" s="12" t="n">
        <x:f>VALUE('Raw Results'!$AC$23)</x:f>
        <x:v>29</x:v>
      </x:c>
      <x:c r="Q86" s="12" t="n">
        <x:f>IF('Raw Results'!$AE$23="True",1,0)</x:f>
        <x:v>1</x:v>
      </x:c>
      <x:c r="R86" s="12" t="n">
        <x:f>VALUE('Raw Results'!$AG$23)</x:f>
        <x:v>0</x:v>
      </x:c>
      <x:c r="S86" s="12" t="n">
        <x:f>VALUE('Raw Results'!$AH$23)</x:f>
        <x:v>0</x:v>
      </x:c>
      <x:c r="T86" s="16" t="n">
        <x:f>VALUE('Raw Results'!$T$23)</x:f>
        <x:v>0.09183150005992502</x:v>
      </x:c>
      <x:c r="U86" s="16" t="n">
        <x:f>VALUE('Raw Results'!$AD$23)</x:f>
        <x:v>0.09354700008407235</x:v>
      </x:c>
      <x:c r="V86" s="18" t="n">
        <x:f>IF(T86=0,0,N86/T86)</x:f>
        <x:v>0.01868095395401224</x:v>
      </x:c>
      <x:c r="W86" s="10" t="n">
        <x:f>IF(AND(G86=1,Q86=1),1,0)</x:f>
        <x:v>1</x:v>
      </x:c>
      <x:c r="X86" s="20" t="n">
        <x:f>IF(W86=1,P86-F86,"")</x:f>
        <x:v>-5</x:v>
      </x:c>
      <x:c r="Y86" s="10" t="str">
        <x:f>IF(W86=0,"excluded",IF(X86&lt;0,"repaired",IF(X86&gt;0,"entropy","tie")))</x:f>
        <x:v>repaired</x:v>
      </x:c>
      <x:c r="Z86" s="10" t="n">
        <x:f>IF(VALUE(L86)&gt;0,1,0)</x:f>
        <x:v>0</x:v>
      </x:c>
      <x:c r="AA86" s="10" t="n">
        <x:f>IF(AND('Raw Results'!$V$23="True",'Raw Results'!$W$23="True"),1,0)</x:f>
        <x:v>1</x:v>
      </x:c>
      <x:c r="AB86" s="10" t="n">
        <x:f>IF(AND(J86=0,Q86=1),1,0)</x:f>
        <x:v>0</x:v>
      </x:c>
      <x:c r="AC86" s="20" t="n">
        <x:f>P86-I86</x:f>
        <x:v>0</x:v>
      </x:c>
      <x:c r="AD86" s="10" t="n">
        <x:f>IF(AND(G86=1,J86=0),1,0)</x:f>
        <x:v>0</x:v>
      </x:c>
      <x:c r="AE86" s="10" t="n">
        <x:f>IF(AND(G86=0,Q86=1),1,0)</x:f>
        <x:v>0</x:v>
      </x:c>
    </x:row>
    <x:row r="87">
      <x:c r="A87" s="10" t="str">
        <x:f>"Circle"</x:f>
        <x:v>Circle</x:v>
      </x:c>
      <x:c r="B87" s="12" t="n">
        <x:f>VALUE('Raw Results'!$A$23)</x:f>
        <x:v>100</x:v>
      </x:c>
      <x:c r="C87" s="14" t="n">
        <x:f>VALUE('Raw Results'!$B$23)</x:f>
        <x:v>0.7</x:v>
      </x:c>
      <x:c r="D87" s="12" t="n">
        <x:f>VALUE('Raw Results'!$C$23)</x:f>
        <x:v>1</x:v>
      </x:c>
      <x:c r="E87" s="12" t="n">
        <x:f>VALUE('Raw Results'!$D$23)</x:f>
        <x:v>388144498</x:v>
      </x:c>
      <x:c r="F87" s="12" t="n">
        <x:f>VALUE('Raw Results'!$AI$23)</x:f>
        <x:v>37</x:v>
      </x:c>
      <x:c r="G87" s="12" t="n">
        <x:f>IF('Raw Results'!$AK$23="True",1,0)</x:f>
        <x:v>1</x:v>
      </x:c>
      <x:c r="H87" s="12" t="n">
        <x:f>VALUE('Raw Results'!$AN$23)</x:f>
        <x:v>79</x:v>
      </x:c>
      <x:c r="I87" s="12" t="n">
        <x:f>VALUE('Raw Results'!$AO$23)</x:f>
        <x:v>36</x:v>
      </x:c>
      <x:c r="J87" s="12" t="n">
        <x:f>IF('Raw Results'!$AQ$23="True",1,0)</x:f>
        <x:v>1</x:v>
      </x:c>
      <x:c r="K87" s="12" t="n">
        <x:f>VALUE('Raw Results'!$AT$23)</x:f>
        <x:v>0</x:v>
      </x:c>
      <x:c r="L87" s="12" t="n">
        <x:f>VALUE('Raw Results'!$AU$23)</x:f>
        <x:v>0</x:v>
      </x:c>
      <x:c r="M87" s="10" t="str">
        <x:f>'Raw Results'!$AV$23</x:f>
      </x:c>
      <x:c r="N87" s="16" t="n">
        <x:f>VALUE('Raw Results'!$AW$23)</x:f>
        <x:v>0.0017588000046089292</x:v>
      </x:c>
      <x:c r="O87" s="12" t="n">
        <x:f>VALUE('Raw Results'!$AX$23)</x:f>
        <x:v>36</x:v>
      </x:c>
      <x:c r="P87" s="12" t="n">
        <x:f>VALUE('Raw Results'!$AY$23)</x:f>
        <x:v>36</x:v>
      </x:c>
      <x:c r="Q87" s="12" t="n">
        <x:f>IF('Raw Results'!$BA$23="True",1,0)</x:f>
        <x:v>1</x:v>
      </x:c>
      <x:c r="R87" s="12" t="n">
        <x:f>VALUE('Raw Results'!$BC$23)</x:f>
        <x:v>0</x:v>
      </x:c>
      <x:c r="S87" s="12" t="n">
        <x:f>VALUE('Raw Results'!$BD$23)</x:f>
        <x:v>0</x:v>
      </x:c>
      <x:c r="T87" s="16" t="n">
        <x:f>VALUE('Raw Results'!$AP$23)</x:f>
        <x:v>0.03300820000004023</x:v>
      </x:c>
      <x:c r="U87" s="16" t="n">
        <x:f>VALUE('Raw Results'!$AZ$23)</x:f>
        <x:v>0.03476700000464916</x:v>
      </x:c>
      <x:c r="V87" s="18" t="n">
        <x:f>IF(T87=0,0,N87/T87)</x:f>
        <x:v>0.05328372963708367</x:v>
      </x:c>
      <x:c r="W87" s="10" t="n">
        <x:f>IF(AND(G87=1,Q87=1),1,0)</x:f>
        <x:v>1</x:v>
      </x:c>
      <x:c r="X87" s="20" t="n">
        <x:f>IF(W87=1,P87-F87,"")</x:f>
        <x:v>-1</x:v>
      </x:c>
      <x:c r="Y87" s="10" t="str">
        <x:f>IF(W87=0,"excluded",IF(X87&lt;0,"repaired",IF(X87&gt;0,"entropy","tie")))</x:f>
        <x:v>repaired</x:v>
      </x:c>
      <x:c r="Z87" s="10" t="n">
        <x:f>IF(VALUE(L87)&gt;0,1,0)</x:f>
        <x:v>0</x:v>
      </x:c>
      <x:c r="AA87" s="10" t="n">
        <x:f>IF(AND('Raw Results'!$AR$23="True",'Raw Results'!$AS$23="True"),1,0)</x:f>
        <x:v>1</x:v>
      </x:c>
      <x:c r="AB87" s="10" t="n">
        <x:f>IF(AND(J87=0,Q87=1),1,0)</x:f>
        <x:v>0</x:v>
      </x:c>
      <x:c r="AC87" s="20" t="n">
        <x:f>P87-I87</x:f>
        <x:v>0</x:v>
      </x:c>
      <x:c r="AD87" s="10" t="n">
        <x:f>IF(AND(G87=1,J87=0),1,0)</x:f>
        <x:v>0</x:v>
      </x:c>
      <x:c r="AE87" s="10" t="n">
        <x:f>IF(AND(G87=0,Q87=1),1,0)</x:f>
        <x:v>0</x:v>
      </x:c>
    </x:row>
    <x:row r="88">
      <x:c r="A88" s="10" t="str">
        <x:f>"Zoomed Square"</x:f>
        <x:v>Zoomed Square</x:v>
      </x:c>
      <x:c r="B88" s="12" t="n">
        <x:f>VALUE('Raw Results'!$A$23)</x:f>
        <x:v>100</x:v>
      </x:c>
      <x:c r="C88" s="14" t="n">
        <x:f>VALUE('Raw Results'!$B$23)</x:f>
        <x:v>0.7</x:v>
      </x:c>
      <x:c r="D88" s="12" t="n">
        <x:f>VALUE('Raw Results'!$C$23)</x:f>
        <x:v>1</x:v>
      </x:c>
      <x:c r="E88" s="12" t="n">
        <x:f>VALUE('Raw Results'!$D$23)</x:f>
        <x:v>388144498</x:v>
      </x:c>
      <x:c r="F88" s="12" t="n">
        <x:f>VALUE('Raw Results'!$BE$23)</x:f>
        <x:v>36</x:v>
      </x:c>
      <x:c r="G88" s="12" t="n">
        <x:f>IF('Raw Results'!$BG$23="True",1,0)</x:f>
        <x:v>1</x:v>
      </x:c>
      <x:c r="H88" s="12" t="n">
        <x:f>VALUE('Raw Results'!$BJ$23)</x:f>
        <x:v>57</x:v>
      </x:c>
      <x:c r="I88" s="12" t="n">
        <x:f>VALUE('Raw Results'!$BK$23)</x:f>
        <x:v>34</x:v>
      </x:c>
      <x:c r="J88" s="12" t="n">
        <x:f>IF('Raw Results'!$BM$23="True",1,0)</x:f>
        <x:v>1</x:v>
      </x:c>
      <x:c r="K88" s="12" t="n">
        <x:f>VALUE('Raw Results'!$BP$23)</x:f>
        <x:v>0</x:v>
      </x:c>
      <x:c r="L88" s="12" t="n">
        <x:f>VALUE('Raw Results'!$BQ$23)</x:f>
        <x:v>0</x:v>
      </x:c>
      <x:c r="M88" s="10" t="str">
        <x:f>'Raw Results'!$BR$23</x:f>
      </x:c>
      <x:c r="N88" s="16" t="n">
        <x:f>VALUE('Raw Results'!$BS$23)</x:f>
        <x:v>0.0018283999525010586</x:v>
      </x:c>
      <x:c r="O88" s="12" t="n">
        <x:f>VALUE('Raw Results'!$BT$23)</x:f>
        <x:v>34</x:v>
      </x:c>
      <x:c r="P88" s="12" t="n">
        <x:f>VALUE('Raw Results'!$BU$23)</x:f>
        <x:v>34</x:v>
      </x:c>
      <x:c r="Q88" s="12" t="n">
        <x:f>IF('Raw Results'!$BW$23="True",1,0)</x:f>
        <x:v>1</x:v>
      </x:c>
      <x:c r="R88" s="12" t="n">
        <x:f>VALUE('Raw Results'!$BY$23)</x:f>
        <x:v>0</x:v>
      </x:c>
      <x:c r="S88" s="12" t="n">
        <x:f>VALUE('Raw Results'!$BZ$23)</x:f>
        <x:v>0</x:v>
      </x:c>
      <x:c r="T88" s="16" t="n">
        <x:f>VALUE('Raw Results'!$BL$23)</x:f>
        <x:v>0.052570699946954846</x:v>
      </x:c>
      <x:c r="U88" s="16" t="n">
        <x:f>VALUE('Raw Results'!$BV$23)</x:f>
        <x:v>0.054399099899455905</x:v>
      </x:c>
      <x:c r="V88" s="18" t="n">
        <x:f>IF(T88=0,0,N88/T88)</x:f>
        <x:v>0.03477982896073212</x:v>
      </x:c>
      <x:c r="W88" s="10" t="n">
        <x:f>IF(AND(G88=1,Q88=1),1,0)</x:f>
        <x:v>1</x:v>
      </x:c>
      <x:c r="X88" s="20" t="n">
        <x:f>IF(W88=1,P88-F88,"")</x:f>
        <x:v>-2</x:v>
      </x:c>
      <x:c r="Y88" s="10" t="str">
        <x:f>IF(W88=0,"excluded",IF(X88&lt;0,"repaired",IF(X88&gt;0,"entropy","tie")))</x:f>
        <x:v>repaired</x:v>
      </x:c>
      <x:c r="Z88" s="10" t="n">
        <x:f>IF(VALUE(L88)&gt;0,1,0)</x:f>
        <x:v>0</x:v>
      </x:c>
      <x:c r="AA88" s="10" t="n">
        <x:f>IF(AND('Raw Results'!$BN$23="True",'Raw Results'!$BO$23="True"),1,0)</x:f>
        <x:v>1</x:v>
      </x:c>
      <x:c r="AB88" s="10" t="n">
        <x:f>IF(AND(J88=0,Q88=1),1,0)</x:f>
        <x:v>0</x:v>
      </x:c>
      <x:c r="AC88" s="20" t="n">
        <x:f>P88-I88</x:f>
        <x:v>0</x:v>
      </x:c>
      <x:c r="AD88" s="10" t="n">
        <x:f>IF(AND(G88=1,J88=0),1,0)</x:f>
        <x:v>0</x:v>
      </x:c>
      <x:c r="AE88" s="10" t="n">
        <x:f>IF(AND(G88=0,Q88=1),1,0)</x:f>
        <x:v>0</x:v>
      </x:c>
    </x:row>
    <x:row r="89">
      <x:c r="A89" s="10" t="str">
        <x:f>"ICH"</x:f>
        <x:v>ICH</x:v>
      </x:c>
      <x:c r="B89" s="12" t="n">
        <x:f>VALUE('Raw Results'!$A$23)</x:f>
        <x:v>100</x:v>
      </x:c>
      <x:c r="C89" s="14" t="n">
        <x:f>VALUE('Raw Results'!$B$23)</x:f>
        <x:v>0.7</x:v>
      </x:c>
      <x:c r="D89" s="12" t="n">
        <x:f>VALUE('Raw Results'!$C$23)</x:f>
        <x:v>1</x:v>
      </x:c>
      <x:c r="E89" s="12" t="n">
        <x:f>VALUE('Raw Results'!$D$23)</x:f>
        <x:v>388144498</x:v>
      </x:c>
      <x:c r="F89" s="12" t="n">
        <x:f>VALUE('Raw Results'!$CA$23)</x:f>
        <x:v>30</x:v>
      </x:c>
      <x:c r="G89" s="12" t="n">
        <x:f>IF('Raw Results'!$CC$23="True",1,0)</x:f>
        <x:v>1</x:v>
      </x:c>
      <x:c r="H89" s="12" t="n">
        <x:f>VALUE('Raw Results'!$CF$23)</x:f>
        <x:v>30</x:v>
      </x:c>
      <x:c r="I89" s="12" t="n">
        <x:f>VALUE('Raw Results'!$CG$23)</x:f>
        <x:v>30</x:v>
      </x:c>
      <x:c r="J89" s="12" t="n">
        <x:f>IF('Raw Results'!$CI$23="True",1,0)</x:f>
        <x:v>1</x:v>
      </x:c>
      <x:c r="K89" s="12" t="n">
        <x:f>VALUE('Raw Results'!$CL$23)</x:f>
        <x:v>0</x:v>
      </x:c>
      <x:c r="L89" s="12" t="n">
        <x:f>VALUE('Raw Results'!$CM$23)</x:f>
        <x:v>0</x:v>
      </x:c>
      <x:c r="M89" s="10" t="str">
        <x:f>'Raw Results'!$CN$23</x:f>
      </x:c>
      <x:c r="N89" s="16" t="n">
        <x:f>VALUE('Raw Results'!$CO$23)</x:f>
        <x:v>0.001613199943676591</x:v>
      </x:c>
      <x:c r="O89" s="12" t="n">
        <x:f>VALUE('Raw Results'!$CP$23)</x:f>
        <x:v>30</x:v>
      </x:c>
      <x:c r="P89" s="12" t="n">
        <x:f>VALUE('Raw Results'!$CQ$23)</x:f>
        <x:v>30</x:v>
      </x:c>
      <x:c r="Q89" s="12" t="n">
        <x:f>IF('Raw Results'!$CS$23="True",1,0)</x:f>
        <x:v>1</x:v>
      </x:c>
      <x:c r="R89" s="12" t="n">
        <x:f>VALUE('Raw Results'!$CU$23)</x:f>
        <x:v>0</x:v>
      </x:c>
      <x:c r="S89" s="12" t="n">
        <x:f>VALUE('Raw Results'!$CV$23)</x:f>
        <x:v>0</x:v>
      </x:c>
      <x:c r="T89" s="16" t="n">
        <x:f>VALUE('Raw Results'!$CH$23)</x:f>
        <x:v>0.18324229994323105</x:v>
      </x:c>
      <x:c r="U89" s="16" t="n">
        <x:f>VALUE('Raw Results'!$CR$23)</x:f>
        <x:v>0.18485549988690764</x:v>
      </x:c>
      <x:c r="V89" s="18" t="n">
        <x:f>IF(T89=0,0,N89/T89)</x:f>
        <x:v>0.008803643832108441</x:v>
      </x:c>
      <x:c r="W89" s="10" t="n">
        <x:f>IF(AND(G89=1,Q89=1),1,0)</x:f>
        <x:v>1</x:v>
      </x:c>
      <x:c r="X89" s="20" t="n">
        <x:f>IF(W89=1,P89-F89,"")</x:f>
        <x:v>0</x:v>
      </x:c>
      <x:c r="Y89" s="10" t="str">
        <x:f>IF(W89=0,"excluded",IF(X89&lt;0,"repaired",IF(X89&gt;0,"entropy","tie")))</x:f>
        <x:v>tie</x:v>
      </x:c>
      <x:c r="Z89" s="10" t="n">
        <x:f>IF(VALUE(L89)&gt;0,1,0)</x:f>
        <x:v>0</x:v>
      </x:c>
      <x:c r="AA89" s="10" t="n">
        <x:f>IF(AND('Raw Results'!$CJ$23="True",'Raw Results'!$CK$23="True"),1,0)</x:f>
        <x:v>1</x:v>
      </x:c>
      <x:c r="AB89" s="10" t="n">
        <x:f>IF(AND(J89=0,Q89=1),1,0)</x:f>
        <x:v>0</x:v>
      </x:c>
      <x:c r="AC89" s="20" t="n">
        <x:f>P89-I89</x:f>
        <x:v>0</x:v>
      </x:c>
      <x:c r="AD89" s="10" t="n">
        <x:f>IF(AND(G89=1,J89=0),1,0)</x:f>
        <x:v>0</x:v>
      </x:c>
      <x:c r="AE89" s="10" t="n">
        <x:f>IF(AND(G89=0,Q89=1),1,0)</x:f>
        <x:v>0</x:v>
      </x:c>
    </x:row>
    <x:row r="90">
      <x:c r="A90" s="10" t="str">
        <x:f>"Grid"</x:f>
        <x:v>Grid</x:v>
      </x:c>
      <x:c r="B90" s="12" t="n">
        <x:f>VALUE('Raw Results'!$A$24)</x:f>
        <x:v>100</x:v>
      </x:c>
      <x:c r="C90" s="14" t="n">
        <x:f>VALUE('Raw Results'!$B$24)</x:f>
        <x:v>0.7</x:v>
      </x:c>
      <x:c r="D90" s="12" t="n">
        <x:f>VALUE('Raw Results'!$C$24)</x:f>
        <x:v>2</x:v>
      </x:c>
      <x:c r="E90" s="12" t="n">
        <x:f>VALUE('Raw Results'!$D$24)</x:f>
        <x:v>2882482730</x:v>
      </x:c>
      <x:c r="F90" s="12" t="n">
        <x:f>VALUE('Raw Results'!$M$24)</x:f>
        <x:v>31</x:v>
      </x:c>
      <x:c r="G90" s="12" t="n">
        <x:f>IF('Raw Results'!$O$24="True",1,0)</x:f>
        <x:v>1</x:v>
      </x:c>
      <x:c r="H90" s="12" t="n">
        <x:f>VALUE('Raw Results'!$R$24)</x:f>
        <x:v>33</x:v>
      </x:c>
      <x:c r="I90" s="12" t="n">
        <x:f>VALUE('Raw Results'!$S$24)</x:f>
        <x:v>32</x:v>
      </x:c>
      <x:c r="J90" s="12" t="n">
        <x:f>IF('Raw Results'!$U$24="True",1,0)</x:f>
        <x:v>1</x:v>
      </x:c>
      <x:c r="K90" s="12" t="n">
        <x:f>VALUE('Raw Results'!$X$24)</x:f>
        <x:v>0</x:v>
      </x:c>
      <x:c r="L90" s="12" t="n">
        <x:f>VALUE('Raw Results'!$Y$24)</x:f>
        <x:v>0</x:v>
      </x:c>
      <x:c r="M90" s="10" t="str">
        <x:f>'Raw Results'!$Z$24</x:f>
      </x:c>
      <x:c r="N90" s="16" t="n">
        <x:f>VALUE('Raw Results'!$AA$24)</x:f>
        <x:v>0.0015937000280246139</x:v>
      </x:c>
      <x:c r="O90" s="12" t="n">
        <x:f>VALUE('Raw Results'!$AB$24)</x:f>
        <x:v>32</x:v>
      </x:c>
      <x:c r="P90" s="12" t="n">
        <x:f>VALUE('Raw Results'!$AC$24)</x:f>
        <x:v>32</x:v>
      </x:c>
      <x:c r="Q90" s="12" t="n">
        <x:f>IF('Raw Results'!$AE$24="True",1,0)</x:f>
        <x:v>1</x:v>
      </x:c>
      <x:c r="R90" s="12" t="n">
        <x:f>VALUE('Raw Results'!$AG$24)</x:f>
        <x:v>0</x:v>
      </x:c>
      <x:c r="S90" s="12" t="n">
        <x:f>VALUE('Raw Results'!$AH$24)</x:f>
        <x:v>0</x:v>
      </x:c>
      <x:c r="T90" s="16" t="n">
        <x:f>VALUE('Raw Results'!$T$24)</x:f>
        <x:v>0.0996813999954611</x:v>
      </x:c>
      <x:c r="U90" s="16" t="n">
        <x:f>VALUE('Raw Results'!$AD$24)</x:f>
        <x:v>0.10127510002348572</x:v>
      </x:c>
      <x:c r="V90" s="18" t="n">
        <x:f>IF(T90=0,0,N90/T90)</x:f>
        <x:v>0.01598793785096499</x:v>
      </x:c>
      <x:c r="W90" s="10" t="n">
        <x:f>IF(AND(G90=1,Q90=1),1,0)</x:f>
        <x:v>1</x:v>
      </x:c>
      <x:c r="X90" s="20" t="n">
        <x:f>IF(W90=1,P90-F90,"")</x:f>
        <x:v>1</x:v>
      </x:c>
      <x:c r="Y90" s="10" t="str">
        <x:f>IF(W90=0,"excluded",IF(X90&lt;0,"repaired",IF(X90&gt;0,"entropy","tie")))</x:f>
        <x:v>entropy</x:v>
      </x:c>
      <x:c r="Z90" s="10" t="n">
        <x:f>IF(VALUE(L90)&gt;0,1,0)</x:f>
        <x:v>0</x:v>
      </x:c>
      <x:c r="AA90" s="10" t="n">
        <x:f>IF(AND('Raw Results'!$V$24="True",'Raw Results'!$W$24="True"),1,0)</x:f>
        <x:v>1</x:v>
      </x:c>
      <x:c r="AB90" s="10" t="n">
        <x:f>IF(AND(J90=0,Q90=1),1,0)</x:f>
        <x:v>0</x:v>
      </x:c>
      <x:c r="AC90" s="20" t="n">
        <x:f>P90-I90</x:f>
        <x:v>0</x:v>
      </x:c>
      <x:c r="AD90" s="10" t="n">
        <x:f>IF(AND(G90=1,J90=0),1,0)</x:f>
        <x:v>0</x:v>
      </x:c>
      <x:c r="AE90" s="10" t="n">
        <x:f>IF(AND(G90=0,Q90=1),1,0)</x:f>
        <x:v>0</x:v>
      </x:c>
    </x:row>
    <x:row r="91">
      <x:c r="A91" s="10" t="str">
        <x:f>"Circle"</x:f>
        <x:v>Circle</x:v>
      </x:c>
      <x:c r="B91" s="12" t="n">
        <x:f>VALUE('Raw Results'!$A$24)</x:f>
        <x:v>100</x:v>
      </x:c>
      <x:c r="C91" s="14" t="n">
        <x:f>VALUE('Raw Results'!$B$24)</x:f>
        <x:v>0.7</x:v>
      </x:c>
      <x:c r="D91" s="12" t="n">
        <x:f>VALUE('Raw Results'!$C$24)</x:f>
        <x:v>2</x:v>
      </x:c>
      <x:c r="E91" s="12" t="n">
        <x:f>VALUE('Raw Results'!$D$24)</x:f>
        <x:v>2882482730</x:v>
      </x:c>
      <x:c r="F91" s="12" t="n">
        <x:f>VALUE('Raw Results'!$AI$24)</x:f>
        <x:v>43</x:v>
      </x:c>
      <x:c r="G91" s="12" t="n">
        <x:f>IF('Raw Results'!$AK$24="True",1,0)</x:f>
        <x:v>1</x:v>
      </x:c>
      <x:c r="H91" s="12" t="n">
        <x:f>VALUE('Raw Results'!$AN$24)</x:f>
        <x:v>85</x:v>
      </x:c>
      <x:c r="I91" s="12" t="n">
        <x:f>VALUE('Raw Results'!$AO$24)</x:f>
        <x:v>41</x:v>
      </x:c>
      <x:c r="J91" s="12" t="n">
        <x:f>IF('Raw Results'!$AQ$24="True",1,0)</x:f>
        <x:v>1</x:v>
      </x:c>
      <x:c r="K91" s="12" t="n">
        <x:f>VALUE('Raw Results'!$AT$24)</x:f>
        <x:v>0</x:v>
      </x:c>
      <x:c r="L91" s="12" t="n">
        <x:f>VALUE('Raw Results'!$AU$24)</x:f>
        <x:v>0</x:v>
      </x:c>
      <x:c r="M91" s="10" t="str">
        <x:f>'Raw Results'!$AV$24</x:f>
      </x:c>
      <x:c r="N91" s="16" t="n">
        <x:f>VALUE('Raw Results'!$AW$24)</x:f>
        <x:v>0.0016512000001966953</x:v>
      </x:c>
      <x:c r="O91" s="12" t="n">
        <x:f>VALUE('Raw Results'!$AX$24)</x:f>
        <x:v>41</x:v>
      </x:c>
      <x:c r="P91" s="12" t="n">
        <x:f>VALUE('Raw Results'!$AY$24)</x:f>
        <x:v>41</x:v>
      </x:c>
      <x:c r="Q91" s="12" t="n">
        <x:f>IF('Raw Results'!$BA$24="True",1,0)</x:f>
        <x:v>1</x:v>
      </x:c>
      <x:c r="R91" s="12" t="n">
        <x:f>VALUE('Raw Results'!$BC$24)</x:f>
        <x:v>0</x:v>
      </x:c>
      <x:c r="S91" s="12" t="n">
        <x:f>VALUE('Raw Results'!$BD$24)</x:f>
        <x:v>0</x:v>
      </x:c>
      <x:c r="T91" s="16" t="n">
        <x:f>VALUE('Raw Results'!$AP$24)</x:f>
        <x:v>0.060483000008389354</x:v>
      </x:c>
      <x:c r="U91" s="16" t="n">
        <x:f>VALUE('Raw Results'!$AZ$24)</x:f>
        <x:v>0.06213420000858605</x:v>
      </x:c>
      <x:c r="V91" s="18" t="n">
        <x:f>IF(T91=0,0,N91/T91)</x:f>
        <x:v>0.027300233122822346</x:v>
      </x:c>
      <x:c r="W91" s="10" t="n">
        <x:f>IF(AND(G91=1,Q91=1),1,0)</x:f>
        <x:v>1</x:v>
      </x:c>
      <x:c r="X91" s="20" t="n">
        <x:f>IF(W91=1,P91-F91,"")</x:f>
        <x:v>-2</x:v>
      </x:c>
      <x:c r="Y91" s="10" t="str">
        <x:f>IF(W91=0,"excluded",IF(X91&lt;0,"repaired",IF(X91&gt;0,"entropy","tie")))</x:f>
        <x:v>repaired</x:v>
      </x:c>
      <x:c r="Z91" s="10" t="n">
        <x:f>IF(VALUE(L91)&gt;0,1,0)</x:f>
        <x:v>0</x:v>
      </x:c>
      <x:c r="AA91" s="10" t="n">
        <x:f>IF(AND('Raw Results'!$AR$24="True",'Raw Results'!$AS$24="True"),1,0)</x:f>
        <x:v>1</x:v>
      </x:c>
      <x:c r="AB91" s="10" t="n">
        <x:f>IF(AND(J91=0,Q91=1),1,0)</x:f>
        <x:v>0</x:v>
      </x:c>
      <x:c r="AC91" s="20" t="n">
        <x:f>P91-I91</x:f>
        <x:v>0</x:v>
      </x:c>
      <x:c r="AD91" s="10" t="n">
        <x:f>IF(AND(G91=1,J91=0),1,0)</x:f>
        <x:v>0</x:v>
      </x:c>
      <x:c r="AE91" s="10" t="n">
        <x:f>IF(AND(G91=0,Q91=1),1,0)</x:f>
        <x:v>0</x:v>
      </x:c>
    </x:row>
    <x:row r="92">
      <x:c r="A92" s="10" t="str">
        <x:f>"Zoomed Square"</x:f>
        <x:v>Zoomed Square</x:v>
      </x:c>
      <x:c r="B92" s="12" t="n">
        <x:f>VALUE('Raw Results'!$A$24)</x:f>
        <x:v>100</x:v>
      </x:c>
      <x:c r="C92" s="14" t="n">
        <x:f>VALUE('Raw Results'!$B$24)</x:f>
        <x:v>0.7</x:v>
      </x:c>
      <x:c r="D92" s="12" t="n">
        <x:f>VALUE('Raw Results'!$C$24)</x:f>
        <x:v>2</x:v>
      </x:c>
      <x:c r="E92" s="12" t="n">
        <x:f>VALUE('Raw Results'!$D$24)</x:f>
        <x:v>2882482730</x:v>
      </x:c>
      <x:c r="F92" s="12" t="n">
        <x:f>VALUE('Raw Results'!$BE$24)</x:f>
        <x:v>38</x:v>
      </x:c>
      <x:c r="G92" s="12" t="n">
        <x:f>IF('Raw Results'!$BG$24="True",1,0)</x:f>
        <x:v>1</x:v>
      </x:c>
      <x:c r="H92" s="12" t="n">
        <x:f>VALUE('Raw Results'!$BJ$24)</x:f>
        <x:v>39</x:v>
      </x:c>
      <x:c r="I92" s="12" t="n">
        <x:f>VALUE('Raw Results'!$BK$24)</x:f>
        <x:v>38</x:v>
      </x:c>
      <x:c r="J92" s="12" t="n">
        <x:f>IF('Raw Results'!$BM$24="True",1,0)</x:f>
        <x:v>1</x:v>
      </x:c>
      <x:c r="K92" s="12" t="n">
        <x:f>VALUE('Raw Results'!$BP$24)</x:f>
        <x:v>0</x:v>
      </x:c>
      <x:c r="L92" s="12" t="n">
        <x:f>VALUE('Raw Results'!$BQ$24)</x:f>
        <x:v>0</x:v>
      </x:c>
      <x:c r="M92" s="10" t="str">
        <x:f>'Raw Results'!$BR$24</x:f>
      </x:c>
      <x:c r="N92" s="16" t="n">
        <x:f>VALUE('Raw Results'!$BS$24)</x:f>
        <x:v>0.0020072999177500606</x:v>
      </x:c>
      <x:c r="O92" s="12" t="n">
        <x:f>VALUE('Raw Results'!$BT$24)</x:f>
        <x:v>38</x:v>
      </x:c>
      <x:c r="P92" s="12" t="n">
        <x:f>VALUE('Raw Results'!$BU$24)</x:f>
        <x:v>38</x:v>
      </x:c>
      <x:c r="Q92" s="12" t="n">
        <x:f>IF('Raw Results'!$BW$24="True",1,0)</x:f>
        <x:v>1</x:v>
      </x:c>
      <x:c r="R92" s="12" t="n">
        <x:f>VALUE('Raw Results'!$BY$24)</x:f>
        <x:v>0</x:v>
      </x:c>
      <x:c r="S92" s="12" t="n">
        <x:f>VALUE('Raw Results'!$BZ$24)</x:f>
        <x:v>0</x:v>
      </x:c>
      <x:c r="T92" s="16" t="n">
        <x:f>VALUE('Raw Results'!$BL$24)</x:f>
        <x:v>0.08468480000738055</x:v>
      </x:c>
      <x:c r="U92" s="16" t="n">
        <x:f>VALUE('Raw Results'!$BV$24)</x:f>
        <x:v>0.0866920999251306</x:v>
      </x:c>
      <x:c r="V92" s="18" t="n">
        <x:f>IF(T92=0,0,N92/T92)</x:f>
        <x:v>0.02370319015425576</x:v>
      </x:c>
      <x:c r="W92" s="10" t="n">
        <x:f>IF(AND(G92=1,Q92=1),1,0)</x:f>
        <x:v>1</x:v>
      </x:c>
      <x:c r="X92" s="20" t="n">
        <x:f>IF(W92=1,P92-F92,"")</x:f>
        <x:v>0</x:v>
      </x:c>
      <x:c r="Y92" s="10" t="str">
        <x:f>IF(W92=0,"excluded",IF(X92&lt;0,"repaired",IF(X92&gt;0,"entropy","tie")))</x:f>
        <x:v>tie</x:v>
      </x:c>
      <x:c r="Z92" s="10" t="n">
        <x:f>IF(VALUE(L92)&gt;0,1,0)</x:f>
        <x:v>0</x:v>
      </x:c>
      <x:c r="AA92" s="10" t="n">
        <x:f>IF(AND('Raw Results'!$BN$24="True",'Raw Results'!$BO$24="True"),1,0)</x:f>
        <x:v>1</x:v>
      </x:c>
      <x:c r="AB92" s="10" t="n">
        <x:f>IF(AND(J92=0,Q92=1),1,0)</x:f>
        <x:v>0</x:v>
      </x:c>
      <x:c r="AC92" s="20" t="n">
        <x:f>P92-I92</x:f>
        <x:v>0</x:v>
      </x:c>
      <x:c r="AD92" s="10" t="n">
        <x:f>IF(AND(G92=1,J92=0),1,0)</x:f>
        <x:v>0</x:v>
      </x:c>
      <x:c r="AE92" s="10" t="n">
        <x:f>IF(AND(G92=0,Q92=1),1,0)</x:f>
        <x:v>0</x:v>
      </x:c>
    </x:row>
    <x:row r="93">
      <x:c r="A93" s="10" t="str">
        <x:f>"ICH"</x:f>
        <x:v>ICH</x:v>
      </x:c>
      <x:c r="B93" s="12" t="n">
        <x:f>VALUE('Raw Results'!$A$24)</x:f>
        <x:v>100</x:v>
      </x:c>
      <x:c r="C93" s="14" t="n">
        <x:f>VALUE('Raw Results'!$B$24)</x:f>
        <x:v>0.7</x:v>
      </x:c>
      <x:c r="D93" s="12" t="n">
        <x:f>VALUE('Raw Results'!$C$24)</x:f>
        <x:v>2</x:v>
      </x:c>
      <x:c r="E93" s="12" t="n">
        <x:f>VALUE('Raw Results'!$D$24)</x:f>
        <x:v>2882482730</x:v>
      </x:c>
      <x:c r="F93" s="12" t="n">
        <x:f>VALUE('Raw Results'!$CA$24)</x:f>
        <x:v>31</x:v>
      </x:c>
      <x:c r="G93" s="12" t="n">
        <x:f>IF('Raw Results'!$CC$24="True",1,0)</x:f>
        <x:v>1</x:v>
      </x:c>
      <x:c r="H93" s="12" t="n">
        <x:f>VALUE('Raw Results'!$CF$24)</x:f>
        <x:v>31</x:v>
      </x:c>
      <x:c r="I93" s="12" t="n">
        <x:f>VALUE('Raw Results'!$CG$24)</x:f>
        <x:v>31</x:v>
      </x:c>
      <x:c r="J93" s="12" t="n">
        <x:f>IF('Raw Results'!$CI$24="True",1,0)</x:f>
        <x:v>1</x:v>
      </x:c>
      <x:c r="K93" s="12" t="n">
        <x:f>VALUE('Raw Results'!$CL$24)</x:f>
        <x:v>0</x:v>
      </x:c>
      <x:c r="L93" s="12" t="n">
        <x:f>VALUE('Raw Results'!$CM$24)</x:f>
        <x:v>0</x:v>
      </x:c>
      <x:c r="M93" s="10" t="str">
        <x:f>'Raw Results'!$CN$24</x:f>
      </x:c>
      <x:c r="N93" s="16" t="n">
        <x:f>VALUE('Raw Results'!$CO$24)</x:f>
        <x:v>0.001357999979518354</x:v>
      </x:c>
      <x:c r="O93" s="12" t="n">
        <x:f>VALUE('Raw Results'!$CP$24)</x:f>
        <x:v>31</x:v>
      </x:c>
      <x:c r="P93" s="12" t="n">
        <x:f>VALUE('Raw Results'!$CQ$24)</x:f>
        <x:v>31</x:v>
      </x:c>
      <x:c r="Q93" s="12" t="n">
        <x:f>IF('Raw Results'!$CS$24="True",1,0)</x:f>
        <x:v>1</x:v>
      </x:c>
      <x:c r="R93" s="12" t="n">
        <x:f>VALUE('Raw Results'!$CU$24)</x:f>
        <x:v>0</x:v>
      </x:c>
      <x:c r="S93" s="12" t="n">
        <x:f>VALUE('Raw Results'!$CV$24)</x:f>
        <x:v>0</x:v>
      </x:c>
      <x:c r="T93" s="16" t="n">
        <x:f>VALUE('Raw Results'!$CH$24)</x:f>
        <x:v>0.1952369000064209</x:v>
      </x:c>
      <x:c r="U93" s="16" t="n">
        <x:f>VALUE('Raw Results'!$CR$24)</x:f>
        <x:v>0.19659489998593926</x:v>
      </x:c>
      <x:c r="V93" s="18" t="n">
        <x:f>IF(T93=0,0,N93/T93)</x:f>
        <x:v>0.006955652233126486</x:v>
      </x:c>
      <x:c r="W93" s="10" t="n">
        <x:f>IF(AND(G93=1,Q93=1),1,0)</x:f>
        <x:v>1</x:v>
      </x:c>
      <x:c r="X93" s="20" t="n">
        <x:f>IF(W93=1,P93-F93,"")</x:f>
        <x:v>0</x:v>
      </x:c>
      <x:c r="Y93" s="10" t="str">
        <x:f>IF(W93=0,"excluded",IF(X93&lt;0,"repaired",IF(X93&gt;0,"entropy","tie")))</x:f>
        <x:v>tie</x:v>
      </x:c>
      <x:c r="Z93" s="10" t="n">
        <x:f>IF(VALUE(L93)&gt;0,1,0)</x:f>
        <x:v>0</x:v>
      </x:c>
      <x:c r="AA93" s="10" t="n">
        <x:f>IF(AND('Raw Results'!$CJ$24="True",'Raw Results'!$CK$24="True"),1,0)</x:f>
        <x:v>1</x:v>
      </x:c>
      <x:c r="AB93" s="10" t="n">
        <x:f>IF(AND(J93=0,Q93=1),1,0)</x:f>
        <x:v>0</x:v>
      </x:c>
      <x:c r="AC93" s="20" t="n">
        <x:f>P93-I93</x:f>
        <x:v>0</x:v>
      </x:c>
      <x:c r="AD93" s="10" t="n">
        <x:f>IF(AND(G93=1,J93=0),1,0)</x:f>
        <x:v>0</x:v>
      </x:c>
      <x:c r="AE93" s="10" t="n">
        <x:f>IF(AND(G93=0,Q93=1),1,0)</x:f>
        <x:v>0</x:v>
      </x:c>
    </x:row>
    <x:row r="94">
      <x:c r="A94" s="10" t="str">
        <x:f>"Grid"</x:f>
        <x:v>Grid</x:v>
      </x:c>
      <x:c r="B94" s="12" t="n">
        <x:f>VALUE('Raw Results'!$A$25)</x:f>
        <x:v>100</x:v>
      </x:c>
      <x:c r="C94" s="14" t="n">
        <x:f>VALUE('Raw Results'!$B$25)</x:f>
        <x:v>0.7</x:v>
      </x:c>
      <x:c r="D94" s="12" t="n">
        <x:f>VALUE('Raw Results'!$C$25)</x:f>
        <x:v>3</x:v>
      </x:c>
      <x:c r="E94" s="12" t="n">
        <x:f>VALUE('Raw Results'!$D$25)</x:f>
        <x:v>4029645260</x:v>
      </x:c>
      <x:c r="F94" s="12" t="n">
        <x:f>VALUE('Raw Results'!$M$25)</x:f>
        <x:v>37</x:v>
      </x:c>
      <x:c r="G94" s="12" t="n">
        <x:f>IF('Raw Results'!$O$25="True",1,0)</x:f>
        <x:v>1</x:v>
      </x:c>
      <x:c r="H94" s="12" t="n">
        <x:f>VALUE('Raw Results'!$R$25)</x:f>
        <x:v>37</x:v>
      </x:c>
      <x:c r="I94" s="12" t="n">
        <x:f>VALUE('Raw Results'!$S$25)</x:f>
        <x:v>35</x:v>
      </x:c>
      <x:c r="J94" s="12" t="n">
        <x:f>IF('Raw Results'!$U$25="True",1,0)</x:f>
        <x:v>1</x:v>
      </x:c>
      <x:c r="K94" s="12" t="n">
        <x:f>VALUE('Raw Results'!$X$25)</x:f>
        <x:v>0</x:v>
      </x:c>
      <x:c r="L94" s="12" t="n">
        <x:f>VALUE('Raw Results'!$Y$25)</x:f>
        <x:v>0</x:v>
      </x:c>
      <x:c r="M94" s="10" t="str">
        <x:f>'Raw Results'!$Z$25</x:f>
      </x:c>
      <x:c r="N94" s="16" t="n">
        <x:f>VALUE('Raw Results'!$AA$25)</x:f>
        <x:v>0.0016569000435993075</x:v>
      </x:c>
      <x:c r="O94" s="12" t="n">
        <x:f>VALUE('Raw Results'!$AB$25)</x:f>
        <x:v>35</x:v>
      </x:c>
      <x:c r="P94" s="12" t="n">
        <x:f>VALUE('Raw Results'!$AC$25)</x:f>
        <x:v>35</x:v>
      </x:c>
      <x:c r="Q94" s="12" t="n">
        <x:f>IF('Raw Results'!$AE$25="True",1,0)</x:f>
        <x:v>1</x:v>
      </x:c>
      <x:c r="R94" s="12" t="n">
        <x:f>VALUE('Raw Results'!$AG$25)</x:f>
        <x:v>0</x:v>
      </x:c>
      <x:c r="S94" s="12" t="n">
        <x:f>VALUE('Raw Results'!$AH$25)</x:f>
        <x:v>0</x:v>
      </x:c>
      <x:c r="T94" s="16" t="n">
        <x:f>VALUE('Raw Results'!$T$25)</x:f>
        <x:v>0.1149409000063315</x:v>
      </x:c>
      <x:c r="U94" s="16" t="n">
        <x:f>VALUE('Raw Results'!$AD$25)</x:f>
        <x:v>0.11659780004993081</x:v>
      </x:c>
      <x:c r="V94" s="18" t="n">
        <x:f>IF(T94=0,0,N94/T94)</x:f>
        <x:v>0.014415234642394808</x:v>
      </x:c>
      <x:c r="W94" s="10" t="n">
        <x:f>IF(AND(G94=1,Q94=1),1,0)</x:f>
        <x:v>1</x:v>
      </x:c>
      <x:c r="X94" s="20" t="n">
        <x:f>IF(W94=1,P94-F94,"")</x:f>
        <x:v>-2</x:v>
      </x:c>
      <x:c r="Y94" s="10" t="str">
        <x:f>IF(W94=0,"excluded",IF(X94&lt;0,"repaired",IF(X94&gt;0,"entropy","tie")))</x:f>
        <x:v>repaired</x:v>
      </x:c>
      <x:c r="Z94" s="10" t="n">
        <x:f>IF(VALUE(L94)&gt;0,1,0)</x:f>
        <x:v>0</x:v>
      </x:c>
      <x:c r="AA94" s="10" t="n">
        <x:f>IF(AND('Raw Results'!$V$25="True",'Raw Results'!$W$25="True"),1,0)</x:f>
        <x:v>1</x:v>
      </x:c>
      <x:c r="AB94" s="10" t="n">
        <x:f>IF(AND(J94=0,Q94=1),1,0)</x:f>
        <x:v>0</x:v>
      </x:c>
      <x:c r="AC94" s="20" t="n">
        <x:f>P94-I94</x:f>
        <x:v>0</x:v>
      </x:c>
      <x:c r="AD94" s="10" t="n">
        <x:f>IF(AND(G94=1,J94=0),1,0)</x:f>
        <x:v>0</x:v>
      </x:c>
      <x:c r="AE94" s="10" t="n">
        <x:f>IF(AND(G94=0,Q94=1),1,0)</x:f>
        <x:v>0</x:v>
      </x:c>
    </x:row>
    <x:row r="95">
      <x:c r="A95" s="10" t="str">
        <x:f>"Circle"</x:f>
        <x:v>Circle</x:v>
      </x:c>
      <x:c r="B95" s="12" t="n">
        <x:f>VALUE('Raw Results'!$A$25)</x:f>
        <x:v>100</x:v>
      </x:c>
      <x:c r="C95" s="14" t="n">
        <x:f>VALUE('Raw Results'!$B$25)</x:f>
        <x:v>0.7</x:v>
      </x:c>
      <x:c r="D95" s="12" t="n">
        <x:f>VALUE('Raw Results'!$C$25)</x:f>
        <x:v>3</x:v>
      </x:c>
      <x:c r="E95" s="12" t="n">
        <x:f>VALUE('Raw Results'!$D$25)</x:f>
        <x:v>4029645260</x:v>
      </x:c>
      <x:c r="F95" s="12" t="n">
        <x:f>VALUE('Raw Results'!$AI$25)</x:f>
        <x:v>44</x:v>
      </x:c>
      <x:c r="G95" s="12" t="n">
        <x:f>IF('Raw Results'!$AK$25="True",1,0)</x:f>
        <x:v>1</x:v>
      </x:c>
      <x:c r="H95" s="12" t="n">
        <x:f>VALUE('Raw Results'!$AN$25)</x:f>
        <x:v>72</x:v>
      </x:c>
      <x:c r="I95" s="12" t="n">
        <x:f>VALUE('Raw Results'!$AO$25)</x:f>
        <x:v>47</x:v>
      </x:c>
      <x:c r="J95" s="12" t="n">
        <x:f>IF('Raw Results'!$AQ$25="True",1,0)</x:f>
        <x:v>1</x:v>
      </x:c>
      <x:c r="K95" s="12" t="n">
        <x:f>VALUE('Raw Results'!$AT$25)</x:f>
        <x:v>0</x:v>
      </x:c>
      <x:c r="L95" s="12" t="n">
        <x:f>VALUE('Raw Results'!$AU$25)</x:f>
        <x:v>0</x:v>
      </x:c>
      <x:c r="M95" s="10" t="str">
        <x:f>'Raw Results'!$AV$25</x:f>
      </x:c>
      <x:c r="N95" s="16" t="n">
        <x:f>VALUE('Raw Results'!$AW$25)</x:f>
        <x:v>0.0019488000543788075</x:v>
      </x:c>
      <x:c r="O95" s="12" t="n">
        <x:f>VALUE('Raw Results'!$AX$25)</x:f>
        <x:v>47</x:v>
      </x:c>
      <x:c r="P95" s="12" t="n">
        <x:f>VALUE('Raw Results'!$AY$25)</x:f>
        <x:v>47</x:v>
      </x:c>
      <x:c r="Q95" s="12" t="n">
        <x:f>IF('Raw Results'!$BA$25="True",1,0)</x:f>
        <x:v>1</x:v>
      </x:c>
      <x:c r="R95" s="12" t="n">
        <x:f>VALUE('Raw Results'!$BC$25)</x:f>
        <x:v>0</x:v>
      </x:c>
      <x:c r="S95" s="12" t="n">
        <x:f>VALUE('Raw Results'!$BD$25)</x:f>
        <x:v>0</x:v>
      </x:c>
      <x:c r="T95" s="16" t="n">
        <x:f>VALUE('Raw Results'!$AP$25)</x:f>
        <x:v>0.045267999987117946</x:v>
      </x:c>
      <x:c r="U95" s="16" t="n">
        <x:f>VALUE('Raw Results'!$AZ$25)</x:f>
        <x:v>0.047216800041496754</x:v>
      </x:c>
      <x:c r="V95" s="18" t="n">
        <x:f>IF(T95=0,0,N95/T95)</x:f>
        <x:v>0.04305027955583157</x:v>
      </x:c>
      <x:c r="W95" s="10" t="n">
        <x:f>IF(AND(G95=1,Q95=1),1,0)</x:f>
        <x:v>1</x:v>
      </x:c>
      <x:c r="X95" s="20" t="n">
        <x:f>IF(W95=1,P95-F95,"")</x:f>
        <x:v>3</x:v>
      </x:c>
      <x:c r="Y95" s="10" t="str">
        <x:f>IF(W95=0,"excluded",IF(X95&lt;0,"repaired",IF(X95&gt;0,"entropy","tie")))</x:f>
        <x:v>entropy</x:v>
      </x:c>
      <x:c r="Z95" s="10" t="n">
        <x:f>IF(VALUE(L95)&gt;0,1,0)</x:f>
        <x:v>0</x:v>
      </x:c>
      <x:c r="AA95" s="10" t="n">
        <x:f>IF(AND('Raw Results'!$AR$25="True",'Raw Results'!$AS$25="True"),1,0)</x:f>
        <x:v>1</x:v>
      </x:c>
      <x:c r="AB95" s="10" t="n">
        <x:f>IF(AND(J95=0,Q95=1),1,0)</x:f>
        <x:v>0</x:v>
      </x:c>
      <x:c r="AC95" s="20" t="n">
        <x:f>P95-I95</x:f>
        <x:v>0</x:v>
      </x:c>
      <x:c r="AD95" s="10" t="n">
        <x:f>IF(AND(G95=1,J95=0),1,0)</x:f>
        <x:v>0</x:v>
      </x:c>
      <x:c r="AE95" s="10" t="n">
        <x:f>IF(AND(G95=0,Q95=1),1,0)</x:f>
        <x:v>0</x:v>
      </x:c>
    </x:row>
    <x:row r="96">
      <x:c r="A96" s="10" t="str">
        <x:f>"Zoomed Square"</x:f>
        <x:v>Zoomed Square</x:v>
      </x:c>
      <x:c r="B96" s="12" t="n">
        <x:f>VALUE('Raw Results'!$A$25)</x:f>
        <x:v>100</x:v>
      </x:c>
      <x:c r="C96" s="14" t="n">
        <x:f>VALUE('Raw Results'!$B$25)</x:f>
        <x:v>0.7</x:v>
      </x:c>
      <x:c r="D96" s="12" t="n">
        <x:f>VALUE('Raw Results'!$C$25)</x:f>
        <x:v>3</x:v>
      </x:c>
      <x:c r="E96" s="12" t="n">
        <x:f>VALUE('Raw Results'!$D$25)</x:f>
        <x:v>4029645260</x:v>
      </x:c>
      <x:c r="F96" s="12" t="n">
        <x:f>VALUE('Raw Results'!$BE$25)</x:f>
        <x:v>39</x:v>
      </x:c>
      <x:c r="G96" s="12" t="n">
        <x:f>IF('Raw Results'!$BG$25="True",1,0)</x:f>
        <x:v>1</x:v>
      </x:c>
      <x:c r="H96" s="12" t="n">
        <x:f>VALUE('Raw Results'!$BJ$25)</x:f>
        <x:v>58</x:v>
      </x:c>
      <x:c r="I96" s="12" t="n">
        <x:f>VALUE('Raw Results'!$BK$25)</x:f>
        <x:v>36</x:v>
      </x:c>
      <x:c r="J96" s="12" t="n">
        <x:f>IF('Raw Results'!$BM$25="True",1,0)</x:f>
        <x:v>1</x:v>
      </x:c>
      <x:c r="K96" s="12" t="n">
        <x:f>VALUE('Raw Results'!$BP$25)</x:f>
        <x:v>0</x:v>
      </x:c>
      <x:c r="L96" s="12" t="n">
        <x:f>VALUE('Raw Results'!$BQ$25)</x:f>
        <x:v>0</x:v>
      </x:c>
      <x:c r="M96" s="10" t="str">
        <x:f>'Raw Results'!$BR$25</x:f>
      </x:c>
      <x:c r="N96" s="16" t="n">
        <x:f>VALUE('Raw Results'!$BS$25)</x:f>
        <x:v>0.0015496000414714217</x:v>
      </x:c>
      <x:c r="O96" s="12" t="n">
        <x:f>VALUE('Raw Results'!$BT$25)</x:f>
        <x:v>36</x:v>
      </x:c>
      <x:c r="P96" s="12" t="n">
        <x:f>VALUE('Raw Results'!$BU$25)</x:f>
        <x:v>36</x:v>
      </x:c>
      <x:c r="Q96" s="12" t="n">
        <x:f>IF('Raw Results'!$BW$25="True",1,0)</x:f>
        <x:v>1</x:v>
      </x:c>
      <x:c r="R96" s="12" t="n">
        <x:f>VALUE('Raw Results'!$BY$25)</x:f>
        <x:v>0</x:v>
      </x:c>
      <x:c r="S96" s="12" t="n">
        <x:f>VALUE('Raw Results'!$BZ$25)</x:f>
        <x:v>0</x:v>
      </x:c>
      <x:c r="T96" s="16" t="n">
        <x:f>VALUE('Raw Results'!$BL$25)</x:f>
        <x:v>0.0682685999199748</x:v>
      </x:c>
      <x:c r="U96" s="16" t="n">
        <x:f>VALUE('Raw Results'!$BV$25)</x:f>
        <x:v>0.06981819996144623</x:v>
      </x:c>
      <x:c r="V96" s="18" t="n">
        <x:f>IF(T96=0,0,N96/T96)</x:f>
        <x:v>0.022698576553318507</x:v>
      </x:c>
      <x:c r="W96" s="10" t="n">
        <x:f>IF(AND(G96=1,Q96=1),1,0)</x:f>
        <x:v>1</x:v>
      </x:c>
      <x:c r="X96" s="20" t="n">
        <x:f>IF(W96=1,P96-F96,"")</x:f>
        <x:v>-3</x:v>
      </x:c>
      <x:c r="Y96" s="10" t="str">
        <x:f>IF(W96=0,"excluded",IF(X96&lt;0,"repaired",IF(X96&gt;0,"entropy","tie")))</x:f>
        <x:v>repaired</x:v>
      </x:c>
      <x:c r="Z96" s="10" t="n">
        <x:f>IF(VALUE(L96)&gt;0,1,0)</x:f>
        <x:v>0</x:v>
      </x:c>
      <x:c r="AA96" s="10" t="n">
        <x:f>IF(AND('Raw Results'!$BN$25="True",'Raw Results'!$BO$25="True"),1,0)</x:f>
        <x:v>1</x:v>
      </x:c>
      <x:c r="AB96" s="10" t="n">
        <x:f>IF(AND(J96=0,Q96=1),1,0)</x:f>
        <x:v>0</x:v>
      </x:c>
      <x:c r="AC96" s="20" t="n">
        <x:f>P96-I96</x:f>
        <x:v>0</x:v>
      </x:c>
      <x:c r="AD96" s="10" t="n">
        <x:f>IF(AND(G96=1,J96=0),1,0)</x:f>
        <x:v>0</x:v>
      </x:c>
      <x:c r="AE96" s="10" t="n">
        <x:f>IF(AND(G96=0,Q96=1),1,0)</x:f>
        <x:v>0</x:v>
      </x:c>
    </x:row>
    <x:row r="97">
      <x:c r="A97" s="10" t="str">
        <x:f>"ICH"</x:f>
        <x:v>ICH</x:v>
      </x:c>
      <x:c r="B97" s="12" t="n">
        <x:f>VALUE('Raw Results'!$A$25)</x:f>
        <x:v>100</x:v>
      </x:c>
      <x:c r="C97" s="14" t="n">
        <x:f>VALUE('Raw Results'!$B$25)</x:f>
        <x:v>0.7</x:v>
      </x:c>
      <x:c r="D97" s="12" t="n">
        <x:f>VALUE('Raw Results'!$C$25)</x:f>
        <x:v>3</x:v>
      </x:c>
      <x:c r="E97" s="12" t="n">
        <x:f>VALUE('Raw Results'!$D$25)</x:f>
        <x:v>4029645260</x:v>
      </x:c>
      <x:c r="F97" s="12" t="n">
        <x:f>VALUE('Raw Results'!$CA$25)</x:f>
        <x:v>36</x:v>
      </x:c>
      <x:c r="G97" s="12" t="n">
        <x:f>IF('Raw Results'!$CC$25="True",1,0)</x:f>
        <x:v>1</x:v>
      </x:c>
      <x:c r="H97" s="12" t="n">
        <x:f>VALUE('Raw Results'!$CF$25)</x:f>
        <x:v>36</x:v>
      </x:c>
      <x:c r="I97" s="12" t="n">
        <x:f>VALUE('Raw Results'!$CG$25)</x:f>
        <x:v>36</x:v>
      </x:c>
      <x:c r="J97" s="12" t="n">
        <x:f>IF('Raw Results'!$CI$25="True",1,0)</x:f>
        <x:v>1</x:v>
      </x:c>
      <x:c r="K97" s="12" t="n">
        <x:f>VALUE('Raw Results'!$CL$25)</x:f>
        <x:v>0</x:v>
      </x:c>
      <x:c r="L97" s="12" t="n">
        <x:f>VALUE('Raw Results'!$CM$25)</x:f>
        <x:v>0</x:v>
      </x:c>
      <x:c r="M97" s="10" t="str">
        <x:f>'Raw Results'!$CN$25</x:f>
      </x:c>
      <x:c r="N97" s="16" t="n">
        <x:f>VALUE('Raw Results'!$CO$25)</x:f>
        <x:v>0.00225939997471869</x:v>
      </x:c>
      <x:c r="O97" s="12" t="n">
        <x:f>VALUE('Raw Results'!$CP$25)</x:f>
        <x:v>36</x:v>
      </x:c>
      <x:c r="P97" s="12" t="n">
        <x:f>VALUE('Raw Results'!$CQ$25)</x:f>
        <x:v>36</x:v>
      </x:c>
      <x:c r="Q97" s="12" t="n">
        <x:f>IF('Raw Results'!$CS$25="True",1,0)</x:f>
        <x:v>1</x:v>
      </x:c>
      <x:c r="R97" s="12" t="n">
        <x:f>VALUE('Raw Results'!$CU$25)</x:f>
        <x:v>0</x:v>
      </x:c>
      <x:c r="S97" s="12" t="n">
        <x:f>VALUE('Raw Results'!$CV$25)</x:f>
        <x:v>0</x:v>
      </x:c>
      <x:c r="T97" s="16" t="n">
        <x:f>VALUE('Raw Results'!$CH$25)</x:f>
        <x:v>0.19514470000285655</x:v>
      </x:c>
      <x:c r="U97" s="16" t="n">
        <x:f>VALUE('Raw Results'!$CR$25)</x:f>
        <x:v>0.19740409997757524</x:v>
      </x:c>
      <x:c r="V97" s="18" t="n">
        <x:f>IF(T97=0,0,N97/T97)</x:f>
        <x:v>0.011578075011443388</x:v>
      </x:c>
      <x:c r="W97" s="10" t="n">
        <x:f>IF(AND(G97=1,Q97=1),1,0)</x:f>
        <x:v>1</x:v>
      </x:c>
      <x:c r="X97" s="20" t="n">
        <x:f>IF(W97=1,P97-F97,"")</x:f>
        <x:v>0</x:v>
      </x:c>
      <x:c r="Y97" s="10" t="str">
        <x:f>IF(W97=0,"excluded",IF(X97&lt;0,"repaired",IF(X97&gt;0,"entropy","tie")))</x:f>
        <x:v>tie</x:v>
      </x:c>
      <x:c r="Z97" s="10" t="n">
        <x:f>IF(VALUE(L97)&gt;0,1,0)</x:f>
        <x:v>0</x:v>
      </x:c>
      <x:c r="AA97" s="10" t="n">
        <x:f>IF(AND('Raw Results'!$CJ$25="True",'Raw Results'!$CK$25="True"),1,0)</x:f>
        <x:v>1</x:v>
      </x:c>
      <x:c r="AB97" s="10" t="n">
        <x:f>IF(AND(J97=0,Q97=1),1,0)</x:f>
        <x:v>0</x:v>
      </x:c>
      <x:c r="AC97" s="20" t="n">
        <x:f>P97-I97</x:f>
        <x:v>0</x:v>
      </x:c>
      <x:c r="AD97" s="10" t="n">
        <x:f>IF(AND(G97=1,J97=0),1,0)</x:f>
        <x:v>0</x:v>
      </x:c>
      <x:c r="AE97" s="10" t="n">
        <x:f>IF(AND(G97=0,Q97=1),1,0)</x:f>
        <x:v>0</x:v>
      </x:c>
    </x:row>
    <x:row r="98">
      <x:c r="A98" s="10" t="str">
        <x:f>"Grid"</x:f>
        <x:v>Grid</x:v>
      </x:c>
      <x:c r="B98" s="12" t="n">
        <x:f>VALUE('Raw Results'!$A$26)</x:f>
        <x:v>200</x:v>
      </x:c>
      <x:c r="C98" s="14" t="n">
        <x:f>VALUE('Raw Results'!$B$26)</x:f>
        <x:v>0.1</x:v>
      </x:c>
      <x:c r="D98" s="12" t="n">
        <x:f>VALUE('Raw Results'!$C$26)</x:f>
        <x:v>1</x:v>
      </x:c>
      <x:c r="E98" s="12" t="n">
        <x:f>VALUE('Raw Results'!$D$26)</x:f>
        <x:v>1851999943</x:v>
      </x:c>
      <x:c r="F98" s="12" t="n">
        <x:f>VALUE('Raw Results'!$M$26)</x:f>
        <x:v>117</x:v>
      </x:c>
      <x:c r="G98" s="12" t="n">
        <x:f>IF('Raw Results'!$O$26="True",1,0)</x:f>
        <x:v>0</x:v>
      </x:c>
      <x:c r="H98" s="12" t="n">
        <x:f>VALUE('Raw Results'!$R$26)</x:f>
        <x:v>82</x:v>
      </x:c>
      <x:c r="I98" s="12" t="n">
        <x:f>VALUE('Raw Results'!$S$26)</x:f>
        <x:v>82</x:v>
      </x:c>
      <x:c r="J98" s="12" t="n">
        <x:f>IF('Raw Results'!$U$26="True",1,0)</x:f>
        <x:v>0</x:v>
      </x:c>
      <x:c r="K98" s="12" t="n">
        <x:f>VALUE('Raw Results'!$X$26)</x:f>
        <x:v>2</x:v>
      </x:c>
      <x:c r="L98" s="12" t="n">
        <x:f>VALUE('Raw Results'!$Y$26)</x:f>
        <x:v>2</x:v>
      </x:c>
      <x:c r="M98" s="10" t="str">
        <x:f>'Raw Results'!$Z$26</x:f>
        <x:v>19,86</x:v>
      </x:c>
      <x:c r="N98" s="16" t="n">
        <x:f>VALUE('Raw Results'!$AA$26)</x:f>
        <x:v>0.08360420004464686</x:v>
      </x:c>
      <x:c r="O98" s="12" t="n">
        <x:f>VALUE('Raw Results'!$AB$26)</x:f>
        <x:v>84</x:v>
      </x:c>
      <x:c r="P98" s="12" t="n">
        <x:f>VALUE('Raw Results'!$AC$26)</x:f>
        <x:v>33</x:v>
      </x:c>
      <x:c r="Q98" s="12" t="n">
        <x:f>IF('Raw Results'!$AE$26="True",1,0)</x:f>
        <x:v>1</x:v>
      </x:c>
      <x:c r="R98" s="12" t="n">
        <x:f>VALUE('Raw Results'!$AG$26)</x:f>
        <x:v>51</x:v>
      </x:c>
      <x:c r="S98" s="12" t="n">
        <x:f>VALUE('Raw Results'!$AH$26)</x:f>
        <x:v>-49</x:v>
      </x:c>
      <x:c r="T98" s="16" t="n">
        <x:f>VALUE('Raw Results'!$T$26)</x:f>
        <x:v>0.02013179997447878</x:v>
      </x:c>
      <x:c r="U98" s="16" t="n">
        <x:f>VALUE('Raw Results'!$AD$26)</x:f>
        <x:v>0.10373600001912564</x:v>
      </x:c>
      <x:c r="V98" s="18" t="n">
        <x:f>IF(T98=0,0,N98/T98)</x:f>
        <x:v>4.152842773653249</x:v>
      </x:c>
      <x:c r="W98" s="10" t="n">
        <x:f>IF(AND(G98=1,Q98=1),1,0)</x:f>
        <x:v>0</x:v>
      </x:c>
      <x:c r="X98" s="20" t="str">
        <x:f>IF(W98=1,P98-F98,"")</x:f>
      </x:c>
      <x:c r="Y98" s="10" t="str">
        <x:f>IF(W98=0,"excluded",IF(X98&lt;0,"repaired",IF(X98&gt;0,"entropy","tie")))</x:f>
        <x:v>excluded</x:v>
      </x:c>
      <x:c r="Z98" s="10" t="n">
        <x:f>IF(VALUE(L98)&gt;0,1,0)</x:f>
        <x:v>1</x:v>
      </x:c>
      <x:c r="AA98" s="10" t="n">
        <x:f>IF(AND('Raw Results'!$V$26="True",'Raw Results'!$W$26="True"),1,0)</x:f>
        <x:v>1</x:v>
      </x:c>
      <x:c r="AB98" s="10" t="n">
        <x:f>IF(AND(J98=0,Q98=1),1,0)</x:f>
        <x:v>1</x:v>
      </x:c>
      <x:c r="AC98" s="20" t="n">
        <x:f>P98-I98</x:f>
        <x:v>-49</x:v>
      </x:c>
      <x:c r="AD98" s="10" t="n">
        <x:f>IF(AND(G98=1,J98=0),1,0)</x:f>
        <x:v>0</x:v>
      </x:c>
      <x:c r="AE98" s="10" t="n">
        <x:f>IF(AND(G98=0,Q98=1),1,0)</x:f>
        <x:v>1</x:v>
      </x:c>
    </x:row>
    <x:row r="99">
      <x:c r="A99" s="10" t="str">
        <x:f>"Circle"</x:f>
        <x:v>Circle</x:v>
      </x:c>
      <x:c r="B99" s="12" t="n">
        <x:f>VALUE('Raw Results'!$A$26)</x:f>
        <x:v>200</x:v>
      </x:c>
      <x:c r="C99" s="14" t="n">
        <x:f>VALUE('Raw Results'!$B$26)</x:f>
        <x:v>0.1</x:v>
      </x:c>
      <x:c r="D99" s="12" t="n">
        <x:f>VALUE('Raw Results'!$C$26)</x:f>
        <x:v>1</x:v>
      </x:c>
      <x:c r="E99" s="12" t="n">
        <x:f>VALUE('Raw Results'!$D$26)</x:f>
        <x:v>1851999943</x:v>
      </x:c>
      <x:c r="F99" s="12" t="n">
        <x:f>VALUE('Raw Results'!$AI$26)</x:f>
        <x:v>31</x:v>
      </x:c>
      <x:c r="G99" s="12" t="n">
        <x:f>IF('Raw Results'!$AK$26="True",1,0)</x:f>
        <x:v>1</x:v>
      </x:c>
      <x:c r="H99" s="12" t="n">
        <x:f>VALUE('Raw Results'!$AN$26)</x:f>
        <x:v>111</x:v>
      </x:c>
      <x:c r="I99" s="12" t="n">
        <x:f>VALUE('Raw Results'!$AO$26)</x:f>
        <x:v>32</x:v>
      </x:c>
      <x:c r="J99" s="12" t="n">
        <x:f>IF('Raw Results'!$AQ$26="True",1,0)</x:f>
        <x:v>1</x:v>
      </x:c>
      <x:c r="K99" s="12" t="n">
        <x:f>VALUE('Raw Results'!$AT$26)</x:f>
        <x:v>0</x:v>
      </x:c>
      <x:c r="L99" s="12" t="n">
        <x:f>VALUE('Raw Results'!$AU$26)</x:f>
        <x:v>0</x:v>
      </x:c>
      <x:c r="M99" s="10" t="str">
        <x:f>'Raw Results'!$AV$26</x:f>
      </x:c>
      <x:c r="N99" s="16" t="n">
        <x:f>VALUE('Raw Results'!$AW$26)</x:f>
        <x:v>0.004289699951186776</x:v>
      </x:c>
      <x:c r="O99" s="12" t="n">
        <x:f>VALUE('Raw Results'!$AX$26)</x:f>
        <x:v>32</x:v>
      </x:c>
      <x:c r="P99" s="12" t="n">
        <x:f>VALUE('Raw Results'!$AY$26)</x:f>
        <x:v>32</x:v>
      </x:c>
      <x:c r="Q99" s="12" t="n">
        <x:f>IF('Raw Results'!$BA$26="True",1,0)</x:f>
        <x:v>1</x:v>
      </x:c>
      <x:c r="R99" s="12" t="n">
        <x:f>VALUE('Raw Results'!$BC$26)</x:f>
        <x:v>0</x:v>
      </x:c>
      <x:c r="S99" s="12" t="n">
        <x:f>VALUE('Raw Results'!$BD$26)</x:f>
        <x:v>0</x:v>
      </x:c>
      <x:c r="T99" s="16" t="n">
        <x:f>VALUE('Raw Results'!$AP$26)</x:f>
        <x:v>0.08607740001752973</x:v>
      </x:c>
      <x:c r="U99" s="16" t="n">
        <x:f>VALUE('Raw Results'!$AZ$26)</x:f>
        <x:v>0.0903670999687165</x:v>
      </x:c>
      <x:c r="V99" s="18" t="n">
        <x:f>IF(T99=0,0,N99/T99)</x:f>
        <x:v>0.049835380138261325</x:v>
      </x:c>
      <x:c r="W99" s="10" t="n">
        <x:f>IF(AND(G99=1,Q99=1),1,0)</x:f>
        <x:v>1</x:v>
      </x:c>
      <x:c r="X99" s="20" t="n">
        <x:f>IF(W99=1,P99-F99,"")</x:f>
        <x:v>1</x:v>
      </x:c>
      <x:c r="Y99" s="10" t="str">
        <x:f>IF(W99=0,"excluded",IF(X99&lt;0,"repaired",IF(X99&gt;0,"entropy","tie")))</x:f>
        <x:v>entropy</x:v>
      </x:c>
      <x:c r="Z99" s="10" t="n">
        <x:f>IF(VALUE(L99)&gt;0,1,0)</x:f>
        <x:v>0</x:v>
      </x:c>
      <x:c r="AA99" s="10" t="n">
        <x:f>IF(AND('Raw Results'!$AR$26="True",'Raw Results'!$AS$26="True"),1,0)</x:f>
        <x:v>1</x:v>
      </x:c>
      <x:c r="AB99" s="10" t="n">
        <x:f>IF(AND(J99=0,Q99=1),1,0)</x:f>
        <x:v>0</x:v>
      </x:c>
      <x:c r="AC99" s="20" t="n">
        <x:f>P99-I99</x:f>
        <x:v>0</x:v>
      </x:c>
      <x:c r="AD99" s="10" t="n">
        <x:f>IF(AND(G99=1,J99=0),1,0)</x:f>
        <x:v>0</x:v>
      </x:c>
      <x:c r="AE99" s="10" t="n">
        <x:f>IF(AND(G99=0,Q99=1),1,0)</x:f>
        <x:v>0</x:v>
      </x:c>
    </x:row>
    <x:row r="100">
      <x:c r="A100" s="10" t="str">
        <x:f>"Zoomed Square"</x:f>
        <x:v>Zoomed Square</x:v>
      </x:c>
      <x:c r="B100" s="12" t="n">
        <x:f>VALUE('Raw Results'!$A$26)</x:f>
        <x:v>200</x:v>
      </x:c>
      <x:c r="C100" s="14" t="n">
        <x:f>VALUE('Raw Results'!$B$26)</x:f>
        <x:v>0.1</x:v>
      </x:c>
      <x:c r="D100" s="12" t="n">
        <x:f>VALUE('Raw Results'!$C$26)</x:f>
        <x:v>1</x:v>
      </x:c>
      <x:c r="E100" s="12" t="n">
        <x:f>VALUE('Raw Results'!$D$26)</x:f>
        <x:v>1851999943</x:v>
      </x:c>
      <x:c r="F100" s="12" t="n">
        <x:f>VALUE('Raw Results'!$BE$26)</x:f>
        <x:v>33</x:v>
      </x:c>
      <x:c r="G100" s="12" t="n">
        <x:f>IF('Raw Results'!$BG$26="True",1,0)</x:f>
        <x:v>1</x:v>
      </x:c>
      <x:c r="H100" s="12" t="n">
        <x:f>VALUE('Raw Results'!$BJ$26)</x:f>
        <x:v>110</x:v>
      </x:c>
      <x:c r="I100" s="12" t="n">
        <x:f>VALUE('Raw Results'!$BK$26)</x:f>
        <x:v>32</x:v>
      </x:c>
      <x:c r="J100" s="12" t="n">
        <x:f>IF('Raw Results'!$BM$26="True",1,0)</x:f>
        <x:v>1</x:v>
      </x:c>
      <x:c r="K100" s="12" t="n">
        <x:f>VALUE('Raw Results'!$BP$26)</x:f>
        <x:v>0</x:v>
      </x:c>
      <x:c r="L100" s="12" t="n">
        <x:f>VALUE('Raw Results'!$BQ$26)</x:f>
        <x:v>0</x:v>
      </x:c>
      <x:c r="M100" s="10" t="str">
        <x:f>'Raw Results'!$BR$26</x:f>
      </x:c>
      <x:c r="N100" s="16" t="n">
        <x:f>VALUE('Raw Results'!$BS$26)</x:f>
        <x:v>0.004078899975866079</x:v>
      </x:c>
      <x:c r="O100" s="12" t="n">
        <x:f>VALUE('Raw Results'!$BT$26)</x:f>
        <x:v>32</x:v>
      </x:c>
      <x:c r="P100" s="12" t="n">
        <x:f>VALUE('Raw Results'!$BU$26)</x:f>
        <x:v>32</x:v>
      </x:c>
      <x:c r="Q100" s="12" t="n">
        <x:f>IF('Raw Results'!$BW$26="True",1,0)</x:f>
        <x:v>1</x:v>
      </x:c>
      <x:c r="R100" s="12" t="n">
        <x:f>VALUE('Raw Results'!$BY$26)</x:f>
        <x:v>0</x:v>
      </x:c>
      <x:c r="S100" s="12" t="n">
        <x:f>VALUE('Raw Results'!$BZ$26)</x:f>
        <x:v>0</x:v>
      </x:c>
      <x:c r="T100" s="16" t="n">
        <x:f>VALUE('Raw Results'!$BL$26)</x:f>
        <x:v>0.12326180003583431</x:v>
      </x:c>
      <x:c r="U100" s="16" t="n">
        <x:f>VALUE('Raw Results'!$BV$26)</x:f>
        <x:v>0.1273407000117004</x:v>
      </x:c>
      <x:c r="V100" s="18" t="n">
        <x:f>IF(T100=0,0,N100/T100)</x:f>
        <x:v>0.03309135494273387</x:v>
      </x:c>
      <x:c r="W100" s="10" t="n">
        <x:f>IF(AND(G100=1,Q100=1),1,0)</x:f>
        <x:v>1</x:v>
      </x:c>
      <x:c r="X100" s="20" t="n">
        <x:f>IF(W100=1,P100-F100,"")</x:f>
        <x:v>-1</x:v>
      </x:c>
      <x:c r="Y100" s="10" t="str">
        <x:f>IF(W100=0,"excluded",IF(X100&lt;0,"repaired",IF(X100&gt;0,"entropy","tie")))</x:f>
        <x:v>repaired</x:v>
      </x:c>
      <x:c r="Z100" s="10" t="n">
        <x:f>IF(VALUE(L100)&gt;0,1,0)</x:f>
        <x:v>0</x:v>
      </x:c>
      <x:c r="AA100" s="10" t="n">
        <x:f>IF(AND('Raw Results'!$BN$26="True",'Raw Results'!$BO$26="True"),1,0)</x:f>
        <x:v>1</x:v>
      </x:c>
      <x:c r="AB100" s="10" t="n">
        <x:f>IF(AND(J100=0,Q100=1),1,0)</x:f>
        <x:v>0</x:v>
      </x:c>
      <x:c r="AC100" s="20" t="n">
        <x:f>P100-I100</x:f>
        <x:v>0</x:v>
      </x:c>
      <x:c r="AD100" s="10" t="n">
        <x:f>IF(AND(G100=1,J100=0),1,0)</x:f>
        <x:v>0</x:v>
      </x:c>
      <x:c r="AE100" s="10" t="n">
        <x:f>IF(AND(G100=0,Q100=1),1,0)</x:f>
        <x:v>0</x:v>
      </x:c>
    </x:row>
    <x:row r="101">
      <x:c r="A101" s="10" t="str">
        <x:f>"ICH"</x:f>
        <x:v>ICH</x:v>
      </x:c>
      <x:c r="B101" s="12" t="n">
        <x:f>VALUE('Raw Results'!$A$26)</x:f>
        <x:v>200</x:v>
      </x:c>
      <x:c r="C101" s="14" t="n">
        <x:f>VALUE('Raw Results'!$B$26)</x:f>
        <x:v>0.1</x:v>
      </x:c>
      <x:c r="D101" s="12" t="n">
        <x:f>VALUE('Raw Results'!$C$26)</x:f>
        <x:v>1</x:v>
      </x:c>
      <x:c r="E101" s="12" t="n">
        <x:f>VALUE('Raw Results'!$D$26)</x:f>
        <x:v>1851999943</x:v>
      </x:c>
      <x:c r="F101" s="12" t="n">
        <x:f>VALUE('Raw Results'!$CA$26)</x:f>
        <x:v>33</x:v>
      </x:c>
      <x:c r="G101" s="12" t="n">
        <x:f>IF('Raw Results'!$CC$26="True",1,0)</x:f>
        <x:v>1</x:v>
      </x:c>
      <x:c r="H101" s="12" t="n">
        <x:f>VALUE('Raw Results'!$CF$26)</x:f>
        <x:v>33</x:v>
      </x:c>
      <x:c r="I101" s="12" t="n">
        <x:f>VALUE('Raw Results'!$CG$26)</x:f>
        <x:v>33</x:v>
      </x:c>
      <x:c r="J101" s="12" t="n">
        <x:f>IF('Raw Results'!$CI$26="True",1,0)</x:f>
        <x:v>1</x:v>
      </x:c>
      <x:c r="K101" s="12" t="n">
        <x:f>VALUE('Raw Results'!$CL$26)</x:f>
        <x:v>0</x:v>
      </x:c>
      <x:c r="L101" s="12" t="n">
        <x:f>VALUE('Raw Results'!$CM$26)</x:f>
        <x:v>0</x:v>
      </x:c>
      <x:c r="M101" s="10" t="str">
        <x:f>'Raw Results'!$CN$26</x:f>
      </x:c>
      <x:c r="N101" s="16" t="n">
        <x:f>VALUE('Raw Results'!$CO$26)</x:f>
        <x:v>0.004596000071614981</x:v>
      </x:c>
      <x:c r="O101" s="12" t="n">
        <x:f>VALUE('Raw Results'!$CP$26)</x:f>
        <x:v>33</x:v>
      </x:c>
      <x:c r="P101" s="12" t="n">
        <x:f>VALUE('Raw Results'!$CQ$26)</x:f>
        <x:v>33</x:v>
      </x:c>
      <x:c r="Q101" s="12" t="n">
        <x:f>IF('Raw Results'!$CS$26="True",1,0)</x:f>
        <x:v>1</x:v>
      </x:c>
      <x:c r="R101" s="12" t="n">
        <x:f>VALUE('Raw Results'!$CU$26)</x:f>
        <x:v>0</x:v>
      </x:c>
      <x:c r="S101" s="12" t="n">
        <x:f>VALUE('Raw Results'!$CV$26)</x:f>
        <x:v>0</x:v>
      </x:c>
      <x:c r="T101" s="16" t="n">
        <x:f>VALUE('Raw Results'!$CH$26)</x:f>
        <x:v>1.1163738999748603</x:v>
      </x:c>
      <x:c r="U101" s="16" t="n">
        <x:f>VALUE('Raw Results'!$CR$26)</x:f>
        <x:v>1.1209699000464752</x:v>
      </x:c>
      <x:c r="V101" s="18" t="n">
        <x:f>IF(T101=0,0,N101/T101)</x:f>
        <x:v>0.00411690032498832</x:v>
      </x:c>
      <x:c r="W101" s="10" t="n">
        <x:f>IF(AND(G101=1,Q101=1),1,0)</x:f>
        <x:v>1</x:v>
      </x:c>
      <x:c r="X101" s="20" t="n">
        <x:f>IF(W101=1,P101-F101,"")</x:f>
        <x:v>0</x:v>
      </x:c>
      <x:c r="Y101" s="10" t="str">
        <x:f>IF(W101=0,"excluded",IF(X101&lt;0,"repaired",IF(X101&gt;0,"entropy","tie")))</x:f>
        <x:v>tie</x:v>
      </x:c>
      <x:c r="Z101" s="10" t="n">
        <x:f>IF(VALUE(L101)&gt;0,1,0)</x:f>
        <x:v>0</x:v>
      </x:c>
      <x:c r="AA101" s="10" t="n">
        <x:f>IF(AND('Raw Results'!$CJ$26="True",'Raw Results'!$CK$26="True"),1,0)</x:f>
        <x:v>1</x:v>
      </x:c>
      <x:c r="AB101" s="10" t="n">
        <x:f>IF(AND(J101=0,Q101=1),1,0)</x:f>
        <x:v>0</x:v>
      </x:c>
      <x:c r="AC101" s="20" t="n">
        <x:f>P101-I101</x:f>
        <x:v>0</x:v>
      </x:c>
      <x:c r="AD101" s="10" t="n">
        <x:f>IF(AND(G101=1,J101=0),1,0)</x:f>
        <x:v>0</x:v>
      </x:c>
      <x:c r="AE101" s="10" t="n">
        <x:f>IF(AND(G101=0,Q101=1),1,0)</x:f>
        <x:v>0</x:v>
      </x:c>
    </x:row>
    <x:row r="102">
      <x:c r="A102" s="10" t="str">
        <x:f>"Grid"</x:f>
        <x:v>Grid</x:v>
      </x:c>
      <x:c r="B102" s="12" t="n">
        <x:f>VALUE('Raw Results'!$A$27)</x:f>
        <x:v>200</x:v>
      </x:c>
      <x:c r="C102" s="14" t="n">
        <x:f>VALUE('Raw Results'!$B$27)</x:f>
        <x:v>0.1</x:v>
      </x:c>
      <x:c r="D102" s="12" t="n">
        <x:f>VALUE('Raw Results'!$C$27)</x:f>
        <x:v>2</x:v>
      </x:c>
      <x:c r="E102" s="12" t="n">
        <x:f>VALUE('Raw Results'!$D$27)</x:f>
        <x:v>1039340281</x:v>
      </x:c>
      <x:c r="F102" s="12" t="n">
        <x:f>VALUE('Raw Results'!$M$27)</x:f>
        <x:v>44</x:v>
      </x:c>
      <x:c r="G102" s="12" t="n">
        <x:f>IF('Raw Results'!$O$27="True",1,0)</x:f>
        <x:v>1</x:v>
      </x:c>
      <x:c r="H102" s="12" t="n">
        <x:f>VALUE('Raw Results'!$R$27)</x:f>
        <x:v>87</x:v>
      </x:c>
      <x:c r="I102" s="12" t="n">
        <x:f>VALUE('Raw Results'!$S$27)</x:f>
        <x:v>87</x:v>
      </x:c>
      <x:c r="J102" s="12" t="n">
        <x:f>IF('Raw Results'!$U$27="True",1,0)</x:f>
        <x:v>0</x:v>
      </x:c>
      <x:c r="K102" s="12" t="n">
        <x:f>VALUE('Raw Results'!$X$27)</x:f>
        <x:v>2</x:v>
      </x:c>
      <x:c r="L102" s="12" t="n">
        <x:f>VALUE('Raw Results'!$Y$27)</x:f>
        <x:v>2</x:v>
      </x:c>
      <x:c r="M102" s="10" t="str">
        <x:f>'Raw Results'!$Z$27</x:f>
        <x:v>142,159</x:v>
      </x:c>
      <x:c r="N102" s="16" t="n">
        <x:f>VALUE('Raw Results'!$AA$27)</x:f>
        <x:v>0.08288480003830045</x:v>
      </x:c>
      <x:c r="O102" s="12" t="n">
        <x:f>VALUE('Raw Results'!$AB$27)</x:f>
        <x:v>89</x:v>
      </x:c>
      <x:c r="P102" s="12" t="n">
        <x:f>VALUE('Raw Results'!$AC$27)</x:f>
        <x:v>44</x:v>
      </x:c>
      <x:c r="Q102" s="12" t="n">
        <x:f>IF('Raw Results'!$AE$27="True",1,0)</x:f>
        <x:v>1</x:v>
      </x:c>
      <x:c r="R102" s="12" t="n">
        <x:f>VALUE('Raw Results'!$AG$27)</x:f>
        <x:v>45</x:v>
      </x:c>
      <x:c r="S102" s="12" t="n">
        <x:f>VALUE('Raw Results'!$AH$27)</x:f>
        <x:v>-43</x:v>
      </x:c>
      <x:c r="T102" s="16" t="n">
        <x:f>VALUE('Raw Results'!$T$27)</x:f>
        <x:v>0.020228900015354156</x:v>
      </x:c>
      <x:c r="U102" s="16" t="n">
        <x:f>VALUE('Raw Results'!$AD$27)</x:f>
        <x:v>0.10311370005365461</x:v>
      </x:c>
      <x:c r="V102" s="18" t="n">
        <x:f>IF(T102=0,0,N102/T102)</x:f>
        <x:v>4.09734587522748</x:v>
      </x:c>
      <x:c r="W102" s="10" t="n">
        <x:f>IF(AND(G102=1,Q102=1),1,0)</x:f>
        <x:v>1</x:v>
      </x:c>
      <x:c r="X102" s="20" t="n">
        <x:f>IF(W102=1,P102-F102,"")</x:f>
        <x:v>0</x:v>
      </x:c>
      <x:c r="Y102" s="10" t="str">
        <x:f>IF(W102=0,"excluded",IF(X102&lt;0,"repaired",IF(X102&gt;0,"entropy","tie")))</x:f>
        <x:v>tie</x:v>
      </x:c>
      <x:c r="Z102" s="10" t="n">
        <x:f>IF(VALUE(L102)&gt;0,1,0)</x:f>
        <x:v>1</x:v>
      </x:c>
      <x:c r="AA102" s="10" t="n">
        <x:f>IF(AND('Raw Results'!$V$27="True",'Raw Results'!$W$27="True"),1,0)</x:f>
        <x:v>1</x:v>
      </x:c>
      <x:c r="AB102" s="10" t="n">
        <x:f>IF(AND(J102=0,Q102=1),1,0)</x:f>
        <x:v>1</x:v>
      </x:c>
      <x:c r="AC102" s="20" t="n">
        <x:f>P102-I102</x:f>
        <x:v>-43</x:v>
      </x:c>
      <x:c r="AD102" s="10" t="n">
        <x:f>IF(AND(G102=1,J102=0),1,0)</x:f>
        <x:v>1</x:v>
      </x:c>
      <x:c r="AE102" s="10" t="n">
        <x:f>IF(AND(G102=0,Q102=1),1,0)</x:f>
        <x:v>0</x:v>
      </x:c>
    </x:row>
    <x:row r="103">
      <x:c r="A103" s="10" t="str">
        <x:f>"Circle"</x:f>
        <x:v>Circle</x:v>
      </x:c>
      <x:c r="B103" s="12" t="n">
        <x:f>VALUE('Raw Results'!$A$27)</x:f>
        <x:v>200</x:v>
      </x:c>
      <x:c r="C103" s="14" t="n">
        <x:f>VALUE('Raw Results'!$B$27)</x:f>
        <x:v>0.1</x:v>
      </x:c>
      <x:c r="D103" s="12" t="n">
        <x:f>VALUE('Raw Results'!$C$27)</x:f>
        <x:v>2</x:v>
      </x:c>
      <x:c r="E103" s="12" t="n">
        <x:f>VALUE('Raw Results'!$D$27)</x:f>
        <x:v>1039340281</x:v>
      </x:c>
      <x:c r="F103" s="12" t="n">
        <x:f>VALUE('Raw Results'!$AI$27)</x:f>
        <x:v>45</x:v>
      </x:c>
      <x:c r="G103" s="12" t="n">
        <x:f>IF('Raw Results'!$AK$27="True",1,0)</x:f>
        <x:v>1</x:v>
      </x:c>
      <x:c r="H103" s="12" t="n">
        <x:f>VALUE('Raw Results'!$AN$27)</x:f>
        <x:v>106</x:v>
      </x:c>
      <x:c r="I103" s="12" t="n">
        <x:f>VALUE('Raw Results'!$AO$27)</x:f>
        <x:v>45</x:v>
      </x:c>
      <x:c r="J103" s="12" t="n">
        <x:f>IF('Raw Results'!$AQ$27="True",1,0)</x:f>
        <x:v>1</x:v>
      </x:c>
      <x:c r="K103" s="12" t="n">
        <x:f>VALUE('Raw Results'!$AT$27)</x:f>
        <x:v>0</x:v>
      </x:c>
      <x:c r="L103" s="12" t="n">
        <x:f>VALUE('Raw Results'!$AU$27)</x:f>
        <x:v>0</x:v>
      </x:c>
      <x:c r="M103" s="10" t="str">
        <x:f>'Raw Results'!$AV$27</x:f>
      </x:c>
      <x:c r="N103" s="16" t="n">
        <x:f>VALUE('Raw Results'!$AW$27)</x:f>
        <x:v>0.005174900055862963</x:v>
      </x:c>
      <x:c r="O103" s="12" t="n">
        <x:f>VALUE('Raw Results'!$AX$27)</x:f>
        <x:v>45</x:v>
      </x:c>
      <x:c r="P103" s="12" t="n">
        <x:f>VALUE('Raw Results'!$AY$27)</x:f>
        <x:v>45</x:v>
      </x:c>
      <x:c r="Q103" s="12" t="n">
        <x:f>IF('Raw Results'!$BA$27="True",1,0)</x:f>
        <x:v>1</x:v>
      </x:c>
      <x:c r="R103" s="12" t="n">
        <x:f>VALUE('Raw Results'!$BC$27)</x:f>
        <x:v>0</x:v>
      </x:c>
      <x:c r="S103" s="12" t="n">
        <x:f>VALUE('Raw Results'!$BD$27)</x:f>
        <x:v>0</x:v>
      </x:c>
      <x:c r="T103" s="16" t="n">
        <x:f>VALUE('Raw Results'!$AP$27)</x:f>
        <x:v>0.09158889995887876</x:v>
      </x:c>
      <x:c r="U103" s="16" t="n">
        <x:f>VALUE('Raw Results'!$AZ$27)</x:f>
        <x:v>0.09676380001474172</x:v>
      </x:c>
      <x:c r="V103" s="18" t="n">
        <x:f>IF(T103=0,0,N103/T103)</x:f>
        <x:v>0.05650138890396512</x:v>
      </x:c>
      <x:c r="W103" s="10" t="n">
        <x:f>IF(AND(G103=1,Q103=1),1,0)</x:f>
        <x:v>1</x:v>
      </x:c>
      <x:c r="X103" s="20" t="n">
        <x:f>IF(W103=1,P103-F103,"")</x:f>
        <x:v>0</x:v>
      </x:c>
      <x:c r="Y103" s="10" t="str">
        <x:f>IF(W103=0,"excluded",IF(X103&lt;0,"repaired",IF(X103&gt;0,"entropy","tie")))</x:f>
        <x:v>tie</x:v>
      </x:c>
      <x:c r="Z103" s="10" t="n">
        <x:f>IF(VALUE(L103)&gt;0,1,0)</x:f>
        <x:v>0</x:v>
      </x:c>
      <x:c r="AA103" s="10" t="n">
        <x:f>IF(AND('Raw Results'!$AR$27="True",'Raw Results'!$AS$27="True"),1,0)</x:f>
        <x:v>1</x:v>
      </x:c>
      <x:c r="AB103" s="10" t="n">
        <x:f>IF(AND(J103=0,Q103=1),1,0)</x:f>
        <x:v>0</x:v>
      </x:c>
      <x:c r="AC103" s="20" t="n">
        <x:f>P103-I103</x:f>
        <x:v>0</x:v>
      </x:c>
      <x:c r="AD103" s="10" t="n">
        <x:f>IF(AND(G103=1,J103=0),1,0)</x:f>
        <x:v>0</x:v>
      </x:c>
      <x:c r="AE103" s="10" t="n">
        <x:f>IF(AND(G103=0,Q103=1),1,0)</x:f>
        <x:v>0</x:v>
      </x:c>
    </x:row>
    <x:row r="104">
      <x:c r="A104" s="10" t="str">
        <x:f>"Zoomed Square"</x:f>
        <x:v>Zoomed Square</x:v>
      </x:c>
      <x:c r="B104" s="12" t="n">
        <x:f>VALUE('Raw Results'!$A$27)</x:f>
        <x:v>200</x:v>
      </x:c>
      <x:c r="C104" s="14" t="n">
        <x:f>VALUE('Raw Results'!$B$27)</x:f>
        <x:v>0.1</x:v>
      </x:c>
      <x:c r="D104" s="12" t="n">
        <x:f>VALUE('Raw Results'!$C$27)</x:f>
        <x:v>2</x:v>
      </x:c>
      <x:c r="E104" s="12" t="n">
        <x:f>VALUE('Raw Results'!$D$27)</x:f>
        <x:v>1039340281</x:v>
      </x:c>
      <x:c r="F104" s="12" t="n">
        <x:f>VALUE('Raw Results'!$BE$27)</x:f>
        <x:v>44</x:v>
      </x:c>
      <x:c r="G104" s="12" t="n">
        <x:f>IF('Raw Results'!$BG$27="True",1,0)</x:f>
        <x:v>1</x:v>
      </x:c>
      <x:c r="H104" s="12" t="n">
        <x:f>VALUE('Raw Results'!$BJ$27)</x:f>
        <x:v>117</x:v>
      </x:c>
      <x:c r="I104" s="12" t="n">
        <x:f>VALUE('Raw Results'!$BK$27)</x:f>
        <x:v>45</x:v>
      </x:c>
      <x:c r="J104" s="12" t="n">
        <x:f>IF('Raw Results'!$BM$27="True",1,0)</x:f>
        <x:v>1</x:v>
      </x:c>
      <x:c r="K104" s="12" t="n">
        <x:f>VALUE('Raw Results'!$BP$27)</x:f>
        <x:v>0</x:v>
      </x:c>
      <x:c r="L104" s="12" t="n">
        <x:f>VALUE('Raw Results'!$BQ$27)</x:f>
        <x:v>0</x:v>
      </x:c>
      <x:c r="M104" s="10" t="str">
        <x:f>'Raw Results'!$BR$27</x:f>
      </x:c>
      <x:c r="N104" s="16" t="n">
        <x:f>VALUE('Raw Results'!$BS$27)</x:f>
        <x:v>0.004356199991889298</x:v>
      </x:c>
      <x:c r="O104" s="12" t="n">
        <x:f>VALUE('Raw Results'!$BT$27)</x:f>
        <x:v>45</x:v>
      </x:c>
      <x:c r="P104" s="12" t="n">
        <x:f>VALUE('Raw Results'!$BU$27)</x:f>
        <x:v>45</x:v>
      </x:c>
      <x:c r="Q104" s="12" t="n">
        <x:f>IF('Raw Results'!$BW$27="True",1,0)</x:f>
        <x:v>1</x:v>
      </x:c>
      <x:c r="R104" s="12" t="n">
        <x:f>VALUE('Raw Results'!$BY$27)</x:f>
        <x:v>0</x:v>
      </x:c>
      <x:c r="S104" s="12" t="n">
        <x:f>VALUE('Raw Results'!$BZ$27)</x:f>
        <x:v>0</x:v>
      </x:c>
      <x:c r="T104" s="16" t="n">
        <x:f>VALUE('Raw Results'!$BL$27)</x:f>
        <x:v>0.09426089993212372</x:v>
      </x:c>
      <x:c r="U104" s="16" t="n">
        <x:f>VALUE('Raw Results'!$BV$27)</x:f>
        <x:v>0.09861709992401302</x:v>
      </x:c>
      <x:c r="V104" s="18" t="n">
        <x:f>IF(T104=0,0,N104/T104)</x:f>
        <x:v>0.046214283918635954</x:v>
      </x:c>
      <x:c r="W104" s="10" t="n">
        <x:f>IF(AND(G104=1,Q104=1),1,0)</x:f>
        <x:v>1</x:v>
      </x:c>
      <x:c r="X104" s="20" t="n">
        <x:f>IF(W104=1,P104-F104,"")</x:f>
        <x:v>1</x:v>
      </x:c>
      <x:c r="Y104" s="10" t="str">
        <x:f>IF(W104=0,"excluded",IF(X104&lt;0,"repaired",IF(X104&gt;0,"entropy","tie")))</x:f>
        <x:v>entropy</x:v>
      </x:c>
      <x:c r="Z104" s="10" t="n">
        <x:f>IF(VALUE(L104)&gt;0,1,0)</x:f>
        <x:v>0</x:v>
      </x:c>
      <x:c r="AA104" s="10" t="n">
        <x:f>IF(AND('Raw Results'!$BN$27="True",'Raw Results'!$BO$27="True"),1,0)</x:f>
        <x:v>1</x:v>
      </x:c>
      <x:c r="AB104" s="10" t="n">
        <x:f>IF(AND(J104=0,Q104=1),1,0)</x:f>
        <x:v>0</x:v>
      </x:c>
      <x:c r="AC104" s="20" t="n">
        <x:f>P104-I104</x:f>
        <x:v>0</x:v>
      </x:c>
      <x:c r="AD104" s="10" t="n">
        <x:f>IF(AND(G104=1,J104=0),1,0)</x:f>
        <x:v>0</x:v>
      </x:c>
      <x:c r="AE104" s="10" t="n">
        <x:f>IF(AND(G104=0,Q104=1),1,0)</x:f>
        <x:v>0</x:v>
      </x:c>
    </x:row>
    <x:row r="105">
      <x:c r="A105" s="10" t="str">
        <x:f>"ICH"</x:f>
        <x:v>ICH</x:v>
      </x:c>
      <x:c r="B105" s="12" t="n">
        <x:f>VALUE('Raw Results'!$A$27)</x:f>
        <x:v>200</x:v>
      </x:c>
      <x:c r="C105" s="14" t="n">
        <x:f>VALUE('Raw Results'!$B$27)</x:f>
        <x:v>0.1</x:v>
      </x:c>
      <x:c r="D105" s="12" t="n">
        <x:f>VALUE('Raw Results'!$C$27)</x:f>
        <x:v>2</x:v>
      </x:c>
      <x:c r="E105" s="12" t="n">
        <x:f>VALUE('Raw Results'!$D$27)</x:f>
        <x:v>1039340281</x:v>
      </x:c>
      <x:c r="F105" s="12" t="n">
        <x:f>VALUE('Raw Results'!$CA$27)</x:f>
        <x:v>43</x:v>
      </x:c>
      <x:c r="G105" s="12" t="n">
        <x:f>IF('Raw Results'!$CC$27="True",1,0)</x:f>
        <x:v>1</x:v>
      </x:c>
      <x:c r="H105" s="12" t="n">
        <x:f>VALUE('Raw Results'!$CF$27)</x:f>
        <x:v>43</x:v>
      </x:c>
      <x:c r="I105" s="12" t="n">
        <x:f>VALUE('Raw Results'!$CG$27)</x:f>
        <x:v>43</x:v>
      </x:c>
      <x:c r="J105" s="12" t="n">
        <x:f>IF('Raw Results'!$CI$27="True",1,0)</x:f>
        <x:v>1</x:v>
      </x:c>
      <x:c r="K105" s="12" t="n">
        <x:f>VALUE('Raw Results'!$CL$27)</x:f>
        <x:v>0</x:v>
      </x:c>
      <x:c r="L105" s="12" t="n">
        <x:f>VALUE('Raw Results'!$CM$27)</x:f>
        <x:v>0</x:v>
      </x:c>
      <x:c r="M105" s="10" t="str">
        <x:f>'Raw Results'!$CN$27</x:f>
      </x:c>
      <x:c r="N105" s="16" t="n">
        <x:f>VALUE('Raw Results'!$CO$27)</x:f>
        <x:v>0.004387599998153746</x:v>
      </x:c>
      <x:c r="O105" s="12" t="n">
        <x:f>VALUE('Raw Results'!$CP$27)</x:f>
        <x:v>43</x:v>
      </x:c>
      <x:c r="P105" s="12" t="n">
        <x:f>VALUE('Raw Results'!$CQ$27)</x:f>
        <x:v>43</x:v>
      </x:c>
      <x:c r="Q105" s="12" t="n">
        <x:f>IF('Raw Results'!$CS$27="True",1,0)</x:f>
        <x:v>1</x:v>
      </x:c>
      <x:c r="R105" s="12" t="n">
        <x:f>VALUE('Raw Results'!$CU$27)</x:f>
        <x:v>0</x:v>
      </x:c>
      <x:c r="S105" s="12" t="n">
        <x:f>VALUE('Raw Results'!$CV$27)</x:f>
        <x:v>0</x:v>
      </x:c>
      <x:c r="T105" s="16" t="n">
        <x:f>VALUE('Raw Results'!$CH$27)</x:f>
        <x:v>1.298745199921541</x:v>
      </x:c>
      <x:c r="U105" s="16" t="n">
        <x:f>VALUE('Raw Results'!$CR$27)</x:f>
        <x:v>1.3031327999196947</x:v>
      </x:c>
      <x:c r="V105" s="18" t="n">
        <x:f>IF(T105=0,0,N105/T105)</x:f>
        <x:v>0.0033783377974515765</x:v>
      </x:c>
      <x:c r="W105" s="10" t="n">
        <x:f>IF(AND(G105=1,Q105=1),1,0)</x:f>
        <x:v>1</x:v>
      </x:c>
      <x:c r="X105" s="20" t="n">
        <x:f>IF(W105=1,P105-F105,"")</x:f>
        <x:v>0</x:v>
      </x:c>
      <x:c r="Y105" s="10" t="str">
        <x:f>IF(W105=0,"excluded",IF(X105&lt;0,"repaired",IF(X105&gt;0,"entropy","tie")))</x:f>
        <x:v>tie</x:v>
      </x:c>
      <x:c r="Z105" s="10" t="n">
        <x:f>IF(VALUE(L105)&gt;0,1,0)</x:f>
        <x:v>0</x:v>
      </x:c>
      <x:c r="AA105" s="10" t="n">
        <x:f>IF(AND('Raw Results'!$CJ$27="True",'Raw Results'!$CK$27="True"),1,0)</x:f>
        <x:v>1</x:v>
      </x:c>
      <x:c r="AB105" s="10" t="n">
        <x:f>IF(AND(J105=0,Q105=1),1,0)</x:f>
        <x:v>0</x:v>
      </x:c>
      <x:c r="AC105" s="20" t="n">
        <x:f>P105-I105</x:f>
        <x:v>0</x:v>
      </x:c>
      <x:c r="AD105" s="10" t="n">
        <x:f>IF(AND(G105=1,J105=0),1,0)</x:f>
        <x:v>0</x:v>
      </x:c>
      <x:c r="AE105" s="10" t="n">
        <x:f>IF(AND(G105=0,Q105=1),1,0)</x:f>
        <x:v>0</x:v>
      </x:c>
    </x:row>
    <x:row r="106">
      <x:c r="A106" s="10" t="str">
        <x:f>"Grid"</x:f>
        <x:v>Grid</x:v>
      </x:c>
      <x:c r="B106" s="12" t="n">
        <x:f>VALUE('Raw Results'!$A$28)</x:f>
        <x:v>200</x:v>
      </x:c>
      <x:c r="C106" s="14" t="n">
        <x:f>VALUE('Raw Results'!$B$28)</x:f>
        <x:v>0.1</x:v>
      </x:c>
      <x:c r="D106" s="12" t="n">
        <x:f>VALUE('Raw Results'!$C$28)</x:f>
        <x:v>3</x:v>
      </x:c>
      <x:c r="E106" s="12" t="n">
        <x:f>VALUE('Raw Results'!$D$28)</x:f>
        <x:v>1100460246</x:v>
      </x:c>
      <x:c r="F106" s="12" t="n">
        <x:f>VALUE('Raw Results'!$M$28)</x:f>
        <x:v>118</x:v>
      </x:c>
      <x:c r="G106" s="12" t="n">
        <x:f>IF('Raw Results'!$O$28="True",1,0)</x:f>
        <x:v>0</x:v>
      </x:c>
      <x:c r="H106" s="12" t="n">
        <x:f>VALUE('Raw Results'!$R$28)</x:f>
        <x:v>84</x:v>
      </x:c>
      <x:c r="I106" s="12" t="n">
        <x:f>VALUE('Raw Results'!$S$28)</x:f>
        <x:v>84</x:v>
      </x:c>
      <x:c r="J106" s="12" t="n">
        <x:f>IF('Raw Results'!$U$28="True",1,0)</x:f>
        <x:v>0</x:v>
      </x:c>
      <x:c r="K106" s="12" t="n">
        <x:f>VALUE('Raw Results'!$X$28)</x:f>
        <x:v>1</x:v>
      </x:c>
      <x:c r="L106" s="12" t="n">
        <x:f>VALUE('Raw Results'!$Y$28)</x:f>
        <x:v>1</x:v>
      </x:c>
      <x:c r="M106" s="10" t="str">
        <x:f>'Raw Results'!$Z$28</x:f>
        <x:v>164</x:v>
      </x:c>
      <x:c r="N106" s="16" t="n">
        <x:f>VALUE('Raw Results'!$AA$28)</x:f>
        <x:v>0.08674499997869134</x:v>
      </x:c>
      <x:c r="O106" s="12" t="n">
        <x:f>VALUE('Raw Results'!$AB$28)</x:f>
        <x:v>85</x:v>
      </x:c>
      <x:c r="P106" s="12" t="n">
        <x:f>VALUE('Raw Results'!$AC$28)</x:f>
        <x:v>44</x:v>
      </x:c>
      <x:c r="Q106" s="12" t="n">
        <x:f>IF('Raw Results'!$AE$28="True",1,0)</x:f>
        <x:v>1</x:v>
      </x:c>
      <x:c r="R106" s="12" t="n">
        <x:f>VALUE('Raw Results'!$AG$28)</x:f>
        <x:v>41</x:v>
      </x:c>
      <x:c r="S106" s="12" t="n">
        <x:f>VALUE('Raw Results'!$AH$28)</x:f>
        <x:v>-40</x:v>
      </x:c>
      <x:c r="T106" s="16" t="n">
        <x:f>VALUE('Raw Results'!$T$28)</x:f>
        <x:v>0.023381299921311438</x:v>
      </x:c>
      <x:c r="U106" s="16" t="n">
        <x:f>VALUE('Raw Results'!$AD$28)</x:f>
        <x:v>0.11012629990000278</x:v>
      </x:c>
      <x:c r="V106" s="18" t="n">
        <x:f>IF(T106=0,0,N106/T106)</x:f>
        <x:v>3.7100161355710406</x:v>
      </x:c>
      <x:c r="W106" s="10" t="n">
        <x:f>IF(AND(G106=1,Q106=1),1,0)</x:f>
        <x:v>0</x:v>
      </x:c>
      <x:c r="X106" s="20" t="str">
        <x:f>IF(W106=1,P106-F106,"")</x:f>
      </x:c>
      <x:c r="Y106" s="10" t="str">
        <x:f>IF(W106=0,"excluded",IF(X106&lt;0,"repaired",IF(X106&gt;0,"entropy","tie")))</x:f>
        <x:v>excluded</x:v>
      </x:c>
      <x:c r="Z106" s="10" t="n">
        <x:f>IF(VALUE(L106)&gt;0,1,0)</x:f>
        <x:v>1</x:v>
      </x:c>
      <x:c r="AA106" s="10" t="n">
        <x:f>IF(AND('Raw Results'!$V$28="True",'Raw Results'!$W$28="True"),1,0)</x:f>
        <x:v>1</x:v>
      </x:c>
      <x:c r="AB106" s="10" t="n">
        <x:f>IF(AND(J106=0,Q106=1),1,0)</x:f>
        <x:v>1</x:v>
      </x:c>
      <x:c r="AC106" s="20" t="n">
        <x:f>P106-I106</x:f>
        <x:v>-40</x:v>
      </x:c>
      <x:c r="AD106" s="10" t="n">
        <x:f>IF(AND(G106=1,J106=0),1,0)</x:f>
        <x:v>0</x:v>
      </x:c>
      <x:c r="AE106" s="10" t="n">
        <x:f>IF(AND(G106=0,Q106=1),1,0)</x:f>
        <x:v>1</x:v>
      </x:c>
    </x:row>
    <x:row r="107">
      <x:c r="A107" s="10" t="str">
        <x:f>"Circle"</x:f>
        <x:v>Circle</x:v>
      </x:c>
      <x:c r="B107" s="12" t="n">
        <x:f>VALUE('Raw Results'!$A$28)</x:f>
        <x:v>200</x:v>
      </x:c>
      <x:c r="C107" s="14" t="n">
        <x:f>VALUE('Raw Results'!$B$28)</x:f>
        <x:v>0.1</x:v>
      </x:c>
      <x:c r="D107" s="12" t="n">
        <x:f>VALUE('Raw Results'!$C$28)</x:f>
        <x:v>3</x:v>
      </x:c>
      <x:c r="E107" s="12" t="n">
        <x:f>VALUE('Raw Results'!$D$28)</x:f>
        <x:v>1100460246</x:v>
      </x:c>
      <x:c r="F107" s="12" t="n">
        <x:f>VALUE('Raw Results'!$AI$28)</x:f>
        <x:v>45</x:v>
      </x:c>
      <x:c r="G107" s="12" t="n">
        <x:f>IF('Raw Results'!$AK$28="True",1,0)</x:f>
        <x:v>1</x:v>
      </x:c>
      <x:c r="H107" s="12" t="n">
        <x:f>VALUE('Raw Results'!$AN$28)</x:f>
        <x:v>117</x:v>
      </x:c>
      <x:c r="I107" s="12" t="n">
        <x:f>VALUE('Raw Results'!$AO$28)</x:f>
        <x:v>46</x:v>
      </x:c>
      <x:c r="J107" s="12" t="n">
        <x:f>IF('Raw Results'!$AQ$28="True",1,0)</x:f>
        <x:v>1</x:v>
      </x:c>
      <x:c r="K107" s="12" t="n">
        <x:f>VALUE('Raw Results'!$AT$28)</x:f>
        <x:v>0</x:v>
      </x:c>
      <x:c r="L107" s="12" t="n">
        <x:f>VALUE('Raw Results'!$AU$28)</x:f>
        <x:v>0</x:v>
      </x:c>
      <x:c r="M107" s="10" t="str">
        <x:f>'Raw Results'!$AV$28</x:f>
      </x:c>
      <x:c r="N107" s="16" t="n">
        <x:f>VALUE('Raw Results'!$AW$28)</x:f>
        <x:v>0.006079399958252907</x:v>
      </x:c>
      <x:c r="O107" s="12" t="n">
        <x:f>VALUE('Raw Results'!$AX$28)</x:f>
        <x:v>46</x:v>
      </x:c>
      <x:c r="P107" s="12" t="n">
        <x:f>VALUE('Raw Results'!$AY$28)</x:f>
        <x:v>46</x:v>
      </x:c>
      <x:c r="Q107" s="12" t="n">
        <x:f>IF('Raw Results'!$BA$28="True",1,0)</x:f>
        <x:v>1</x:v>
      </x:c>
      <x:c r="R107" s="12" t="n">
        <x:f>VALUE('Raw Results'!$BC$28)</x:f>
        <x:v>0</x:v>
      </x:c>
      <x:c r="S107" s="12" t="n">
        <x:f>VALUE('Raw Results'!$BD$28)</x:f>
        <x:v>0</x:v>
      </x:c>
      <x:c r="T107" s="16" t="n">
        <x:f>VALUE('Raw Results'!$AP$28)</x:f>
        <x:v>0.12415199994575232</x:v>
      </x:c>
      <x:c r="U107" s="16" t="n">
        <x:f>VALUE('Raw Results'!$AZ$28)</x:f>
        <x:v>0.13023139990400523</x:v>
      </x:c>
      <x:c r="V107" s="18" t="n">
        <x:f>IF(T107=0,0,N107/T107)</x:f>
        <x:v>0.048967394491504564</x:v>
      </x:c>
      <x:c r="W107" s="10" t="n">
        <x:f>IF(AND(G107=1,Q107=1),1,0)</x:f>
        <x:v>1</x:v>
      </x:c>
      <x:c r="X107" s="20" t="n">
        <x:f>IF(W107=1,P107-F107,"")</x:f>
        <x:v>1</x:v>
      </x:c>
      <x:c r="Y107" s="10" t="str">
        <x:f>IF(W107=0,"excluded",IF(X107&lt;0,"repaired",IF(X107&gt;0,"entropy","tie")))</x:f>
        <x:v>entropy</x:v>
      </x:c>
      <x:c r="Z107" s="10" t="n">
        <x:f>IF(VALUE(L107)&gt;0,1,0)</x:f>
        <x:v>0</x:v>
      </x:c>
      <x:c r="AA107" s="10" t="n">
        <x:f>IF(AND('Raw Results'!$AR$28="True",'Raw Results'!$AS$28="True"),1,0)</x:f>
        <x:v>1</x:v>
      </x:c>
      <x:c r="AB107" s="10" t="n">
        <x:f>IF(AND(J107=0,Q107=1),1,0)</x:f>
        <x:v>0</x:v>
      </x:c>
      <x:c r="AC107" s="20" t="n">
        <x:f>P107-I107</x:f>
        <x:v>0</x:v>
      </x:c>
      <x:c r="AD107" s="10" t="n">
        <x:f>IF(AND(G107=1,J107=0),1,0)</x:f>
        <x:v>0</x:v>
      </x:c>
      <x:c r="AE107" s="10" t="n">
        <x:f>IF(AND(G107=0,Q107=1),1,0)</x:f>
        <x:v>0</x:v>
      </x:c>
    </x:row>
    <x:row r="108">
      <x:c r="A108" s="10" t="str">
        <x:f>"Zoomed Square"</x:f>
        <x:v>Zoomed Square</x:v>
      </x:c>
      <x:c r="B108" s="12" t="n">
        <x:f>VALUE('Raw Results'!$A$28)</x:f>
        <x:v>200</x:v>
      </x:c>
      <x:c r="C108" s="14" t="n">
        <x:f>VALUE('Raw Results'!$B$28)</x:f>
        <x:v>0.1</x:v>
      </x:c>
      <x:c r="D108" s="12" t="n">
        <x:f>VALUE('Raw Results'!$C$28)</x:f>
        <x:v>3</x:v>
      </x:c>
      <x:c r="E108" s="12" t="n">
        <x:f>VALUE('Raw Results'!$D$28)</x:f>
        <x:v>1100460246</x:v>
      </x:c>
      <x:c r="F108" s="12" t="n">
        <x:f>VALUE('Raw Results'!$BE$28)</x:f>
        <x:v>45</x:v>
      </x:c>
      <x:c r="G108" s="12" t="n">
        <x:f>IF('Raw Results'!$BG$28="True",1,0)</x:f>
        <x:v>1</x:v>
      </x:c>
      <x:c r="H108" s="12" t="n">
        <x:f>VALUE('Raw Results'!$BJ$28)</x:f>
        <x:v>108</x:v>
      </x:c>
      <x:c r="I108" s="12" t="n">
        <x:f>VALUE('Raw Results'!$BK$28)</x:f>
        <x:v>45</x:v>
      </x:c>
      <x:c r="J108" s="12" t="n">
        <x:f>IF('Raw Results'!$BM$28="True",1,0)</x:f>
        <x:v>1</x:v>
      </x:c>
      <x:c r="K108" s="12" t="n">
        <x:f>VALUE('Raw Results'!$BP$28)</x:f>
        <x:v>0</x:v>
      </x:c>
      <x:c r="L108" s="12" t="n">
        <x:f>VALUE('Raw Results'!$BQ$28)</x:f>
        <x:v>0</x:v>
      </x:c>
      <x:c r="M108" s="10" t="str">
        <x:f>'Raw Results'!$BR$28</x:f>
      </x:c>
      <x:c r="N108" s="16" t="n">
        <x:f>VALUE('Raw Results'!$BS$28)</x:f>
        <x:v>0.004568300093524158</x:v>
      </x:c>
      <x:c r="O108" s="12" t="n">
        <x:f>VALUE('Raw Results'!$BT$28)</x:f>
        <x:v>45</x:v>
      </x:c>
      <x:c r="P108" s="12" t="n">
        <x:f>VALUE('Raw Results'!$BU$28)</x:f>
        <x:v>45</x:v>
      </x:c>
      <x:c r="Q108" s="12" t="n">
        <x:f>IF('Raw Results'!$BW$28="True",1,0)</x:f>
        <x:v>1</x:v>
      </x:c>
      <x:c r="R108" s="12" t="n">
        <x:f>VALUE('Raw Results'!$BY$28)</x:f>
        <x:v>0</x:v>
      </x:c>
      <x:c r="S108" s="12" t="n">
        <x:f>VALUE('Raw Results'!$BZ$28)</x:f>
        <x:v>0</x:v>
      </x:c>
      <x:c r="T108" s="16" t="n">
        <x:f>VALUE('Raw Results'!$BL$28)</x:f>
        <x:v>0.09898249991238117</x:v>
      </x:c>
      <x:c r="U108" s="16" t="n">
        <x:f>VALUE('Raw Results'!$BV$28)</x:f>
        <x:v>0.10355080000590533</x:v>
      </x:c>
      <x:c r="V108" s="18" t="n">
        <x:f>IF(T108=0,0,N108/T108)</x:f>
        <x:v>0.04615260371851585</x:v>
      </x:c>
      <x:c r="W108" s="10" t="n">
        <x:f>IF(AND(G108=1,Q108=1),1,0)</x:f>
        <x:v>1</x:v>
      </x:c>
      <x:c r="X108" s="20" t="n">
        <x:f>IF(W108=1,P108-F108,"")</x:f>
        <x:v>0</x:v>
      </x:c>
      <x:c r="Y108" s="10" t="str">
        <x:f>IF(W108=0,"excluded",IF(X108&lt;0,"repaired",IF(X108&gt;0,"entropy","tie")))</x:f>
        <x:v>tie</x:v>
      </x:c>
      <x:c r="Z108" s="10" t="n">
        <x:f>IF(VALUE(L108)&gt;0,1,0)</x:f>
        <x:v>0</x:v>
      </x:c>
      <x:c r="AA108" s="10" t="n">
        <x:f>IF(AND('Raw Results'!$BN$28="True",'Raw Results'!$BO$28="True"),1,0)</x:f>
        <x:v>1</x:v>
      </x:c>
      <x:c r="AB108" s="10" t="n">
        <x:f>IF(AND(J108=0,Q108=1),1,0)</x:f>
        <x:v>0</x:v>
      </x:c>
      <x:c r="AC108" s="20" t="n">
        <x:f>P108-I108</x:f>
        <x:v>0</x:v>
      </x:c>
      <x:c r="AD108" s="10" t="n">
        <x:f>IF(AND(G108=1,J108=0),1,0)</x:f>
        <x:v>0</x:v>
      </x:c>
      <x:c r="AE108" s="10" t="n">
        <x:f>IF(AND(G108=0,Q108=1),1,0)</x:f>
        <x:v>0</x:v>
      </x:c>
    </x:row>
    <x:row r="109">
      <x:c r="A109" s="10" t="str">
        <x:f>"ICH"</x:f>
        <x:v>ICH</x:v>
      </x:c>
      <x:c r="B109" s="12" t="n">
        <x:f>VALUE('Raw Results'!$A$28)</x:f>
        <x:v>200</x:v>
      </x:c>
      <x:c r="C109" s="14" t="n">
        <x:f>VALUE('Raw Results'!$B$28)</x:f>
        <x:v>0.1</x:v>
      </x:c>
      <x:c r="D109" s="12" t="n">
        <x:f>VALUE('Raw Results'!$C$28)</x:f>
        <x:v>3</x:v>
      </x:c>
      <x:c r="E109" s="12" t="n">
        <x:f>VALUE('Raw Results'!$D$28)</x:f>
        <x:v>1100460246</x:v>
      </x:c>
      <x:c r="F109" s="12" t="n">
        <x:f>VALUE('Raw Results'!$CA$28)</x:f>
        <x:v>46</x:v>
      </x:c>
      <x:c r="G109" s="12" t="n">
        <x:f>IF('Raw Results'!$CC$28="True",1,0)</x:f>
        <x:v>1</x:v>
      </x:c>
      <x:c r="H109" s="12" t="n">
        <x:f>VALUE('Raw Results'!$CF$28)</x:f>
        <x:v>46</x:v>
      </x:c>
      <x:c r="I109" s="12" t="n">
        <x:f>VALUE('Raw Results'!$CG$28)</x:f>
        <x:v>46</x:v>
      </x:c>
      <x:c r="J109" s="12" t="n">
        <x:f>IF('Raw Results'!$CI$28="True",1,0)</x:f>
        <x:v>1</x:v>
      </x:c>
      <x:c r="K109" s="12" t="n">
        <x:f>VALUE('Raw Results'!$CL$28)</x:f>
        <x:v>0</x:v>
      </x:c>
      <x:c r="L109" s="12" t="n">
        <x:f>VALUE('Raw Results'!$CM$28)</x:f>
        <x:v>0</x:v>
      </x:c>
      <x:c r="M109" s="10" t="str">
        <x:f>'Raw Results'!$CN$28</x:f>
      </x:c>
      <x:c r="N109" s="16" t="n">
        <x:f>VALUE('Raw Results'!$CO$28)</x:f>
        <x:v>0.006217100075446069</x:v>
      </x:c>
      <x:c r="O109" s="12" t="n">
        <x:f>VALUE('Raw Results'!$CP$28)</x:f>
        <x:v>46</x:v>
      </x:c>
      <x:c r="P109" s="12" t="n">
        <x:f>VALUE('Raw Results'!$CQ$28)</x:f>
        <x:v>46</x:v>
      </x:c>
      <x:c r="Q109" s="12" t="n">
        <x:f>IF('Raw Results'!$CS$28="True",1,0)</x:f>
        <x:v>1</x:v>
      </x:c>
      <x:c r="R109" s="12" t="n">
        <x:f>VALUE('Raw Results'!$CU$28)</x:f>
        <x:v>0</x:v>
      </x:c>
      <x:c r="S109" s="12" t="n">
        <x:f>VALUE('Raw Results'!$CV$28)</x:f>
        <x:v>0</x:v>
      </x:c>
      <x:c r="T109" s="16" t="n">
        <x:f>VALUE('Raw Results'!$CH$28)</x:f>
        <x:v>1.3500155999790877</x:v>
      </x:c>
      <x:c r="U109" s="16" t="n">
        <x:f>VALUE('Raw Results'!$CR$28)</x:f>
        <x:v>1.3562327000545338</x:v>
      </x:c>
      <x:c r="V109" s="18" t="n">
        <x:f>IF(T109=0,0,N109/T109)</x:f>
        <x:v>0.004605206099501646</x:v>
      </x:c>
      <x:c r="W109" s="10" t="n">
        <x:f>IF(AND(G109=1,Q109=1),1,0)</x:f>
        <x:v>1</x:v>
      </x:c>
      <x:c r="X109" s="20" t="n">
        <x:f>IF(W109=1,P109-F109,"")</x:f>
        <x:v>0</x:v>
      </x:c>
      <x:c r="Y109" s="10" t="str">
        <x:f>IF(W109=0,"excluded",IF(X109&lt;0,"repaired",IF(X109&gt;0,"entropy","tie")))</x:f>
        <x:v>tie</x:v>
      </x:c>
      <x:c r="Z109" s="10" t="n">
        <x:f>IF(VALUE(L109)&gt;0,1,0)</x:f>
        <x:v>0</x:v>
      </x:c>
      <x:c r="AA109" s="10" t="n">
        <x:f>IF(AND('Raw Results'!$CJ$28="True",'Raw Results'!$CK$28="True"),1,0)</x:f>
        <x:v>1</x:v>
      </x:c>
      <x:c r="AB109" s="10" t="n">
        <x:f>IF(AND(J109=0,Q109=1),1,0)</x:f>
        <x:v>0</x:v>
      </x:c>
      <x:c r="AC109" s="20" t="n">
        <x:f>P109-I109</x:f>
        <x:v>0</x:v>
      </x:c>
      <x:c r="AD109" s="10" t="n">
        <x:f>IF(AND(G109=1,J109=0),1,0)</x:f>
        <x:v>0</x:v>
      </x:c>
      <x:c r="AE109" s="10" t="n">
        <x:f>IF(AND(G109=0,Q109=1),1,0)</x:f>
        <x:v>0</x:v>
      </x:c>
    </x:row>
    <x:row r="110">
      <x:c r="A110" s="10" t="str">
        <x:f>"Grid"</x:f>
        <x:v>Grid</x:v>
      </x:c>
      <x:c r="B110" s="12" t="n">
        <x:f>VALUE('Raw Results'!$A$29)</x:f>
        <x:v>200</x:v>
      </x:c>
      <x:c r="C110" s="14" t="n">
        <x:f>VALUE('Raw Results'!$B$29)</x:f>
        <x:v>0.3</x:v>
      </x:c>
      <x:c r="D110" s="12" t="n">
        <x:f>VALUE('Raw Results'!$C$29)</x:f>
        <x:v>1</x:v>
      </x:c>
      <x:c r="E110" s="12" t="n">
        <x:f>VALUE('Raw Results'!$D$29)</x:f>
        <x:v>785756839</x:v>
      </x:c>
      <x:c r="F110" s="12" t="n">
        <x:f>VALUE('Raw Results'!$M$29)</x:f>
        <x:v>30</x:v>
      </x:c>
      <x:c r="G110" s="12" t="n">
        <x:f>IF('Raw Results'!$O$29="True",1,0)</x:f>
        <x:v>1</x:v>
      </x:c>
      <x:c r="H110" s="12" t="n">
        <x:f>VALUE('Raw Results'!$R$29)</x:f>
        <x:v>66</x:v>
      </x:c>
      <x:c r="I110" s="12" t="n">
        <x:f>VALUE('Raw Results'!$S$29)</x:f>
        <x:v>31</x:v>
      </x:c>
      <x:c r="J110" s="12" t="n">
        <x:f>IF('Raw Results'!$U$29="True",1,0)</x:f>
        <x:v>1</x:v>
      </x:c>
      <x:c r="K110" s="12" t="n">
        <x:f>VALUE('Raw Results'!$X$29)</x:f>
        <x:v>0</x:v>
      </x:c>
      <x:c r="L110" s="12" t="n">
        <x:f>VALUE('Raw Results'!$Y$29)</x:f>
        <x:v>0</x:v>
      </x:c>
      <x:c r="M110" s="10" t="str">
        <x:f>'Raw Results'!$Z$29</x:f>
      </x:c>
      <x:c r="N110" s="16" t="n">
        <x:f>VALUE('Raw Results'!$AA$29)</x:f>
        <x:v>0.00361799995880574</x:v>
      </x:c>
      <x:c r="O110" s="12" t="n">
        <x:f>VALUE('Raw Results'!$AB$29)</x:f>
        <x:v>31</x:v>
      </x:c>
      <x:c r="P110" s="12" t="n">
        <x:f>VALUE('Raw Results'!$AC$29)</x:f>
        <x:v>31</x:v>
      </x:c>
      <x:c r="Q110" s="12" t="n">
        <x:f>IF('Raw Results'!$AE$29="True",1,0)</x:f>
        <x:v>1</x:v>
      </x:c>
      <x:c r="R110" s="12" t="n">
        <x:f>VALUE('Raw Results'!$AG$29)</x:f>
        <x:v>0</x:v>
      </x:c>
      <x:c r="S110" s="12" t="n">
        <x:f>VALUE('Raw Results'!$AH$29)</x:f>
        <x:v>0</x:v>
      </x:c>
      <x:c r="T110" s="16" t="n">
        <x:f>VALUE('Raw Results'!$T$29)</x:f>
        <x:v>0.10493170004338026</x:v>
      </x:c>
      <x:c r="U110" s="16" t="n">
        <x:f>VALUE('Raw Results'!$AD$29)</x:f>
        <x:v>0.108549700002186</x:v>
      </x:c>
      <x:c r="V110" s="18" t="n">
        <x:f>IF(T110=0,0,N110/T110)</x:f>
        <x:v>0.034479570590298325</x:v>
      </x:c>
      <x:c r="W110" s="10" t="n">
        <x:f>IF(AND(G110=1,Q110=1),1,0)</x:f>
        <x:v>1</x:v>
      </x:c>
      <x:c r="X110" s="20" t="n">
        <x:f>IF(W110=1,P110-F110,"")</x:f>
        <x:v>1</x:v>
      </x:c>
      <x:c r="Y110" s="10" t="str">
        <x:f>IF(W110=0,"excluded",IF(X110&lt;0,"repaired",IF(X110&gt;0,"entropy","tie")))</x:f>
        <x:v>entropy</x:v>
      </x:c>
      <x:c r="Z110" s="10" t="n">
        <x:f>IF(VALUE(L110)&gt;0,1,0)</x:f>
        <x:v>0</x:v>
      </x:c>
      <x:c r="AA110" s="10" t="n">
        <x:f>IF(AND('Raw Results'!$V$29="True",'Raw Results'!$W$29="True"),1,0)</x:f>
        <x:v>1</x:v>
      </x:c>
      <x:c r="AB110" s="10" t="n">
        <x:f>IF(AND(J110=0,Q110=1),1,0)</x:f>
        <x:v>0</x:v>
      </x:c>
      <x:c r="AC110" s="20" t="n">
        <x:f>P110-I110</x:f>
        <x:v>0</x:v>
      </x:c>
      <x:c r="AD110" s="10" t="n">
        <x:f>IF(AND(G110=1,J110=0),1,0)</x:f>
        <x:v>0</x:v>
      </x:c>
      <x:c r="AE110" s="10" t="n">
        <x:f>IF(AND(G110=0,Q110=1),1,0)</x:f>
        <x:v>0</x:v>
      </x:c>
    </x:row>
    <x:row r="111">
      <x:c r="A111" s="10" t="str">
        <x:f>"Circle"</x:f>
        <x:v>Circle</x:v>
      </x:c>
      <x:c r="B111" s="12" t="n">
        <x:f>VALUE('Raw Results'!$A$29)</x:f>
        <x:v>200</x:v>
      </x:c>
      <x:c r="C111" s="14" t="n">
        <x:f>VALUE('Raw Results'!$B$29)</x:f>
        <x:v>0.3</x:v>
      </x:c>
      <x:c r="D111" s="12" t="n">
        <x:f>VALUE('Raw Results'!$C$29)</x:f>
        <x:v>1</x:v>
      </x:c>
      <x:c r="E111" s="12" t="n">
        <x:f>VALUE('Raw Results'!$D$29)</x:f>
        <x:v>785756839</x:v>
      </x:c>
      <x:c r="F111" s="12" t="n">
        <x:f>VALUE('Raw Results'!$AI$29)</x:f>
        <x:v>31</x:v>
      </x:c>
      <x:c r="G111" s="12" t="n">
        <x:f>IF('Raw Results'!$AK$29="True",1,0)</x:f>
        <x:v>1</x:v>
      </x:c>
      <x:c r="H111" s="12" t="n">
        <x:f>VALUE('Raw Results'!$AN$29)</x:f>
        <x:v>134</x:v>
      </x:c>
      <x:c r="I111" s="12" t="n">
        <x:f>VALUE('Raw Results'!$AO$29)</x:f>
        <x:v>31</x:v>
      </x:c>
      <x:c r="J111" s="12" t="n">
        <x:f>IF('Raw Results'!$AQ$29="True",1,0)</x:f>
        <x:v>1</x:v>
      </x:c>
      <x:c r="K111" s="12" t="n">
        <x:f>VALUE('Raw Results'!$AT$29)</x:f>
        <x:v>0</x:v>
      </x:c>
      <x:c r="L111" s="12" t="n">
        <x:f>VALUE('Raw Results'!$AU$29)</x:f>
        <x:v>0</x:v>
      </x:c>
      <x:c r="M111" s="10" t="str">
        <x:f>'Raw Results'!$AV$29</x:f>
      </x:c>
      <x:c r="N111" s="16" t="n">
        <x:f>VALUE('Raw Results'!$AW$29)</x:f>
        <x:v>0.003939699963666499</x:v>
      </x:c>
      <x:c r="O111" s="12" t="n">
        <x:f>VALUE('Raw Results'!$AX$29)</x:f>
        <x:v>31</x:v>
      </x:c>
      <x:c r="P111" s="12" t="n">
        <x:f>VALUE('Raw Results'!$AY$29)</x:f>
        <x:v>31</x:v>
      </x:c>
      <x:c r="Q111" s="12" t="n">
        <x:f>IF('Raw Results'!$BA$29="True",1,0)</x:f>
        <x:v>1</x:v>
      </x:c>
      <x:c r="R111" s="12" t="n">
        <x:f>VALUE('Raw Results'!$BC$29)</x:f>
        <x:v>0</x:v>
      </x:c>
      <x:c r="S111" s="12" t="n">
        <x:f>VALUE('Raw Results'!$BD$29)</x:f>
        <x:v>0</x:v>
      </x:c>
      <x:c r="T111" s="16" t="n">
        <x:f>VALUE('Raw Results'!$AP$29)</x:f>
        <x:v>0.0729060999583453</x:v>
      </x:c>
      <x:c r="U111" s="16" t="n">
        <x:f>VALUE('Raw Results'!$AZ$29)</x:f>
        <x:v>0.07684579992201179</x:v>
      </x:c>
      <x:c r="V111" s="18" t="n">
        <x:f>IF(T111=0,0,N111/T111)</x:f>
        <x:v>0.05403800183959142</x:v>
      </x:c>
      <x:c r="W111" s="10" t="n">
        <x:f>IF(AND(G111=1,Q111=1),1,0)</x:f>
        <x:v>1</x:v>
      </x:c>
      <x:c r="X111" s="20" t="n">
        <x:f>IF(W111=1,P111-F111,"")</x:f>
        <x:v>0</x:v>
      </x:c>
      <x:c r="Y111" s="10" t="str">
        <x:f>IF(W111=0,"excluded",IF(X111&lt;0,"repaired",IF(X111&gt;0,"entropy","tie")))</x:f>
        <x:v>tie</x:v>
      </x:c>
      <x:c r="Z111" s="10" t="n">
        <x:f>IF(VALUE(L111)&gt;0,1,0)</x:f>
        <x:v>0</x:v>
      </x:c>
      <x:c r="AA111" s="10" t="n">
        <x:f>IF(AND('Raw Results'!$AR$29="True",'Raw Results'!$AS$29="True"),1,0)</x:f>
        <x:v>1</x:v>
      </x:c>
      <x:c r="AB111" s="10" t="n">
        <x:f>IF(AND(J111=0,Q111=1),1,0)</x:f>
        <x:v>0</x:v>
      </x:c>
      <x:c r="AC111" s="20" t="n">
        <x:f>P111-I111</x:f>
        <x:v>0</x:v>
      </x:c>
      <x:c r="AD111" s="10" t="n">
        <x:f>IF(AND(G111=1,J111=0),1,0)</x:f>
        <x:v>0</x:v>
      </x:c>
      <x:c r="AE111" s="10" t="n">
        <x:f>IF(AND(G111=0,Q111=1),1,0)</x:f>
        <x:v>0</x:v>
      </x:c>
    </x:row>
    <x:row r="112">
      <x:c r="A112" s="10" t="str">
        <x:f>"Zoomed Square"</x:f>
        <x:v>Zoomed Square</x:v>
      </x:c>
      <x:c r="B112" s="12" t="n">
        <x:f>VALUE('Raw Results'!$A$29)</x:f>
        <x:v>200</x:v>
      </x:c>
      <x:c r="C112" s="14" t="n">
        <x:f>VALUE('Raw Results'!$B$29)</x:f>
        <x:v>0.3</x:v>
      </x:c>
      <x:c r="D112" s="12" t="n">
        <x:f>VALUE('Raw Results'!$C$29)</x:f>
        <x:v>1</x:v>
      </x:c>
      <x:c r="E112" s="12" t="n">
        <x:f>VALUE('Raw Results'!$D$29)</x:f>
        <x:v>785756839</x:v>
      </x:c>
      <x:c r="F112" s="12" t="n">
        <x:f>VALUE('Raw Results'!$BE$29)</x:f>
        <x:v>30</x:v>
      </x:c>
      <x:c r="G112" s="12" t="n">
        <x:f>IF('Raw Results'!$BG$29="True",1,0)</x:f>
        <x:v>1</x:v>
      </x:c>
      <x:c r="H112" s="12" t="n">
        <x:f>VALUE('Raw Results'!$BJ$29)</x:f>
        <x:v>82</x:v>
      </x:c>
      <x:c r="I112" s="12" t="n">
        <x:f>VALUE('Raw Results'!$BK$29)</x:f>
        <x:v>30</x:v>
      </x:c>
      <x:c r="J112" s="12" t="n">
        <x:f>IF('Raw Results'!$BM$29="True",1,0)</x:f>
        <x:v>1</x:v>
      </x:c>
      <x:c r="K112" s="12" t="n">
        <x:f>VALUE('Raw Results'!$BP$29)</x:f>
        <x:v>0</x:v>
      </x:c>
      <x:c r="L112" s="12" t="n">
        <x:f>VALUE('Raw Results'!$BQ$29)</x:f>
        <x:v>0</x:v>
      </x:c>
      <x:c r="M112" s="10" t="str">
        <x:f>'Raw Results'!$BR$29</x:f>
      </x:c>
      <x:c r="N112" s="16" t="n">
        <x:f>VALUE('Raw Results'!$BS$29)</x:f>
        <x:v>0.003612200031057</x:v>
      </x:c>
      <x:c r="O112" s="12" t="n">
        <x:f>VALUE('Raw Results'!$BT$29)</x:f>
        <x:v>30</x:v>
      </x:c>
      <x:c r="P112" s="12" t="n">
        <x:f>VALUE('Raw Results'!$BU$29)</x:f>
        <x:v>30</x:v>
      </x:c>
      <x:c r="Q112" s="12" t="n">
        <x:f>IF('Raw Results'!$BW$29="True",1,0)</x:f>
        <x:v>1</x:v>
      </x:c>
      <x:c r="R112" s="12" t="n">
        <x:f>VALUE('Raw Results'!$BY$29)</x:f>
        <x:v>0</x:v>
      </x:c>
      <x:c r="S112" s="12" t="n">
        <x:f>VALUE('Raw Results'!$BZ$29)</x:f>
        <x:v>0</x:v>
      </x:c>
      <x:c r="T112" s="16" t="n">
        <x:f>VALUE('Raw Results'!$BL$29)</x:f>
        <x:v>0.07848280004691333</x:v>
      </x:c>
      <x:c r="U112" s="16" t="n">
        <x:f>VALUE('Raw Results'!$BV$29)</x:f>
        <x:v>0.08209500007797033</x:v>
      </x:c>
      <x:c r="V112" s="18" t="n">
        <x:f>IF(T112=0,0,N112/T112)</x:f>
        <x:v>0.04602537153233316</x:v>
      </x:c>
      <x:c r="W112" s="10" t="n">
        <x:f>IF(AND(G112=1,Q112=1),1,0)</x:f>
        <x:v>1</x:v>
      </x:c>
      <x:c r="X112" s="20" t="n">
        <x:f>IF(W112=1,P112-F112,"")</x:f>
        <x:v>0</x:v>
      </x:c>
      <x:c r="Y112" s="10" t="str">
        <x:f>IF(W112=0,"excluded",IF(X112&lt;0,"repaired",IF(X112&gt;0,"entropy","tie")))</x:f>
        <x:v>tie</x:v>
      </x:c>
      <x:c r="Z112" s="10" t="n">
        <x:f>IF(VALUE(L112)&gt;0,1,0)</x:f>
        <x:v>0</x:v>
      </x:c>
      <x:c r="AA112" s="10" t="n">
        <x:f>IF(AND('Raw Results'!$BN$29="True",'Raw Results'!$BO$29="True"),1,0)</x:f>
        <x:v>1</x:v>
      </x:c>
      <x:c r="AB112" s="10" t="n">
        <x:f>IF(AND(J112=0,Q112=1),1,0)</x:f>
        <x:v>0</x:v>
      </x:c>
      <x:c r="AC112" s="20" t="n">
        <x:f>P112-I112</x:f>
        <x:v>0</x:v>
      </x:c>
      <x:c r="AD112" s="10" t="n">
        <x:f>IF(AND(G112=1,J112=0),1,0)</x:f>
        <x:v>0</x:v>
      </x:c>
      <x:c r="AE112" s="10" t="n">
        <x:f>IF(AND(G112=0,Q112=1),1,0)</x:f>
        <x:v>0</x:v>
      </x:c>
    </x:row>
    <x:row r="113">
      <x:c r="A113" s="10" t="str">
        <x:f>"ICH"</x:f>
        <x:v>ICH</x:v>
      </x:c>
      <x:c r="B113" s="12" t="n">
        <x:f>VALUE('Raw Results'!$A$29)</x:f>
        <x:v>200</x:v>
      </x:c>
      <x:c r="C113" s="14" t="n">
        <x:f>VALUE('Raw Results'!$B$29)</x:f>
        <x:v>0.3</x:v>
      </x:c>
      <x:c r="D113" s="12" t="n">
        <x:f>VALUE('Raw Results'!$C$29)</x:f>
        <x:v>1</x:v>
      </x:c>
      <x:c r="E113" s="12" t="n">
        <x:f>VALUE('Raw Results'!$D$29)</x:f>
        <x:v>785756839</x:v>
      </x:c>
      <x:c r="F113" s="12" t="n">
        <x:f>VALUE('Raw Results'!$CA$29)</x:f>
        <x:v>29</x:v>
      </x:c>
      <x:c r="G113" s="12" t="n">
        <x:f>IF('Raw Results'!$CC$29="True",1,0)</x:f>
        <x:v>1</x:v>
      </x:c>
      <x:c r="H113" s="12" t="n">
        <x:f>VALUE('Raw Results'!$CF$29)</x:f>
        <x:v>33</x:v>
      </x:c>
      <x:c r="I113" s="12" t="n">
        <x:f>VALUE('Raw Results'!$CG$29)</x:f>
        <x:v>33</x:v>
      </x:c>
      <x:c r="J113" s="12" t="n">
        <x:f>IF('Raw Results'!$CI$29="True",1,0)</x:f>
        <x:v>1</x:v>
      </x:c>
      <x:c r="K113" s="12" t="n">
        <x:f>VALUE('Raw Results'!$CL$29)</x:f>
        <x:v>0</x:v>
      </x:c>
      <x:c r="L113" s="12" t="n">
        <x:f>VALUE('Raw Results'!$CM$29)</x:f>
        <x:v>0</x:v>
      </x:c>
      <x:c r="M113" s="10" t="str">
        <x:f>'Raw Results'!$CN$29</x:f>
      </x:c>
      <x:c r="N113" s="16" t="n">
        <x:f>VALUE('Raw Results'!$CO$29)</x:f>
        <x:v>0.005452900077216327</x:v>
      </x:c>
      <x:c r="O113" s="12" t="n">
        <x:f>VALUE('Raw Results'!$CP$29)</x:f>
        <x:v>33</x:v>
      </x:c>
      <x:c r="P113" s="12" t="n">
        <x:f>VALUE('Raw Results'!$CQ$29)</x:f>
        <x:v>33</x:v>
      </x:c>
      <x:c r="Q113" s="12" t="n">
        <x:f>IF('Raw Results'!$CS$29="True",1,0)</x:f>
        <x:v>1</x:v>
      </x:c>
      <x:c r="R113" s="12" t="n">
        <x:f>VALUE('Raw Results'!$CU$29)</x:f>
        <x:v>0</x:v>
      </x:c>
      <x:c r="S113" s="12" t="n">
        <x:f>VALUE('Raw Results'!$CV$29)</x:f>
        <x:v>0</x:v>
      </x:c>
      <x:c r="T113" s="16" t="n">
        <x:f>VALUE('Raw Results'!$CH$29)</x:f>
        <x:v>1.3602834000485018</x:v>
      </x:c>
      <x:c r="U113" s="16" t="n">
        <x:f>VALUE('Raw Results'!$CR$29)</x:f>
        <x:v>1.3657363001257181</x:v>
      </x:c>
      <x:c r="V113" s="18" t="n">
        <x:f>IF(T113=0,0,N113/T113)</x:f>
        <x:v>0.004008650018828356</x:v>
      </x:c>
      <x:c r="W113" s="10" t="n">
        <x:f>IF(AND(G113=1,Q113=1),1,0)</x:f>
        <x:v>1</x:v>
      </x:c>
      <x:c r="X113" s="20" t="n">
        <x:f>IF(W113=1,P113-F113,"")</x:f>
        <x:v>4</x:v>
      </x:c>
      <x:c r="Y113" s="10" t="str">
        <x:f>IF(W113=0,"excluded",IF(X113&lt;0,"repaired",IF(X113&gt;0,"entropy","tie")))</x:f>
        <x:v>entropy</x:v>
      </x:c>
      <x:c r="Z113" s="10" t="n">
        <x:f>IF(VALUE(L113)&gt;0,1,0)</x:f>
        <x:v>0</x:v>
      </x:c>
      <x:c r="AA113" s="10" t="n">
        <x:f>IF(AND('Raw Results'!$CJ$29="True",'Raw Results'!$CK$29="True"),1,0)</x:f>
        <x:v>1</x:v>
      </x:c>
      <x:c r="AB113" s="10" t="n">
        <x:f>IF(AND(J113=0,Q113=1),1,0)</x:f>
        <x:v>0</x:v>
      </x:c>
      <x:c r="AC113" s="20" t="n">
        <x:f>P113-I113</x:f>
        <x:v>0</x:v>
      </x:c>
      <x:c r="AD113" s="10" t="n">
        <x:f>IF(AND(G113=1,J113=0),1,0)</x:f>
        <x:v>0</x:v>
      </x:c>
      <x:c r="AE113" s="10" t="n">
        <x:f>IF(AND(G113=0,Q113=1),1,0)</x:f>
        <x:v>0</x:v>
      </x:c>
    </x:row>
    <x:row r="114">
      <x:c r="A114" s="10" t="str">
        <x:f>"Grid"</x:f>
        <x:v>Grid</x:v>
      </x:c>
      <x:c r="B114" s="12" t="n">
        <x:f>VALUE('Raw Results'!$A$30)</x:f>
        <x:v>200</x:v>
      </x:c>
      <x:c r="C114" s="14" t="n">
        <x:f>VALUE('Raw Results'!$B$30)</x:f>
        <x:v>0.3</x:v>
      </x:c>
      <x:c r="D114" s="12" t="n">
        <x:f>VALUE('Raw Results'!$C$30)</x:f>
        <x:v>2</x:v>
      </x:c>
      <x:c r="E114" s="12" t="n">
        <x:f>VALUE('Raw Results'!$D$30)</x:f>
        <x:v>3176789117</x:v>
      </x:c>
      <x:c r="F114" s="12" t="n">
        <x:f>VALUE('Raw Results'!$M$30)</x:f>
        <x:v>32</x:v>
      </x:c>
      <x:c r="G114" s="12" t="n">
        <x:f>IF('Raw Results'!$O$30="True",1,0)</x:f>
        <x:v>1</x:v>
      </x:c>
      <x:c r="H114" s="12" t="n">
        <x:f>VALUE('Raw Results'!$R$30)</x:f>
        <x:v>64</x:v>
      </x:c>
      <x:c r="I114" s="12" t="n">
        <x:f>VALUE('Raw Results'!$S$30)</x:f>
        <x:v>34</x:v>
      </x:c>
      <x:c r="J114" s="12" t="n">
        <x:f>IF('Raw Results'!$U$30="True",1,0)</x:f>
        <x:v>1</x:v>
      </x:c>
      <x:c r="K114" s="12" t="n">
        <x:f>VALUE('Raw Results'!$X$30)</x:f>
        <x:v>0</x:v>
      </x:c>
      <x:c r="L114" s="12" t="n">
        <x:f>VALUE('Raw Results'!$Y$30)</x:f>
        <x:v>0</x:v>
      </x:c>
      <x:c r="M114" s="10" t="str">
        <x:f>'Raw Results'!$Z$30</x:f>
      </x:c>
      <x:c r="N114" s="16" t="n">
        <x:f>VALUE('Raw Results'!$AA$30)</x:f>
        <x:v>0.003995099919848144</x:v>
      </x:c>
      <x:c r="O114" s="12" t="n">
        <x:f>VALUE('Raw Results'!$AB$30)</x:f>
        <x:v>34</x:v>
      </x:c>
      <x:c r="P114" s="12" t="n">
        <x:f>VALUE('Raw Results'!$AC$30)</x:f>
        <x:v>34</x:v>
      </x:c>
      <x:c r="Q114" s="12" t="n">
        <x:f>IF('Raw Results'!$AE$30="True",1,0)</x:f>
        <x:v>1</x:v>
      </x:c>
      <x:c r="R114" s="12" t="n">
        <x:f>VALUE('Raw Results'!$AG$30)</x:f>
        <x:v>0</x:v>
      </x:c>
      <x:c r="S114" s="12" t="n">
        <x:f>VALUE('Raw Results'!$AH$30)</x:f>
        <x:v>0</x:v>
      </x:c>
      <x:c r="T114" s="16" t="n">
        <x:f>VALUE('Raw Results'!$T$30)</x:f>
        <x:v>0.12429149996023625</x:v>
      </x:c>
      <x:c r="U114" s="16" t="n">
        <x:f>VALUE('Raw Results'!$AD$30)</x:f>
        <x:v>0.1282865998800844</x:v>
      </x:c>
      <x:c r="V114" s="18" t="n">
        <x:f>IF(T114=0,0,N114/T114)</x:f>
        <x:v>0.03214298581259595</x:v>
      </x:c>
      <x:c r="W114" s="10" t="n">
        <x:f>IF(AND(G114=1,Q114=1),1,0)</x:f>
        <x:v>1</x:v>
      </x:c>
      <x:c r="X114" s="20" t="n">
        <x:f>IF(W114=1,P114-F114,"")</x:f>
        <x:v>2</x:v>
      </x:c>
      <x:c r="Y114" s="10" t="str">
        <x:f>IF(W114=0,"excluded",IF(X114&lt;0,"repaired",IF(X114&gt;0,"entropy","tie")))</x:f>
        <x:v>entropy</x:v>
      </x:c>
      <x:c r="Z114" s="10" t="n">
        <x:f>IF(VALUE(L114)&gt;0,1,0)</x:f>
        <x:v>0</x:v>
      </x:c>
      <x:c r="AA114" s="10" t="n">
        <x:f>IF(AND('Raw Results'!$V$30="True",'Raw Results'!$W$30="True"),1,0)</x:f>
        <x:v>1</x:v>
      </x:c>
      <x:c r="AB114" s="10" t="n">
        <x:f>IF(AND(J114=0,Q114=1),1,0)</x:f>
        <x:v>0</x:v>
      </x:c>
      <x:c r="AC114" s="20" t="n">
        <x:f>P114-I114</x:f>
        <x:v>0</x:v>
      </x:c>
      <x:c r="AD114" s="10" t="n">
        <x:f>IF(AND(G114=1,J114=0),1,0)</x:f>
        <x:v>0</x:v>
      </x:c>
      <x:c r="AE114" s="10" t="n">
        <x:f>IF(AND(G114=0,Q114=1),1,0)</x:f>
        <x:v>0</x:v>
      </x:c>
    </x:row>
    <x:row r="115">
      <x:c r="A115" s="10" t="str">
        <x:f>"Circle"</x:f>
        <x:v>Circle</x:v>
      </x:c>
      <x:c r="B115" s="12" t="n">
        <x:f>VALUE('Raw Results'!$A$30)</x:f>
        <x:v>200</x:v>
      </x:c>
      <x:c r="C115" s="14" t="n">
        <x:f>VALUE('Raw Results'!$B$30)</x:f>
        <x:v>0.3</x:v>
      </x:c>
      <x:c r="D115" s="12" t="n">
        <x:f>VALUE('Raw Results'!$C$30)</x:f>
        <x:v>2</x:v>
      </x:c>
      <x:c r="E115" s="12" t="n">
        <x:f>VALUE('Raw Results'!$D$30)</x:f>
        <x:v>3176789117</x:v>
      </x:c>
      <x:c r="F115" s="12" t="n">
        <x:f>VALUE('Raw Results'!$AI$30)</x:f>
        <x:v>34</x:v>
      </x:c>
      <x:c r="G115" s="12" t="n">
        <x:f>IF('Raw Results'!$AK$30="True",1,0)</x:f>
        <x:v>1</x:v>
      </x:c>
      <x:c r="H115" s="12" t="n">
        <x:f>VALUE('Raw Results'!$AN$30)</x:f>
        <x:v>141</x:v>
      </x:c>
      <x:c r="I115" s="12" t="n">
        <x:f>VALUE('Raw Results'!$AO$30)</x:f>
        <x:v>34</x:v>
      </x:c>
      <x:c r="J115" s="12" t="n">
        <x:f>IF('Raw Results'!$AQ$30="True",1,0)</x:f>
        <x:v>1</x:v>
      </x:c>
      <x:c r="K115" s="12" t="n">
        <x:f>VALUE('Raw Results'!$AT$30)</x:f>
        <x:v>0</x:v>
      </x:c>
      <x:c r="L115" s="12" t="n">
        <x:f>VALUE('Raw Results'!$AU$30)</x:f>
        <x:v>0</x:v>
      </x:c>
      <x:c r="M115" s="10" t="str">
        <x:f>'Raw Results'!$AV$30</x:f>
      </x:c>
      <x:c r="N115" s="16" t="n">
        <x:f>VALUE('Raw Results'!$AW$30)</x:f>
        <x:v>0.003645799937658012</x:v>
      </x:c>
      <x:c r="O115" s="12" t="n">
        <x:f>VALUE('Raw Results'!$AX$30)</x:f>
        <x:v>34</x:v>
      </x:c>
      <x:c r="P115" s="12" t="n">
        <x:f>VALUE('Raw Results'!$AY$30)</x:f>
        <x:v>34</x:v>
      </x:c>
      <x:c r="Q115" s="12" t="n">
        <x:f>IF('Raw Results'!$BA$30="True",1,0)</x:f>
        <x:v>1</x:v>
      </x:c>
      <x:c r="R115" s="12" t="n">
        <x:f>VALUE('Raw Results'!$BC$30)</x:f>
        <x:v>0</x:v>
      </x:c>
      <x:c r="S115" s="12" t="n">
        <x:f>VALUE('Raw Results'!$BD$30)</x:f>
        <x:v>0</x:v>
      </x:c>
      <x:c r="T115" s="16" t="n">
        <x:f>VALUE('Raw Results'!$AP$30)</x:f>
        <x:v>0.08549219998531044</x:v>
      </x:c>
      <x:c r="U115" s="16" t="n">
        <x:f>VALUE('Raw Results'!$AZ$30)</x:f>
        <x:v>0.08913799992296845</x:v>
      </x:c>
      <x:c r="V115" s="18" t="n">
        <x:f>IF(T115=0,0,N115/T115)</x:f>
        <x:v>0.04264482535581545</x:v>
      </x:c>
      <x:c r="W115" s="10" t="n">
        <x:f>IF(AND(G115=1,Q115=1),1,0)</x:f>
        <x:v>1</x:v>
      </x:c>
      <x:c r="X115" s="20" t="n">
        <x:f>IF(W115=1,P115-F115,"")</x:f>
        <x:v>0</x:v>
      </x:c>
      <x:c r="Y115" s="10" t="str">
        <x:f>IF(W115=0,"excluded",IF(X115&lt;0,"repaired",IF(X115&gt;0,"entropy","tie")))</x:f>
        <x:v>tie</x:v>
      </x:c>
      <x:c r="Z115" s="10" t="n">
        <x:f>IF(VALUE(L115)&gt;0,1,0)</x:f>
        <x:v>0</x:v>
      </x:c>
      <x:c r="AA115" s="10" t="n">
        <x:f>IF(AND('Raw Results'!$AR$30="True",'Raw Results'!$AS$30="True"),1,0)</x:f>
        <x:v>1</x:v>
      </x:c>
      <x:c r="AB115" s="10" t="n">
        <x:f>IF(AND(J115=0,Q115=1),1,0)</x:f>
        <x:v>0</x:v>
      </x:c>
      <x:c r="AC115" s="20" t="n">
        <x:f>P115-I115</x:f>
        <x:v>0</x:v>
      </x:c>
      <x:c r="AD115" s="10" t="n">
        <x:f>IF(AND(G115=1,J115=0),1,0)</x:f>
        <x:v>0</x:v>
      </x:c>
      <x:c r="AE115" s="10" t="n">
        <x:f>IF(AND(G115=0,Q115=1),1,0)</x:f>
        <x:v>0</x:v>
      </x:c>
    </x:row>
    <x:row r="116">
      <x:c r="A116" s="10" t="str">
        <x:f>"Zoomed Square"</x:f>
        <x:v>Zoomed Square</x:v>
      </x:c>
      <x:c r="B116" s="12" t="n">
        <x:f>VALUE('Raw Results'!$A$30)</x:f>
        <x:v>200</x:v>
      </x:c>
      <x:c r="C116" s="14" t="n">
        <x:f>VALUE('Raw Results'!$B$30)</x:f>
        <x:v>0.3</x:v>
      </x:c>
      <x:c r="D116" s="12" t="n">
        <x:f>VALUE('Raw Results'!$C$30)</x:f>
        <x:v>2</x:v>
      </x:c>
      <x:c r="E116" s="12" t="n">
        <x:f>VALUE('Raw Results'!$D$30)</x:f>
        <x:v>3176789117</x:v>
      </x:c>
      <x:c r="F116" s="12" t="n">
        <x:f>VALUE('Raw Results'!$BE$30)</x:f>
        <x:v>33</x:v>
      </x:c>
      <x:c r="G116" s="12" t="n">
        <x:f>IF('Raw Results'!$BG$30="True",1,0)</x:f>
        <x:v>1</x:v>
      </x:c>
      <x:c r="H116" s="12" t="n">
        <x:f>VALUE('Raw Results'!$BJ$30)</x:f>
        <x:v>104</x:v>
      </x:c>
      <x:c r="I116" s="12" t="n">
        <x:f>VALUE('Raw Results'!$BK$30)</x:f>
        <x:v>28</x:v>
      </x:c>
      <x:c r="J116" s="12" t="n">
        <x:f>IF('Raw Results'!$BM$30="True",1,0)</x:f>
        <x:v>1</x:v>
      </x:c>
      <x:c r="K116" s="12" t="n">
        <x:f>VALUE('Raw Results'!$BP$30)</x:f>
        <x:v>0</x:v>
      </x:c>
      <x:c r="L116" s="12" t="n">
        <x:f>VALUE('Raw Results'!$BQ$30)</x:f>
        <x:v>0</x:v>
      </x:c>
      <x:c r="M116" s="10" t="str">
        <x:f>'Raw Results'!$BR$30</x:f>
      </x:c>
      <x:c r="N116" s="16" t="n">
        <x:f>VALUE('Raw Results'!$BS$30)</x:f>
        <x:v>0.005998299922794104</x:v>
      </x:c>
      <x:c r="O116" s="12" t="n">
        <x:f>VALUE('Raw Results'!$BT$30)</x:f>
        <x:v>28</x:v>
      </x:c>
      <x:c r="P116" s="12" t="n">
        <x:f>VALUE('Raw Results'!$BU$30)</x:f>
        <x:v>28</x:v>
      </x:c>
      <x:c r="Q116" s="12" t="n">
        <x:f>IF('Raw Results'!$BW$30="True",1,0)</x:f>
        <x:v>1</x:v>
      </x:c>
      <x:c r="R116" s="12" t="n">
        <x:f>VALUE('Raw Results'!$BY$30)</x:f>
        <x:v>0</x:v>
      </x:c>
      <x:c r="S116" s="12" t="n">
        <x:f>VALUE('Raw Results'!$BZ$30)</x:f>
        <x:v>0</x:v>
      </x:c>
      <x:c r="T116" s="16" t="n">
        <x:f>VALUE('Raw Results'!$BL$30)</x:f>
        <x:v>0.10701449995394796</x:v>
      </x:c>
      <x:c r="U116" s="16" t="n">
        <x:f>VALUE('Raw Results'!$BV$30)</x:f>
        <x:v>0.11301279987674206</x:v>
      </x:c>
      <x:c r="V116" s="18" t="n">
        <x:f>IF(T116=0,0,N116/T116)</x:f>
        <x:v>0.05605128207276004</x:v>
      </x:c>
      <x:c r="W116" s="10" t="n">
        <x:f>IF(AND(G116=1,Q116=1),1,0)</x:f>
        <x:v>1</x:v>
      </x:c>
      <x:c r="X116" s="20" t="n">
        <x:f>IF(W116=1,P116-F116,"")</x:f>
        <x:v>-5</x:v>
      </x:c>
      <x:c r="Y116" s="10" t="str">
        <x:f>IF(W116=0,"excluded",IF(X116&lt;0,"repaired",IF(X116&gt;0,"entropy","tie")))</x:f>
        <x:v>repaired</x:v>
      </x:c>
      <x:c r="Z116" s="10" t="n">
        <x:f>IF(VALUE(L116)&gt;0,1,0)</x:f>
        <x:v>0</x:v>
      </x:c>
      <x:c r="AA116" s="10" t="n">
        <x:f>IF(AND('Raw Results'!$BN$30="True",'Raw Results'!$BO$30="True"),1,0)</x:f>
        <x:v>1</x:v>
      </x:c>
      <x:c r="AB116" s="10" t="n">
        <x:f>IF(AND(J116=0,Q116=1),1,0)</x:f>
        <x:v>0</x:v>
      </x:c>
      <x:c r="AC116" s="20" t="n">
        <x:f>P116-I116</x:f>
        <x:v>0</x:v>
      </x:c>
      <x:c r="AD116" s="10" t="n">
        <x:f>IF(AND(G116=1,J116=0),1,0)</x:f>
        <x:v>0</x:v>
      </x:c>
      <x:c r="AE116" s="10" t="n">
        <x:f>IF(AND(G116=0,Q116=1),1,0)</x:f>
        <x:v>0</x:v>
      </x:c>
    </x:row>
    <x:row r="117">
      <x:c r="A117" s="10" t="str">
        <x:f>"ICH"</x:f>
        <x:v>ICH</x:v>
      </x:c>
      <x:c r="B117" s="12" t="n">
        <x:f>VALUE('Raw Results'!$A$30)</x:f>
        <x:v>200</x:v>
      </x:c>
      <x:c r="C117" s="14" t="n">
        <x:f>VALUE('Raw Results'!$B$30)</x:f>
        <x:v>0.3</x:v>
      </x:c>
      <x:c r="D117" s="12" t="n">
        <x:f>VALUE('Raw Results'!$C$30)</x:f>
        <x:v>2</x:v>
      </x:c>
      <x:c r="E117" s="12" t="n">
        <x:f>VALUE('Raw Results'!$D$30)</x:f>
        <x:v>3176789117</x:v>
      </x:c>
      <x:c r="F117" s="12" t="n">
        <x:f>VALUE('Raw Results'!$CA$30)</x:f>
        <x:v>33</x:v>
      </x:c>
      <x:c r="G117" s="12" t="n">
        <x:f>IF('Raw Results'!$CC$30="True",1,0)</x:f>
        <x:v>1</x:v>
      </x:c>
      <x:c r="H117" s="12" t="n">
        <x:f>VALUE('Raw Results'!$CF$30)</x:f>
        <x:v>28</x:v>
      </x:c>
      <x:c r="I117" s="12" t="n">
        <x:f>VALUE('Raw Results'!$CG$30)</x:f>
        <x:v>28</x:v>
      </x:c>
      <x:c r="J117" s="12" t="n">
        <x:f>IF('Raw Results'!$CI$30="True",1,0)</x:f>
        <x:v>1</x:v>
      </x:c>
      <x:c r="K117" s="12" t="n">
        <x:f>VALUE('Raw Results'!$CL$30)</x:f>
        <x:v>0</x:v>
      </x:c>
      <x:c r="L117" s="12" t="n">
        <x:f>VALUE('Raw Results'!$CM$30)</x:f>
        <x:v>0</x:v>
      </x:c>
      <x:c r="M117" s="10" t="str">
        <x:f>'Raw Results'!$CN$30</x:f>
      </x:c>
      <x:c r="N117" s="16" t="n">
        <x:f>VALUE('Raw Results'!$CO$30)</x:f>
        <x:v>0.00400780001655221</x:v>
      </x:c>
      <x:c r="O117" s="12" t="n">
        <x:f>VALUE('Raw Results'!$CP$30)</x:f>
        <x:v>28</x:v>
      </x:c>
      <x:c r="P117" s="12" t="n">
        <x:f>VALUE('Raw Results'!$CQ$30)</x:f>
        <x:v>28</x:v>
      </x:c>
      <x:c r="Q117" s="12" t="n">
        <x:f>IF('Raw Results'!$CS$30="True",1,0)</x:f>
        <x:v>1</x:v>
      </x:c>
      <x:c r="R117" s="12" t="n">
        <x:f>VALUE('Raw Results'!$CU$30)</x:f>
        <x:v>0</x:v>
      </x:c>
      <x:c r="S117" s="12" t="n">
        <x:f>VALUE('Raw Results'!$CV$30)</x:f>
        <x:v>0</x:v>
      </x:c>
      <x:c r="T117" s="16" t="n">
        <x:f>VALUE('Raw Results'!$CH$30)</x:f>
        <x:v>1.3985475999070331</x:v>
      </x:c>
      <x:c r="U117" s="16" t="n">
        <x:f>VALUE('Raw Results'!$CR$30)</x:f>
        <x:v>1.4025553999235854</x:v>
      </x:c>
      <x:c r="V117" s="18" t="n">
        <x:f>IF(T117=0,0,N117/T117)</x:f>
        <x:v>0.002865687243550826</x:v>
      </x:c>
      <x:c r="W117" s="10" t="n">
        <x:f>IF(AND(G117=1,Q117=1),1,0)</x:f>
        <x:v>1</x:v>
      </x:c>
      <x:c r="X117" s="20" t="n">
        <x:f>IF(W117=1,P117-F117,"")</x:f>
        <x:v>-5</x:v>
      </x:c>
      <x:c r="Y117" s="10" t="str">
        <x:f>IF(W117=0,"excluded",IF(X117&lt;0,"repaired",IF(X117&gt;0,"entropy","tie")))</x:f>
        <x:v>repaired</x:v>
      </x:c>
      <x:c r="Z117" s="10" t="n">
        <x:f>IF(VALUE(L117)&gt;0,1,0)</x:f>
        <x:v>0</x:v>
      </x:c>
      <x:c r="AA117" s="10" t="n">
        <x:f>IF(AND('Raw Results'!$CJ$30="True",'Raw Results'!$CK$30="True"),1,0)</x:f>
        <x:v>1</x:v>
      </x:c>
      <x:c r="AB117" s="10" t="n">
        <x:f>IF(AND(J117=0,Q117=1),1,0)</x:f>
        <x:v>0</x:v>
      </x:c>
      <x:c r="AC117" s="20" t="n">
        <x:f>P117-I117</x:f>
        <x:v>0</x:v>
      </x:c>
      <x:c r="AD117" s="10" t="n">
        <x:f>IF(AND(G117=1,J117=0),1,0)</x:f>
        <x:v>0</x:v>
      </x:c>
      <x:c r="AE117" s="10" t="n">
        <x:f>IF(AND(G117=0,Q117=1),1,0)</x:f>
        <x:v>0</x:v>
      </x:c>
    </x:row>
    <x:row r="118">
      <x:c r="A118" s="10" t="str">
        <x:f>"Grid"</x:f>
        <x:v>Grid</x:v>
      </x:c>
      <x:c r="B118" s="12" t="n">
        <x:f>VALUE('Raw Results'!$A$31)</x:f>
        <x:v>200</x:v>
      </x:c>
      <x:c r="C118" s="14" t="n">
        <x:f>VALUE('Raw Results'!$B$31)</x:f>
        <x:v>0.3</x:v>
      </x:c>
      <x:c r="D118" s="12" t="n">
        <x:f>VALUE('Raw Results'!$C$31)</x:f>
        <x:v>3</x:v>
      </x:c>
      <x:c r="E118" s="12" t="n">
        <x:f>VALUE('Raw Results'!$D$31)</x:f>
        <x:v>1876551989</x:v>
      </x:c>
      <x:c r="F118" s="12" t="n">
        <x:f>VALUE('Raw Results'!$M$31)</x:f>
        <x:v>32</x:v>
      </x:c>
      <x:c r="G118" s="12" t="n">
        <x:f>IF('Raw Results'!$O$31="True",1,0)</x:f>
        <x:v>1</x:v>
      </x:c>
      <x:c r="H118" s="12" t="n">
        <x:f>VALUE('Raw Results'!$R$31)</x:f>
        <x:v>66</x:v>
      </x:c>
      <x:c r="I118" s="12" t="n">
        <x:f>VALUE('Raw Results'!$S$31)</x:f>
        <x:v>66</x:v>
      </x:c>
      <x:c r="J118" s="12" t="n">
        <x:f>IF('Raw Results'!$U$31="True",1,0)</x:f>
        <x:v>0</x:v>
      </x:c>
      <x:c r="K118" s="12" t="n">
        <x:f>VALUE('Raw Results'!$X$31)</x:f>
        <x:v>1</x:v>
      </x:c>
      <x:c r="L118" s="12" t="n">
        <x:f>VALUE('Raw Results'!$Y$31)</x:f>
        <x:v>1</x:v>
      </x:c>
      <x:c r="M118" s="10" t="str">
        <x:f>'Raw Results'!$Z$31</x:f>
        <x:v>54</x:v>
      </x:c>
      <x:c r="N118" s="16" t="n">
        <x:f>VALUE('Raw Results'!$AA$31)</x:f>
        <x:v>0.05792920000385493</x:v>
      </x:c>
      <x:c r="O118" s="12" t="n">
        <x:f>VALUE('Raw Results'!$AB$31)</x:f>
        <x:v>67</x:v>
      </x:c>
      <x:c r="P118" s="12" t="n">
        <x:f>VALUE('Raw Results'!$AC$31)</x:f>
        <x:v>31</x:v>
      </x:c>
      <x:c r="Q118" s="12" t="n">
        <x:f>IF('Raw Results'!$AE$31="True",1,0)</x:f>
        <x:v>1</x:v>
      </x:c>
      <x:c r="R118" s="12" t="n">
        <x:f>VALUE('Raw Results'!$AG$31)</x:f>
        <x:v>36</x:v>
      </x:c>
      <x:c r="S118" s="12" t="n">
        <x:f>VALUE('Raw Results'!$AH$31)</x:f>
        <x:v>-35</x:v>
      </x:c>
      <x:c r="T118" s="16" t="n">
        <x:f>VALUE('Raw Results'!$T$31)</x:f>
        <x:v>0.07715220004320145</x:v>
      </x:c>
      <x:c r="U118" s="16" t="n">
        <x:f>VALUE('Raw Results'!$AD$31)</x:f>
        <x:v>0.13508140004705638</x:v>
      </x:c>
      <x:c r="V118" s="18" t="n">
        <x:f>IF(T118=0,0,N118/T118)</x:f>
        <x:v>0.7508431382568147</x:v>
      </x:c>
      <x:c r="W118" s="10" t="n">
        <x:f>IF(AND(G118=1,Q118=1),1,0)</x:f>
        <x:v>1</x:v>
      </x:c>
      <x:c r="X118" s="20" t="n">
        <x:f>IF(W118=1,P118-F118,"")</x:f>
        <x:v>-1</x:v>
      </x:c>
      <x:c r="Y118" s="10" t="str">
        <x:f>IF(W118=0,"excluded",IF(X118&lt;0,"repaired",IF(X118&gt;0,"entropy","tie")))</x:f>
        <x:v>repaired</x:v>
      </x:c>
      <x:c r="Z118" s="10" t="n">
        <x:f>IF(VALUE(L118)&gt;0,1,0)</x:f>
        <x:v>1</x:v>
      </x:c>
      <x:c r="AA118" s="10" t="n">
        <x:f>IF(AND('Raw Results'!$V$31="True",'Raw Results'!$W$31="True"),1,0)</x:f>
        <x:v>1</x:v>
      </x:c>
      <x:c r="AB118" s="10" t="n">
        <x:f>IF(AND(J118=0,Q118=1),1,0)</x:f>
        <x:v>1</x:v>
      </x:c>
      <x:c r="AC118" s="20" t="n">
        <x:f>P118-I118</x:f>
        <x:v>-35</x:v>
      </x:c>
      <x:c r="AD118" s="10" t="n">
        <x:f>IF(AND(G118=1,J118=0),1,0)</x:f>
        <x:v>1</x:v>
      </x:c>
      <x:c r="AE118" s="10" t="n">
        <x:f>IF(AND(G118=0,Q118=1),1,0)</x:f>
        <x:v>0</x:v>
      </x:c>
    </x:row>
    <x:row r="119">
      <x:c r="A119" s="10" t="str">
        <x:f>"Circle"</x:f>
        <x:v>Circle</x:v>
      </x:c>
      <x:c r="B119" s="12" t="n">
        <x:f>VALUE('Raw Results'!$A$31)</x:f>
        <x:v>200</x:v>
      </x:c>
      <x:c r="C119" s="14" t="n">
        <x:f>VALUE('Raw Results'!$B$31)</x:f>
        <x:v>0.3</x:v>
      </x:c>
      <x:c r="D119" s="12" t="n">
        <x:f>VALUE('Raw Results'!$C$31)</x:f>
        <x:v>3</x:v>
      </x:c>
      <x:c r="E119" s="12" t="n">
        <x:f>VALUE('Raw Results'!$D$31)</x:f>
        <x:v>1876551989</x:v>
      </x:c>
      <x:c r="F119" s="12" t="n">
        <x:f>VALUE('Raw Results'!$AI$31)</x:f>
        <x:v>34</x:v>
      </x:c>
      <x:c r="G119" s="12" t="n">
        <x:f>IF('Raw Results'!$AK$31="True",1,0)</x:f>
        <x:v>1</x:v>
      </x:c>
      <x:c r="H119" s="12" t="n">
        <x:f>VALUE('Raw Results'!$AN$31)</x:f>
        <x:v>151</x:v>
      </x:c>
      <x:c r="I119" s="12" t="n">
        <x:f>VALUE('Raw Results'!$AO$31)</x:f>
        <x:v>34</x:v>
      </x:c>
      <x:c r="J119" s="12" t="n">
        <x:f>IF('Raw Results'!$AQ$31="True",1,0)</x:f>
        <x:v>1</x:v>
      </x:c>
      <x:c r="K119" s="12" t="n">
        <x:f>VALUE('Raw Results'!$AT$31)</x:f>
        <x:v>0</x:v>
      </x:c>
      <x:c r="L119" s="12" t="n">
        <x:f>VALUE('Raw Results'!$AU$31)</x:f>
        <x:v>0</x:v>
      </x:c>
      <x:c r="M119" s="10" t="str">
        <x:f>'Raw Results'!$AV$31</x:f>
      </x:c>
      <x:c r="N119" s="16" t="n">
        <x:f>VALUE('Raw Results'!$AW$31)</x:f>
        <x:v>0.007939800038002431</x:v>
      </x:c>
      <x:c r="O119" s="12" t="n">
        <x:f>VALUE('Raw Results'!$AX$31)</x:f>
        <x:v>34</x:v>
      </x:c>
      <x:c r="P119" s="12" t="n">
        <x:f>VALUE('Raw Results'!$AY$31)</x:f>
        <x:v>34</x:v>
      </x:c>
      <x:c r="Q119" s="12" t="n">
        <x:f>IF('Raw Results'!$BA$31="True",1,0)</x:f>
        <x:v>1</x:v>
      </x:c>
      <x:c r="R119" s="12" t="n">
        <x:f>VALUE('Raw Results'!$BC$31)</x:f>
        <x:v>0</x:v>
      </x:c>
      <x:c r="S119" s="12" t="n">
        <x:f>VALUE('Raw Results'!$BD$31)</x:f>
        <x:v>0</x:v>
      </x:c>
      <x:c r="T119" s="16" t="n">
        <x:f>VALUE('Raw Results'!$AP$31)</x:f>
        <x:v>0.12516169995069504</x:v>
      </x:c>
      <x:c r="U119" s="16" t="n">
        <x:f>VALUE('Raw Results'!$AZ$31)</x:f>
        <x:v>0.13310149998869747</x:v>
      </x:c>
      <x:c r="V119" s="18" t="n">
        <x:f>IF(T119=0,0,N119/T119)</x:f>
        <x:v>0.06343633908080633</x:v>
      </x:c>
      <x:c r="W119" s="10" t="n">
        <x:f>IF(AND(G119=1,Q119=1),1,0)</x:f>
        <x:v>1</x:v>
      </x:c>
      <x:c r="X119" s="20" t="n">
        <x:f>IF(W119=1,P119-F119,"")</x:f>
        <x:v>0</x:v>
      </x:c>
      <x:c r="Y119" s="10" t="str">
        <x:f>IF(W119=0,"excluded",IF(X119&lt;0,"repaired",IF(X119&gt;0,"entropy","tie")))</x:f>
        <x:v>tie</x:v>
      </x:c>
      <x:c r="Z119" s="10" t="n">
        <x:f>IF(VALUE(L119)&gt;0,1,0)</x:f>
        <x:v>0</x:v>
      </x:c>
      <x:c r="AA119" s="10" t="n">
        <x:f>IF(AND('Raw Results'!$AR$31="True",'Raw Results'!$AS$31="True"),1,0)</x:f>
        <x:v>1</x:v>
      </x:c>
      <x:c r="AB119" s="10" t="n">
        <x:f>IF(AND(J119=0,Q119=1),1,0)</x:f>
        <x:v>0</x:v>
      </x:c>
      <x:c r="AC119" s="20" t="n">
        <x:f>P119-I119</x:f>
        <x:v>0</x:v>
      </x:c>
      <x:c r="AD119" s="10" t="n">
        <x:f>IF(AND(G119=1,J119=0),1,0)</x:f>
        <x:v>0</x:v>
      </x:c>
      <x:c r="AE119" s="10" t="n">
        <x:f>IF(AND(G119=0,Q119=1),1,0)</x:f>
        <x:v>0</x:v>
      </x:c>
    </x:row>
    <x:row r="120">
      <x:c r="A120" s="10" t="str">
        <x:f>"Zoomed Square"</x:f>
        <x:v>Zoomed Square</x:v>
      </x:c>
      <x:c r="B120" s="12" t="n">
        <x:f>VALUE('Raw Results'!$A$31)</x:f>
        <x:v>200</x:v>
      </x:c>
      <x:c r="C120" s="14" t="n">
        <x:f>VALUE('Raw Results'!$B$31)</x:f>
        <x:v>0.3</x:v>
      </x:c>
      <x:c r="D120" s="12" t="n">
        <x:f>VALUE('Raw Results'!$C$31)</x:f>
        <x:v>3</x:v>
      </x:c>
      <x:c r="E120" s="12" t="n">
        <x:f>VALUE('Raw Results'!$D$31)</x:f>
        <x:v>1876551989</x:v>
      </x:c>
      <x:c r="F120" s="12" t="n">
        <x:f>VALUE('Raw Results'!$BE$31)</x:f>
        <x:v>34</x:v>
      </x:c>
      <x:c r="G120" s="12" t="n">
        <x:f>IF('Raw Results'!$BG$31="True",1,0)</x:f>
        <x:v>1</x:v>
      </x:c>
      <x:c r="H120" s="12" t="n">
        <x:f>VALUE('Raw Results'!$BJ$31)</x:f>
        <x:v>87</x:v>
      </x:c>
      <x:c r="I120" s="12" t="n">
        <x:f>VALUE('Raw Results'!$BK$31)</x:f>
        <x:v>33</x:v>
      </x:c>
      <x:c r="J120" s="12" t="n">
        <x:f>IF('Raw Results'!$BM$31="True",1,0)</x:f>
        <x:v>1</x:v>
      </x:c>
      <x:c r="K120" s="12" t="n">
        <x:f>VALUE('Raw Results'!$BP$31)</x:f>
        <x:v>0</x:v>
      </x:c>
      <x:c r="L120" s="12" t="n">
        <x:f>VALUE('Raw Results'!$BQ$31)</x:f>
        <x:v>0</x:v>
      </x:c>
      <x:c r="M120" s="10" t="str">
        <x:f>'Raw Results'!$BR$31</x:f>
      </x:c>
      <x:c r="N120" s="16" t="n">
        <x:f>VALUE('Raw Results'!$BS$31)</x:f>
        <x:v>0.005086699966341257</x:v>
      </x:c>
      <x:c r="O120" s="12" t="n">
        <x:f>VALUE('Raw Results'!$BT$31)</x:f>
        <x:v>33</x:v>
      </x:c>
      <x:c r="P120" s="12" t="n">
        <x:f>VALUE('Raw Results'!$BU$31)</x:f>
        <x:v>33</x:v>
      </x:c>
      <x:c r="Q120" s="12" t="n">
        <x:f>IF('Raw Results'!$BW$31="True",1,0)</x:f>
        <x:v>1</x:v>
      </x:c>
      <x:c r="R120" s="12" t="n">
        <x:f>VALUE('Raw Results'!$BY$31)</x:f>
        <x:v>0</x:v>
      </x:c>
      <x:c r="S120" s="12" t="n">
        <x:f>VALUE('Raw Results'!$BZ$31)</x:f>
        <x:v>0</x:v>
      </x:c>
      <x:c r="T120" s="16" t="n">
        <x:f>VALUE('Raw Results'!$BL$31)</x:f>
        <x:v>0.08656610001344234</x:v>
      </x:c>
      <x:c r="U120" s="16" t="n">
        <x:f>VALUE('Raw Results'!$BV$31)</x:f>
        <x:v>0.0916527999797836</x:v>
      </x:c>
      <x:c r="V120" s="18" t="n">
        <x:f>IF(T120=0,0,N120/T120)</x:f>
        <x:v>0.05876087712801401</x:v>
      </x:c>
      <x:c r="W120" s="10" t="n">
        <x:f>IF(AND(G120=1,Q120=1),1,0)</x:f>
        <x:v>1</x:v>
      </x:c>
      <x:c r="X120" s="20" t="n">
        <x:f>IF(W120=1,P120-F120,"")</x:f>
        <x:v>-1</x:v>
      </x:c>
      <x:c r="Y120" s="10" t="str">
        <x:f>IF(W120=0,"excluded",IF(X120&lt;0,"repaired",IF(X120&gt;0,"entropy","tie")))</x:f>
        <x:v>repaired</x:v>
      </x:c>
      <x:c r="Z120" s="10" t="n">
        <x:f>IF(VALUE(L120)&gt;0,1,0)</x:f>
        <x:v>0</x:v>
      </x:c>
      <x:c r="AA120" s="10" t="n">
        <x:f>IF(AND('Raw Results'!$BN$31="True",'Raw Results'!$BO$31="True"),1,0)</x:f>
        <x:v>1</x:v>
      </x:c>
      <x:c r="AB120" s="10" t="n">
        <x:f>IF(AND(J120=0,Q120=1),1,0)</x:f>
        <x:v>0</x:v>
      </x:c>
      <x:c r="AC120" s="20" t="n">
        <x:f>P120-I120</x:f>
        <x:v>0</x:v>
      </x:c>
      <x:c r="AD120" s="10" t="n">
        <x:f>IF(AND(G120=1,J120=0),1,0)</x:f>
        <x:v>0</x:v>
      </x:c>
      <x:c r="AE120" s="10" t="n">
        <x:f>IF(AND(G120=0,Q120=1),1,0)</x:f>
        <x:v>0</x:v>
      </x:c>
    </x:row>
    <x:row r="121">
      <x:c r="A121" s="10" t="str">
        <x:f>"ICH"</x:f>
        <x:v>ICH</x:v>
      </x:c>
      <x:c r="B121" s="12" t="n">
        <x:f>VALUE('Raw Results'!$A$31)</x:f>
        <x:v>200</x:v>
      </x:c>
      <x:c r="C121" s="14" t="n">
        <x:f>VALUE('Raw Results'!$B$31)</x:f>
        <x:v>0.3</x:v>
      </x:c>
      <x:c r="D121" s="12" t="n">
        <x:f>VALUE('Raw Results'!$C$31)</x:f>
        <x:v>3</x:v>
      </x:c>
      <x:c r="E121" s="12" t="n">
        <x:f>VALUE('Raw Results'!$D$31)</x:f>
        <x:v>1876551989</x:v>
      </x:c>
      <x:c r="F121" s="12" t="n">
        <x:f>VALUE('Raw Results'!$CA$31)</x:f>
        <x:v>29</x:v>
      </x:c>
      <x:c r="G121" s="12" t="n">
        <x:f>IF('Raw Results'!$CC$31="True",1,0)</x:f>
        <x:v>1</x:v>
      </x:c>
      <x:c r="H121" s="12" t="n">
        <x:f>VALUE('Raw Results'!$CF$31)</x:f>
        <x:v>32</x:v>
      </x:c>
      <x:c r="I121" s="12" t="n">
        <x:f>VALUE('Raw Results'!$CG$31)</x:f>
        <x:v>32</x:v>
      </x:c>
      <x:c r="J121" s="12" t="n">
        <x:f>IF('Raw Results'!$CI$31="True",1,0)</x:f>
        <x:v>1</x:v>
      </x:c>
      <x:c r="K121" s="12" t="n">
        <x:f>VALUE('Raw Results'!$CL$31)</x:f>
        <x:v>0</x:v>
      </x:c>
      <x:c r="L121" s="12" t="n">
        <x:f>VALUE('Raw Results'!$CM$31)</x:f>
        <x:v>0</x:v>
      </x:c>
      <x:c r="M121" s="10" t="str">
        <x:f>'Raw Results'!$CN$31</x:f>
      </x:c>
      <x:c r="N121" s="16" t="n">
        <x:f>VALUE('Raw Results'!$CO$31)</x:f>
        <x:v>0.0038932999595999718</x:v>
      </x:c>
      <x:c r="O121" s="12" t="n">
        <x:f>VALUE('Raw Results'!$CP$31)</x:f>
        <x:v>32</x:v>
      </x:c>
      <x:c r="P121" s="12" t="n">
        <x:f>VALUE('Raw Results'!$CQ$31)</x:f>
        <x:v>32</x:v>
      </x:c>
      <x:c r="Q121" s="12" t="n">
        <x:f>IF('Raw Results'!$CS$31="True",1,0)</x:f>
        <x:v>1</x:v>
      </x:c>
      <x:c r="R121" s="12" t="n">
        <x:f>VALUE('Raw Results'!$CU$31)</x:f>
        <x:v>0</x:v>
      </x:c>
      <x:c r="S121" s="12" t="n">
        <x:f>VALUE('Raw Results'!$CV$31)</x:f>
        <x:v>0</x:v>
      </x:c>
      <x:c r="T121" s="16" t="n">
        <x:f>VALUE('Raw Results'!$CH$31)</x:f>
        <x:v>1.4001729000592604</x:v>
      </x:c>
      <x:c r="U121" s="16" t="n">
        <x:f>VALUE('Raw Results'!$CR$31)</x:f>
        <x:v>1.4040662000188604</x:v>
      </x:c>
      <x:c r="V121" s="18" t="n">
        <x:f>IF(T121=0,0,N121/T121)</x:f>
        <x:v>0.002780585140188896</x:v>
      </x:c>
      <x:c r="W121" s="10" t="n">
        <x:f>IF(AND(G121=1,Q121=1),1,0)</x:f>
        <x:v>1</x:v>
      </x:c>
      <x:c r="X121" s="20" t="n">
        <x:f>IF(W121=1,P121-F121,"")</x:f>
        <x:v>3</x:v>
      </x:c>
      <x:c r="Y121" s="10" t="str">
        <x:f>IF(W121=0,"excluded",IF(X121&lt;0,"repaired",IF(X121&gt;0,"entropy","tie")))</x:f>
        <x:v>entropy</x:v>
      </x:c>
      <x:c r="Z121" s="10" t="n">
        <x:f>IF(VALUE(L121)&gt;0,1,0)</x:f>
        <x:v>0</x:v>
      </x:c>
      <x:c r="AA121" s="10" t="n">
        <x:f>IF(AND('Raw Results'!$CJ$31="True",'Raw Results'!$CK$31="True"),1,0)</x:f>
        <x:v>1</x:v>
      </x:c>
      <x:c r="AB121" s="10" t="n">
        <x:f>IF(AND(J121=0,Q121=1),1,0)</x:f>
        <x:v>0</x:v>
      </x:c>
      <x:c r="AC121" s="20" t="n">
        <x:f>P121-I121</x:f>
        <x:v>0</x:v>
      </x:c>
      <x:c r="AD121" s="10" t="n">
        <x:f>IF(AND(G121=1,J121=0),1,0)</x:f>
        <x:v>0</x:v>
      </x:c>
      <x:c r="AE121" s="10" t="n">
        <x:f>IF(AND(G121=0,Q121=1),1,0)</x:f>
        <x:v>0</x:v>
      </x:c>
    </x:row>
    <x:row r="122">
      <x:c r="A122" s="10" t="str">
        <x:f>"Grid"</x:f>
        <x:v>Grid</x:v>
      </x:c>
      <x:c r="B122" s="12" t="n">
        <x:f>VALUE('Raw Results'!$A$32)</x:f>
        <x:v>200</x:v>
      </x:c>
      <x:c r="C122" s="14" t="n">
        <x:f>VALUE('Raw Results'!$B$32)</x:f>
        <x:v>0.5</x:v>
      </x:c>
      <x:c r="D122" s="12" t="n">
        <x:f>VALUE('Raw Results'!$C$32)</x:f>
        <x:v>1</x:v>
      </x:c>
      <x:c r="E122" s="12" t="n">
        <x:f>VALUE('Raw Results'!$D$32)</x:f>
        <x:v>845036295</x:v>
      </x:c>
      <x:c r="F122" s="12" t="n">
        <x:f>VALUE('Raw Results'!$M$32)</x:f>
        <x:v>49</x:v>
      </x:c>
      <x:c r="G122" s="12" t="n">
        <x:f>IF('Raw Results'!$O$32="True",1,0)</x:f>
        <x:v>1</x:v>
      </x:c>
      <x:c r="H122" s="12" t="n">
        <x:f>VALUE('Raw Results'!$R$32)</x:f>
        <x:v>44</x:v>
      </x:c>
      <x:c r="I122" s="12" t="n">
        <x:f>VALUE('Raw Results'!$S$32)</x:f>
        <x:v>42</x:v>
      </x:c>
      <x:c r="J122" s="12" t="n">
        <x:f>IF('Raw Results'!$U$32="True",1,0)</x:f>
        <x:v>1</x:v>
      </x:c>
      <x:c r="K122" s="12" t="n">
        <x:f>VALUE('Raw Results'!$X$32)</x:f>
        <x:v>0</x:v>
      </x:c>
      <x:c r="L122" s="12" t="n">
        <x:f>VALUE('Raw Results'!$Y$32)</x:f>
        <x:v>0</x:v>
      </x:c>
      <x:c r="M122" s="10" t="str">
        <x:f>'Raw Results'!$Z$32</x:f>
      </x:c>
      <x:c r="N122" s="16" t="n">
        <x:f>VALUE('Raw Results'!$AA$32)</x:f>
        <x:v>0.005613600020296872</x:v>
      </x:c>
      <x:c r="O122" s="12" t="n">
        <x:f>VALUE('Raw Results'!$AB$32)</x:f>
        <x:v>42</x:v>
      </x:c>
      <x:c r="P122" s="12" t="n">
        <x:f>VALUE('Raw Results'!$AC$32)</x:f>
        <x:v>42</x:v>
      </x:c>
      <x:c r="Q122" s="12" t="n">
        <x:f>IF('Raw Results'!$AE$32="True",1,0)</x:f>
        <x:v>1</x:v>
      </x:c>
      <x:c r="R122" s="12" t="n">
        <x:f>VALUE('Raw Results'!$AG$32)</x:f>
        <x:v>0</x:v>
      </x:c>
      <x:c r="S122" s="12" t="n">
        <x:f>VALUE('Raw Results'!$AH$32)</x:f>
        <x:v>0</x:v>
      </x:c>
      <x:c r="T122" s="16" t="n">
        <x:f>VALUE('Raw Results'!$T$32)</x:f>
        <x:v>0.7388503999682143</x:v>
      </x:c>
      <x:c r="U122" s="16" t="n">
        <x:f>VALUE('Raw Results'!$AD$32)</x:f>
        <x:v>0.7444639999885112</x:v>
      </x:c>
      <x:c r="V122" s="18" t="n">
        <x:f>IF(T122=0,0,N122/T122)</x:f>
        <x:v>0.007597749179723488</x:v>
      </x:c>
      <x:c r="W122" s="10" t="n">
        <x:f>IF(AND(G122=1,Q122=1),1,0)</x:f>
        <x:v>1</x:v>
      </x:c>
      <x:c r="X122" s="20" t="n">
        <x:f>IF(W122=1,P122-F122,"")</x:f>
        <x:v>-7</x:v>
      </x:c>
      <x:c r="Y122" s="10" t="str">
        <x:f>IF(W122=0,"excluded",IF(X122&lt;0,"repaired",IF(X122&gt;0,"entropy","tie")))</x:f>
        <x:v>repaired</x:v>
      </x:c>
      <x:c r="Z122" s="10" t="n">
        <x:f>IF(VALUE(L122)&gt;0,1,0)</x:f>
        <x:v>0</x:v>
      </x:c>
      <x:c r="AA122" s="10" t="n">
        <x:f>IF(AND('Raw Results'!$V$32="True",'Raw Results'!$W$32="True"),1,0)</x:f>
        <x:v>1</x:v>
      </x:c>
      <x:c r="AB122" s="10" t="n">
        <x:f>IF(AND(J122=0,Q122=1),1,0)</x:f>
        <x:v>0</x:v>
      </x:c>
      <x:c r="AC122" s="20" t="n">
        <x:f>P122-I122</x:f>
        <x:v>0</x:v>
      </x:c>
      <x:c r="AD122" s="10" t="n">
        <x:f>IF(AND(G122=1,J122=0),1,0)</x:f>
        <x:v>0</x:v>
      </x:c>
      <x:c r="AE122" s="10" t="n">
        <x:f>IF(AND(G122=0,Q122=1),1,0)</x:f>
        <x:v>0</x:v>
      </x:c>
    </x:row>
    <x:row r="123">
      <x:c r="A123" s="10" t="str">
        <x:f>"Circle"</x:f>
        <x:v>Circle</x:v>
      </x:c>
      <x:c r="B123" s="12" t="n">
        <x:f>VALUE('Raw Results'!$A$32)</x:f>
        <x:v>200</x:v>
      </x:c>
      <x:c r="C123" s="14" t="n">
        <x:f>VALUE('Raw Results'!$B$32)</x:f>
        <x:v>0.5</x:v>
      </x:c>
      <x:c r="D123" s="12" t="n">
        <x:f>VALUE('Raw Results'!$C$32)</x:f>
        <x:v>1</x:v>
      </x:c>
      <x:c r="E123" s="12" t="n">
        <x:f>VALUE('Raw Results'!$D$32)</x:f>
        <x:v>845036295</x:v>
      </x:c>
      <x:c r="F123" s="12" t="n">
        <x:f>VALUE('Raw Results'!$AI$32)</x:f>
        <x:v>48</x:v>
      </x:c>
      <x:c r="G123" s="12" t="n">
        <x:f>IF('Raw Results'!$AK$32="True",1,0)</x:f>
        <x:v>1</x:v>
      </x:c>
      <x:c r="H123" s="12" t="n">
        <x:f>VALUE('Raw Results'!$AN$32)</x:f>
        <x:v>167</x:v>
      </x:c>
      <x:c r="I123" s="12" t="n">
        <x:f>VALUE('Raw Results'!$AO$32)</x:f>
        <x:v>48</x:v>
      </x:c>
      <x:c r="J123" s="12" t="n">
        <x:f>IF('Raw Results'!$AQ$32="True",1,0)</x:f>
        <x:v>1</x:v>
      </x:c>
      <x:c r="K123" s="12" t="n">
        <x:f>VALUE('Raw Results'!$AT$32)</x:f>
        <x:v>0</x:v>
      </x:c>
      <x:c r="L123" s="12" t="n">
        <x:f>VALUE('Raw Results'!$AU$32)</x:f>
        <x:v>0</x:v>
      </x:c>
      <x:c r="M123" s="10" t="str">
        <x:f>'Raw Results'!$AV$32</x:f>
      </x:c>
      <x:c r="N123" s="16" t="n">
        <x:f>VALUE('Raw Results'!$AW$32)</x:f>
        <x:v>0.005559299956075847</x:v>
      </x:c>
      <x:c r="O123" s="12" t="n">
        <x:f>VALUE('Raw Results'!$AX$32)</x:f>
        <x:v>48</x:v>
      </x:c>
      <x:c r="P123" s="12" t="n">
        <x:f>VALUE('Raw Results'!$AY$32)</x:f>
        <x:v>48</x:v>
      </x:c>
      <x:c r="Q123" s="12" t="n">
        <x:f>IF('Raw Results'!$BA$32="True",1,0)</x:f>
        <x:v>1</x:v>
      </x:c>
      <x:c r="R123" s="12" t="n">
        <x:f>VALUE('Raw Results'!$BC$32)</x:f>
        <x:v>0</x:v>
      </x:c>
      <x:c r="S123" s="12" t="n">
        <x:f>VALUE('Raw Results'!$BD$32)</x:f>
        <x:v>0</x:v>
      </x:c>
      <x:c r="T123" s="16" t="n">
        <x:f>VALUE('Raw Results'!$AP$32)</x:f>
        <x:v>0.20932110003195703</x:v>
      </x:c>
      <x:c r="U123" s="16" t="n">
        <x:f>VALUE('Raw Results'!$AZ$32)</x:f>
        <x:v>0.21488039998803288</x:v>
      </x:c>
      <x:c r="V123" s="18" t="n">
        <x:f>IF(T123=0,0,N123/T123)</x:f>
        <x:v>0.026558717469128097</x:v>
      </x:c>
      <x:c r="W123" s="10" t="n">
        <x:f>IF(AND(G123=1,Q123=1),1,0)</x:f>
        <x:v>1</x:v>
      </x:c>
      <x:c r="X123" s="20" t="n">
        <x:f>IF(W123=1,P123-F123,"")</x:f>
        <x:v>0</x:v>
      </x:c>
      <x:c r="Y123" s="10" t="str">
        <x:f>IF(W123=0,"excluded",IF(X123&lt;0,"repaired",IF(X123&gt;0,"entropy","tie")))</x:f>
        <x:v>tie</x:v>
      </x:c>
      <x:c r="Z123" s="10" t="n">
        <x:f>IF(VALUE(L123)&gt;0,1,0)</x:f>
        <x:v>0</x:v>
      </x:c>
      <x:c r="AA123" s="10" t="n">
        <x:f>IF(AND('Raw Results'!$AR$32="True",'Raw Results'!$AS$32="True"),1,0)</x:f>
        <x:v>1</x:v>
      </x:c>
      <x:c r="AB123" s="10" t="n">
        <x:f>IF(AND(J123=0,Q123=1),1,0)</x:f>
        <x:v>0</x:v>
      </x:c>
      <x:c r="AC123" s="20" t="n">
        <x:f>P123-I123</x:f>
        <x:v>0</x:v>
      </x:c>
      <x:c r="AD123" s="10" t="n">
        <x:f>IF(AND(G123=1,J123=0),1,0)</x:f>
        <x:v>0</x:v>
      </x:c>
      <x:c r="AE123" s="10" t="n">
        <x:f>IF(AND(G123=0,Q123=1),1,0)</x:f>
        <x:v>0</x:v>
      </x:c>
    </x:row>
    <x:row r="124">
      <x:c r="A124" s="10" t="str">
        <x:f>"Zoomed Square"</x:f>
        <x:v>Zoomed Square</x:v>
      </x:c>
      <x:c r="B124" s="12" t="n">
        <x:f>VALUE('Raw Results'!$A$32)</x:f>
        <x:v>200</x:v>
      </x:c>
      <x:c r="C124" s="14" t="n">
        <x:f>VALUE('Raw Results'!$B$32)</x:f>
        <x:v>0.5</x:v>
      </x:c>
      <x:c r="D124" s="12" t="n">
        <x:f>VALUE('Raw Results'!$C$32)</x:f>
        <x:v>1</x:v>
      </x:c>
      <x:c r="E124" s="12" t="n">
        <x:f>VALUE('Raw Results'!$D$32)</x:f>
        <x:v>845036295</x:v>
      </x:c>
      <x:c r="F124" s="12" t="n">
        <x:f>VALUE('Raw Results'!$BE$32)</x:f>
        <x:v>46</x:v>
      </x:c>
      <x:c r="G124" s="12" t="n">
        <x:f>IF('Raw Results'!$BG$32="True",1,0)</x:f>
        <x:v>1</x:v>
      </x:c>
      <x:c r="H124" s="12" t="n">
        <x:f>VALUE('Raw Results'!$BJ$32)</x:f>
        <x:v>113</x:v>
      </x:c>
      <x:c r="I124" s="12" t="n">
        <x:f>VALUE('Raw Results'!$BK$32)</x:f>
        <x:v>45</x:v>
      </x:c>
      <x:c r="J124" s="12" t="n">
        <x:f>IF('Raw Results'!$BM$32="True",1,0)</x:f>
        <x:v>1</x:v>
      </x:c>
      <x:c r="K124" s="12" t="n">
        <x:f>VALUE('Raw Results'!$BP$32)</x:f>
        <x:v>0</x:v>
      </x:c>
      <x:c r="L124" s="12" t="n">
        <x:f>VALUE('Raw Results'!$BQ$32)</x:f>
        <x:v>0</x:v>
      </x:c>
      <x:c r="M124" s="10" t="str">
        <x:f>'Raw Results'!$BR$32</x:f>
      </x:c>
      <x:c r="N124" s="16" t="n">
        <x:f>VALUE('Raw Results'!$BS$32)</x:f>
        <x:v>0.007099600043147802</x:v>
      </x:c>
      <x:c r="O124" s="12" t="n">
        <x:f>VALUE('Raw Results'!$BT$32)</x:f>
        <x:v>45</x:v>
      </x:c>
      <x:c r="P124" s="12" t="n">
        <x:f>VALUE('Raw Results'!$BU$32)</x:f>
        <x:v>45</x:v>
      </x:c>
      <x:c r="Q124" s="12" t="n">
        <x:f>IF('Raw Results'!$BW$32="True",1,0)</x:f>
        <x:v>1</x:v>
      </x:c>
      <x:c r="R124" s="12" t="n">
        <x:f>VALUE('Raw Results'!$BY$32)</x:f>
        <x:v>0</x:v>
      </x:c>
      <x:c r="S124" s="12" t="n">
        <x:f>VALUE('Raw Results'!$BZ$32)</x:f>
        <x:v>0</x:v>
      </x:c>
      <x:c r="T124" s="16" t="n">
        <x:f>VALUE('Raw Results'!$BL$32)</x:f>
        <x:v>0.3248311000643298</x:v>
      </x:c>
      <x:c r="U124" s="16" t="n">
        <x:f>VALUE('Raw Results'!$BV$32)</x:f>
        <x:v>0.3319307001074776</x:v>
      </x:c>
      <x:c r="V124" s="18" t="n">
        <x:f>IF(T124=0,0,N124/T124)</x:f>
        <x:v>0.02185628174685796</x:v>
      </x:c>
      <x:c r="W124" s="10" t="n">
        <x:f>IF(AND(G124=1,Q124=1),1,0)</x:f>
        <x:v>1</x:v>
      </x:c>
      <x:c r="X124" s="20" t="n">
        <x:f>IF(W124=1,P124-F124,"")</x:f>
        <x:v>-1</x:v>
      </x:c>
      <x:c r="Y124" s="10" t="str">
        <x:f>IF(W124=0,"excluded",IF(X124&lt;0,"repaired",IF(X124&gt;0,"entropy","tie")))</x:f>
        <x:v>repaired</x:v>
      </x:c>
      <x:c r="Z124" s="10" t="n">
        <x:f>IF(VALUE(L124)&gt;0,1,0)</x:f>
        <x:v>0</x:v>
      </x:c>
      <x:c r="AA124" s="10" t="n">
        <x:f>IF(AND('Raw Results'!$BN$32="True",'Raw Results'!$BO$32="True"),1,0)</x:f>
        <x:v>1</x:v>
      </x:c>
      <x:c r="AB124" s="10" t="n">
        <x:f>IF(AND(J124=0,Q124=1),1,0)</x:f>
        <x:v>0</x:v>
      </x:c>
      <x:c r="AC124" s="20" t="n">
        <x:f>P124-I124</x:f>
        <x:v>0</x:v>
      </x:c>
      <x:c r="AD124" s="10" t="n">
        <x:f>IF(AND(G124=1,J124=0),1,0)</x:f>
        <x:v>0</x:v>
      </x:c>
      <x:c r="AE124" s="10" t="n">
        <x:f>IF(AND(G124=0,Q124=1),1,0)</x:f>
        <x:v>0</x:v>
      </x:c>
    </x:row>
    <x:row r="125">
      <x:c r="A125" s="10" t="str">
        <x:f>"ICH"</x:f>
        <x:v>ICH</x:v>
      </x:c>
      <x:c r="B125" s="12" t="n">
        <x:f>VALUE('Raw Results'!$A$32)</x:f>
        <x:v>200</x:v>
      </x:c>
      <x:c r="C125" s="14" t="n">
        <x:f>VALUE('Raw Results'!$B$32)</x:f>
        <x:v>0.5</x:v>
      </x:c>
      <x:c r="D125" s="12" t="n">
        <x:f>VALUE('Raw Results'!$C$32)</x:f>
        <x:v>1</x:v>
      </x:c>
      <x:c r="E125" s="12" t="n">
        <x:f>VALUE('Raw Results'!$D$32)</x:f>
        <x:v>845036295</x:v>
      </x:c>
      <x:c r="F125" s="12" t="n">
        <x:f>VALUE('Raw Results'!$CA$32)</x:f>
        <x:v>44</x:v>
      </x:c>
      <x:c r="G125" s="12" t="n">
        <x:f>IF('Raw Results'!$CC$32="True",1,0)</x:f>
        <x:v>1</x:v>
      </x:c>
      <x:c r="H125" s="12" t="n">
        <x:f>VALUE('Raw Results'!$CF$32)</x:f>
        <x:v>44</x:v>
      </x:c>
      <x:c r="I125" s="12" t="n">
        <x:f>VALUE('Raw Results'!$CG$32)</x:f>
        <x:v>44</x:v>
      </x:c>
      <x:c r="J125" s="12" t="n">
        <x:f>IF('Raw Results'!$CI$32="True",1,0)</x:f>
        <x:v>1</x:v>
      </x:c>
      <x:c r="K125" s="12" t="n">
        <x:f>VALUE('Raw Results'!$CL$32)</x:f>
        <x:v>0</x:v>
      </x:c>
      <x:c r="L125" s="12" t="n">
        <x:f>VALUE('Raw Results'!$CM$32)</x:f>
        <x:v>0</x:v>
      </x:c>
      <x:c r="M125" s="10" t="str">
        <x:f>'Raw Results'!$CN$32</x:f>
      </x:c>
      <x:c r="N125" s="16" t="n">
        <x:f>VALUE('Raw Results'!$CO$32)</x:f>
        <x:v>0.005005700048059225</x:v>
      </x:c>
      <x:c r="O125" s="12" t="n">
        <x:f>VALUE('Raw Results'!$CP$32)</x:f>
        <x:v>44</x:v>
      </x:c>
      <x:c r="P125" s="12" t="n">
        <x:f>VALUE('Raw Results'!$CQ$32)</x:f>
        <x:v>44</x:v>
      </x:c>
      <x:c r="Q125" s="12" t="n">
        <x:f>IF('Raw Results'!$CS$32="True",1,0)</x:f>
        <x:v>1</x:v>
      </x:c>
      <x:c r="R125" s="12" t="n">
        <x:f>VALUE('Raw Results'!$CU$32)</x:f>
        <x:v>0</x:v>
      </x:c>
      <x:c r="S125" s="12" t="n">
        <x:f>VALUE('Raw Results'!$CV$32)</x:f>
        <x:v>0</x:v>
      </x:c>
      <x:c r="T125" s="16" t="n">
        <x:f>VALUE('Raw Results'!$CH$32)</x:f>
        <x:v>1.592293900088407</x:v>
      </x:c>
      <x:c r="U125" s="16" t="n">
        <x:f>VALUE('Raw Results'!$CR$32)</x:f>
        <x:v>1.5972996001364663</x:v>
      </x:c>
      <x:c r="V125" s="18" t="n">
        <x:f>IF(T125=0,0,N125/T125)</x:f>
        <x:v>0.0031437035887541234</x:v>
      </x:c>
      <x:c r="W125" s="10" t="n">
        <x:f>IF(AND(G125=1,Q125=1),1,0)</x:f>
        <x:v>1</x:v>
      </x:c>
      <x:c r="X125" s="20" t="n">
        <x:f>IF(W125=1,P125-F125,"")</x:f>
        <x:v>0</x:v>
      </x:c>
      <x:c r="Y125" s="10" t="str">
        <x:f>IF(W125=0,"excluded",IF(X125&lt;0,"repaired",IF(X125&gt;0,"entropy","tie")))</x:f>
        <x:v>tie</x:v>
      </x:c>
      <x:c r="Z125" s="10" t="n">
        <x:f>IF(VALUE(L125)&gt;0,1,0)</x:f>
        <x:v>0</x:v>
      </x:c>
      <x:c r="AA125" s="10" t="n">
        <x:f>IF(AND('Raw Results'!$CJ$32="True",'Raw Results'!$CK$32="True"),1,0)</x:f>
        <x:v>1</x:v>
      </x:c>
      <x:c r="AB125" s="10" t="n">
        <x:f>IF(AND(J125=0,Q125=1),1,0)</x:f>
        <x:v>0</x:v>
      </x:c>
      <x:c r="AC125" s="20" t="n">
        <x:f>P125-I125</x:f>
        <x:v>0</x:v>
      </x:c>
      <x:c r="AD125" s="10" t="n">
        <x:f>IF(AND(G125=1,J125=0),1,0)</x:f>
        <x:v>0</x:v>
      </x:c>
      <x:c r="AE125" s="10" t="n">
        <x:f>IF(AND(G125=0,Q125=1),1,0)</x:f>
        <x:v>0</x:v>
      </x:c>
    </x:row>
    <x:row r="126">
      <x:c r="A126" s="10" t="str">
        <x:f>"Grid"</x:f>
        <x:v>Grid</x:v>
      </x:c>
      <x:c r="B126" s="12" t="n">
        <x:f>VALUE('Raw Results'!$A$33)</x:f>
        <x:v>200</x:v>
      </x:c>
      <x:c r="C126" s="14" t="n">
        <x:f>VALUE('Raw Results'!$B$33)</x:f>
        <x:v>0.5</x:v>
      </x:c>
      <x:c r="D126" s="12" t="n">
        <x:f>VALUE('Raw Results'!$C$33)</x:f>
        <x:v>2</x:v>
      </x:c>
      <x:c r="E126" s="12" t="n">
        <x:f>VALUE('Raw Results'!$D$33)</x:f>
        <x:v>2295941781</x:v>
      </x:c>
      <x:c r="F126" s="12" t="n">
        <x:f>VALUE('Raw Results'!$M$33)</x:f>
        <x:v>45</x:v>
      </x:c>
      <x:c r="G126" s="12" t="n">
        <x:f>IF('Raw Results'!$O$33="True",1,0)</x:f>
        <x:v>1</x:v>
      </x:c>
      <x:c r="H126" s="12" t="n">
        <x:f>VALUE('Raw Results'!$R$33)</x:f>
        <x:v>37</x:v>
      </x:c>
      <x:c r="I126" s="12" t="n">
        <x:f>VALUE('Raw Results'!$S$33)</x:f>
        <x:v>37</x:v>
      </x:c>
      <x:c r="J126" s="12" t="n">
        <x:f>IF('Raw Results'!$U$33="True",1,0)</x:f>
        <x:v>1</x:v>
      </x:c>
      <x:c r="K126" s="12" t="n">
        <x:f>VALUE('Raw Results'!$X$33)</x:f>
        <x:v>0</x:v>
      </x:c>
      <x:c r="L126" s="12" t="n">
        <x:f>VALUE('Raw Results'!$Y$33)</x:f>
        <x:v>0</x:v>
      </x:c>
      <x:c r="M126" s="10" t="str">
        <x:f>'Raw Results'!$Z$33</x:f>
      </x:c>
      <x:c r="N126" s="16" t="n">
        <x:f>VALUE('Raw Results'!$AA$33)</x:f>
        <x:v>0.003684900002554059</x:v>
      </x:c>
      <x:c r="O126" s="12" t="n">
        <x:f>VALUE('Raw Results'!$AB$33)</x:f>
        <x:v>37</x:v>
      </x:c>
      <x:c r="P126" s="12" t="n">
        <x:f>VALUE('Raw Results'!$AC$33)</x:f>
        <x:v>37</x:v>
      </x:c>
      <x:c r="Q126" s="12" t="n">
        <x:f>IF('Raw Results'!$AE$33="True",1,0)</x:f>
        <x:v>1</x:v>
      </x:c>
      <x:c r="R126" s="12" t="n">
        <x:f>VALUE('Raw Results'!$AG$33)</x:f>
        <x:v>0</x:v>
      </x:c>
      <x:c r="S126" s="12" t="n">
        <x:f>VALUE('Raw Results'!$AH$33)</x:f>
        <x:v>0</x:v>
      </x:c>
      <x:c r="T126" s="16" t="n">
        <x:f>VALUE('Raw Results'!$T$33)</x:f>
        <x:v>0.6319431000156328</x:v>
      </x:c>
      <x:c r="U126" s="16" t="n">
        <x:f>VALUE('Raw Results'!$AD$33)</x:f>
        <x:v>0.6356280000181869</x:v>
      </x:c>
      <x:c r="V126" s="18" t="n">
        <x:f>IF(T126=0,0,N126/T126)</x:f>
        <x:v>0.005831062958774141</x:v>
      </x:c>
      <x:c r="W126" s="10" t="n">
        <x:f>IF(AND(G126=1,Q126=1),1,0)</x:f>
        <x:v>1</x:v>
      </x:c>
      <x:c r="X126" s="20" t="n">
        <x:f>IF(W126=1,P126-F126,"")</x:f>
        <x:v>-8</x:v>
      </x:c>
      <x:c r="Y126" s="10" t="str">
        <x:f>IF(W126=0,"excluded",IF(X126&lt;0,"repaired",IF(X126&gt;0,"entropy","tie")))</x:f>
        <x:v>repaired</x:v>
      </x:c>
      <x:c r="Z126" s="10" t="n">
        <x:f>IF(VALUE(L126)&gt;0,1,0)</x:f>
        <x:v>0</x:v>
      </x:c>
      <x:c r="AA126" s="10" t="n">
        <x:f>IF(AND('Raw Results'!$V$33="True",'Raw Results'!$W$33="True"),1,0)</x:f>
        <x:v>1</x:v>
      </x:c>
      <x:c r="AB126" s="10" t="n">
        <x:f>IF(AND(J126=0,Q126=1),1,0)</x:f>
        <x:v>0</x:v>
      </x:c>
      <x:c r="AC126" s="20" t="n">
        <x:f>P126-I126</x:f>
        <x:v>0</x:v>
      </x:c>
      <x:c r="AD126" s="10" t="n">
        <x:f>IF(AND(G126=1,J126=0),1,0)</x:f>
        <x:v>0</x:v>
      </x:c>
      <x:c r="AE126" s="10" t="n">
        <x:f>IF(AND(G126=0,Q126=1),1,0)</x:f>
        <x:v>0</x:v>
      </x:c>
    </x:row>
    <x:row r="127">
      <x:c r="A127" s="10" t="str">
        <x:f>"Circle"</x:f>
        <x:v>Circle</x:v>
      </x:c>
      <x:c r="B127" s="12" t="n">
        <x:f>VALUE('Raw Results'!$A$33)</x:f>
        <x:v>200</x:v>
      </x:c>
      <x:c r="C127" s="14" t="n">
        <x:f>VALUE('Raw Results'!$B$33)</x:f>
        <x:v>0.5</x:v>
      </x:c>
      <x:c r="D127" s="12" t="n">
        <x:f>VALUE('Raw Results'!$C$33)</x:f>
        <x:v>2</x:v>
      </x:c>
      <x:c r="E127" s="12" t="n">
        <x:f>VALUE('Raw Results'!$D$33)</x:f>
        <x:v>2295941781</x:v>
      </x:c>
      <x:c r="F127" s="12" t="n">
        <x:f>VALUE('Raw Results'!$AI$33)</x:f>
        <x:v>42</x:v>
      </x:c>
      <x:c r="G127" s="12" t="n">
        <x:f>IF('Raw Results'!$AK$33="True",1,0)</x:f>
        <x:v>1</x:v>
      </x:c>
      <x:c r="H127" s="12" t="n">
        <x:f>VALUE('Raw Results'!$AN$33)</x:f>
        <x:v>135</x:v>
      </x:c>
      <x:c r="I127" s="12" t="n">
        <x:f>VALUE('Raw Results'!$AO$33)</x:f>
        <x:v>44</x:v>
      </x:c>
      <x:c r="J127" s="12" t="n">
        <x:f>IF('Raw Results'!$AQ$33="True",1,0)</x:f>
        <x:v>1</x:v>
      </x:c>
      <x:c r="K127" s="12" t="n">
        <x:f>VALUE('Raw Results'!$AT$33)</x:f>
        <x:v>0</x:v>
      </x:c>
      <x:c r="L127" s="12" t="n">
        <x:f>VALUE('Raw Results'!$AU$33)</x:f>
        <x:v>0</x:v>
      </x:c>
      <x:c r="M127" s="10" t="str">
        <x:f>'Raw Results'!$AV$33</x:f>
      </x:c>
      <x:c r="N127" s="16" t="n">
        <x:f>VALUE('Raw Results'!$AW$33)</x:f>
        <x:v>0.006268500001169741</x:v>
      </x:c>
      <x:c r="O127" s="12" t="n">
        <x:f>VALUE('Raw Results'!$AX$33)</x:f>
        <x:v>44</x:v>
      </x:c>
      <x:c r="P127" s="12" t="n">
        <x:f>VALUE('Raw Results'!$AY$33)</x:f>
        <x:v>44</x:v>
      </x:c>
      <x:c r="Q127" s="12" t="n">
        <x:f>IF('Raw Results'!$BA$33="True",1,0)</x:f>
        <x:v>1</x:v>
      </x:c>
      <x:c r="R127" s="12" t="n">
        <x:f>VALUE('Raw Results'!$BC$33)</x:f>
        <x:v>0</x:v>
      </x:c>
      <x:c r="S127" s="12" t="n">
        <x:f>VALUE('Raw Results'!$BD$33)</x:f>
        <x:v>0</x:v>
      </x:c>
      <x:c r="T127" s="16" t="n">
        <x:f>VALUE('Raw Results'!$AP$33)</x:f>
        <x:v>0.1555627000052482</x:v>
      </x:c>
      <x:c r="U127" s="16" t="n">
        <x:f>VALUE('Raw Results'!$AZ$33)</x:f>
        <x:v>0.16183120000641793</x:v>
      </x:c>
      <x:c r="V127" s="18" t="n">
        <x:f>IF(T127=0,0,N127/T127)</x:f>
        <x:v>0.04029564928455383</x:v>
      </x:c>
      <x:c r="W127" s="10" t="n">
        <x:f>IF(AND(G127=1,Q127=1),1,0)</x:f>
        <x:v>1</x:v>
      </x:c>
      <x:c r="X127" s="20" t="n">
        <x:f>IF(W127=1,P127-F127,"")</x:f>
        <x:v>2</x:v>
      </x:c>
      <x:c r="Y127" s="10" t="str">
        <x:f>IF(W127=0,"excluded",IF(X127&lt;0,"repaired",IF(X127&gt;0,"entropy","tie")))</x:f>
        <x:v>entropy</x:v>
      </x:c>
      <x:c r="Z127" s="10" t="n">
        <x:f>IF(VALUE(L127)&gt;0,1,0)</x:f>
        <x:v>0</x:v>
      </x:c>
      <x:c r="AA127" s="10" t="n">
        <x:f>IF(AND('Raw Results'!$AR$33="True",'Raw Results'!$AS$33="True"),1,0)</x:f>
        <x:v>1</x:v>
      </x:c>
      <x:c r="AB127" s="10" t="n">
        <x:f>IF(AND(J127=0,Q127=1),1,0)</x:f>
        <x:v>0</x:v>
      </x:c>
      <x:c r="AC127" s="20" t="n">
        <x:f>P127-I127</x:f>
        <x:v>0</x:v>
      </x:c>
      <x:c r="AD127" s="10" t="n">
        <x:f>IF(AND(G127=1,J127=0),1,0)</x:f>
        <x:v>0</x:v>
      </x:c>
      <x:c r="AE127" s="10" t="n">
        <x:f>IF(AND(G127=0,Q127=1),1,0)</x:f>
        <x:v>0</x:v>
      </x:c>
    </x:row>
    <x:row r="128">
      <x:c r="A128" s="10" t="str">
        <x:f>"Zoomed Square"</x:f>
        <x:v>Zoomed Square</x:v>
      </x:c>
      <x:c r="B128" s="12" t="n">
        <x:f>VALUE('Raw Results'!$A$33)</x:f>
        <x:v>200</x:v>
      </x:c>
      <x:c r="C128" s="14" t="n">
        <x:f>VALUE('Raw Results'!$B$33)</x:f>
        <x:v>0.5</x:v>
      </x:c>
      <x:c r="D128" s="12" t="n">
        <x:f>VALUE('Raw Results'!$C$33)</x:f>
        <x:v>2</x:v>
      </x:c>
      <x:c r="E128" s="12" t="n">
        <x:f>VALUE('Raw Results'!$D$33)</x:f>
        <x:v>2295941781</x:v>
      </x:c>
      <x:c r="F128" s="12" t="n">
        <x:f>VALUE('Raw Results'!$BE$33)</x:f>
        <x:v>46</x:v>
      </x:c>
      <x:c r="G128" s="12" t="n">
        <x:f>IF('Raw Results'!$BG$33="True",1,0)</x:f>
        <x:v>1</x:v>
      </x:c>
      <x:c r="H128" s="12" t="n">
        <x:f>VALUE('Raw Results'!$BJ$33)</x:f>
        <x:v>99</x:v>
      </x:c>
      <x:c r="I128" s="12" t="n">
        <x:f>VALUE('Raw Results'!$BK$33)</x:f>
        <x:v>44</x:v>
      </x:c>
      <x:c r="J128" s="12" t="n">
        <x:f>IF('Raw Results'!$BM$33="True",1,0)</x:f>
        <x:v>1</x:v>
      </x:c>
      <x:c r="K128" s="12" t="n">
        <x:f>VALUE('Raw Results'!$BP$33)</x:f>
        <x:v>0</x:v>
      </x:c>
      <x:c r="L128" s="12" t="n">
        <x:f>VALUE('Raw Results'!$BQ$33)</x:f>
        <x:v>0</x:v>
      </x:c>
      <x:c r="M128" s="10" t="str">
        <x:f>'Raw Results'!$BR$33</x:f>
      </x:c>
      <x:c r="N128" s="16" t="n">
        <x:f>VALUE('Raw Results'!$BS$33)</x:f>
        <x:v>0.005648700054734945</x:v>
      </x:c>
      <x:c r="O128" s="12" t="n">
        <x:f>VALUE('Raw Results'!$BT$33)</x:f>
        <x:v>44</x:v>
      </x:c>
      <x:c r="P128" s="12" t="n">
        <x:f>VALUE('Raw Results'!$BU$33)</x:f>
        <x:v>44</x:v>
      </x:c>
      <x:c r="Q128" s="12" t="n">
        <x:f>IF('Raw Results'!$BW$33="True",1,0)</x:f>
        <x:v>1</x:v>
      </x:c>
      <x:c r="R128" s="12" t="n">
        <x:f>VALUE('Raw Results'!$BY$33)</x:f>
        <x:v>0</x:v>
      </x:c>
      <x:c r="S128" s="12" t="n">
        <x:f>VALUE('Raw Results'!$BZ$33)</x:f>
        <x:v>0</x:v>
      </x:c>
      <x:c r="T128" s="16" t="n">
        <x:f>VALUE('Raw Results'!$BL$33)</x:f>
        <x:v>0.24933119991328567</x:v>
      </x:c>
      <x:c r="U128" s="16" t="n">
        <x:f>VALUE('Raw Results'!$BV$33)</x:f>
        <x:v>0.2549798999680206</x:v>
      </x:c>
      <x:c r="V128" s="18" t="n">
        <x:f>IF(T128=0,0,N128/T128)</x:f>
        <x:v>0.022655407974210583</x:v>
      </x:c>
      <x:c r="W128" s="10" t="n">
        <x:f>IF(AND(G128=1,Q128=1),1,0)</x:f>
        <x:v>1</x:v>
      </x:c>
      <x:c r="X128" s="20" t="n">
        <x:f>IF(W128=1,P128-F128,"")</x:f>
        <x:v>-2</x:v>
      </x:c>
      <x:c r="Y128" s="10" t="str">
        <x:f>IF(W128=0,"excluded",IF(X128&lt;0,"repaired",IF(X128&gt;0,"entropy","tie")))</x:f>
        <x:v>repaired</x:v>
      </x:c>
      <x:c r="Z128" s="10" t="n">
        <x:f>IF(VALUE(L128)&gt;0,1,0)</x:f>
        <x:v>0</x:v>
      </x:c>
      <x:c r="AA128" s="10" t="n">
        <x:f>IF(AND('Raw Results'!$BN$33="True",'Raw Results'!$BO$33="True"),1,0)</x:f>
        <x:v>1</x:v>
      </x:c>
      <x:c r="AB128" s="10" t="n">
        <x:f>IF(AND(J128=0,Q128=1),1,0)</x:f>
        <x:v>0</x:v>
      </x:c>
      <x:c r="AC128" s="20" t="n">
        <x:f>P128-I128</x:f>
        <x:v>0</x:v>
      </x:c>
      <x:c r="AD128" s="10" t="n">
        <x:f>IF(AND(G128=1,J128=0),1,0)</x:f>
        <x:v>0</x:v>
      </x:c>
      <x:c r="AE128" s="10" t="n">
        <x:f>IF(AND(G128=0,Q128=1),1,0)</x:f>
        <x:v>0</x:v>
      </x:c>
    </x:row>
    <x:row r="129">
      <x:c r="A129" s="10" t="str">
        <x:f>"ICH"</x:f>
        <x:v>ICH</x:v>
      </x:c>
      <x:c r="B129" s="12" t="n">
        <x:f>VALUE('Raw Results'!$A$33)</x:f>
        <x:v>200</x:v>
      </x:c>
      <x:c r="C129" s="14" t="n">
        <x:f>VALUE('Raw Results'!$B$33)</x:f>
        <x:v>0.5</x:v>
      </x:c>
      <x:c r="D129" s="12" t="n">
        <x:f>VALUE('Raw Results'!$C$33)</x:f>
        <x:v>2</x:v>
      </x:c>
      <x:c r="E129" s="12" t="n">
        <x:f>VALUE('Raw Results'!$D$33)</x:f>
        <x:v>2295941781</x:v>
      </x:c>
      <x:c r="F129" s="12" t="n">
        <x:f>VALUE('Raw Results'!$CA$33)</x:f>
        <x:v>38</x:v>
      </x:c>
      <x:c r="G129" s="12" t="n">
        <x:f>IF('Raw Results'!$CC$33="True",1,0)</x:f>
        <x:v>1</x:v>
      </x:c>
      <x:c r="H129" s="12" t="n">
        <x:f>VALUE('Raw Results'!$CF$33)</x:f>
        <x:v>39</x:v>
      </x:c>
      <x:c r="I129" s="12" t="n">
        <x:f>VALUE('Raw Results'!$CG$33)</x:f>
        <x:v>39</x:v>
      </x:c>
      <x:c r="J129" s="12" t="n">
        <x:f>IF('Raw Results'!$CI$33="True",1,0)</x:f>
        <x:v>1</x:v>
      </x:c>
      <x:c r="K129" s="12" t="n">
        <x:f>VALUE('Raw Results'!$CL$33)</x:f>
        <x:v>0</x:v>
      </x:c>
      <x:c r="L129" s="12" t="n">
        <x:f>VALUE('Raw Results'!$CM$33)</x:f>
        <x:v>0</x:v>
      </x:c>
      <x:c r="M129" s="10" t="str">
        <x:f>'Raw Results'!$CN$33</x:f>
      </x:c>
      <x:c r="N129" s="16" t="n">
        <x:f>VALUE('Raw Results'!$CO$33)</x:f>
        <x:v>0.004439799929969013</x:v>
      </x:c>
      <x:c r="O129" s="12" t="n">
        <x:f>VALUE('Raw Results'!$CP$33)</x:f>
        <x:v>39</x:v>
      </x:c>
      <x:c r="P129" s="12" t="n">
        <x:f>VALUE('Raw Results'!$CQ$33)</x:f>
        <x:v>39</x:v>
      </x:c>
      <x:c r="Q129" s="12" t="n">
        <x:f>IF('Raw Results'!$CS$33="True",1,0)</x:f>
        <x:v>1</x:v>
      </x:c>
      <x:c r="R129" s="12" t="n">
        <x:f>VALUE('Raw Results'!$CU$33)</x:f>
        <x:v>0</x:v>
      </x:c>
      <x:c r="S129" s="12" t="n">
        <x:f>VALUE('Raw Results'!$CV$33)</x:f>
        <x:v>0</x:v>
      </x:c>
      <x:c r="T129" s="16" t="n">
        <x:f>VALUE('Raw Results'!$CH$33)</x:f>
        <x:v>1.4365720000350848</x:v>
      </x:c>
      <x:c r="U129" s="16" t="n">
        <x:f>VALUE('Raw Results'!$CR$33)</x:f>
        <x:v>1.4410117999650538</x:v>
      </x:c>
      <x:c r="V129" s="18" t="n">
        <x:f>IF(T129=0,0,N129/T129)</x:f>
        <x:v>0.003090551625578517</x:v>
      </x:c>
      <x:c r="W129" s="10" t="n">
        <x:f>IF(AND(G129=1,Q129=1),1,0)</x:f>
        <x:v>1</x:v>
      </x:c>
      <x:c r="X129" s="20" t="n">
        <x:f>IF(W129=1,P129-F129,"")</x:f>
        <x:v>1</x:v>
      </x:c>
      <x:c r="Y129" s="10" t="str">
        <x:f>IF(W129=0,"excluded",IF(X129&lt;0,"repaired",IF(X129&gt;0,"entropy","tie")))</x:f>
        <x:v>entropy</x:v>
      </x:c>
      <x:c r="Z129" s="10" t="n">
        <x:f>IF(VALUE(L129)&gt;0,1,0)</x:f>
        <x:v>0</x:v>
      </x:c>
      <x:c r="AA129" s="10" t="n">
        <x:f>IF(AND('Raw Results'!$CJ$33="True",'Raw Results'!$CK$33="True"),1,0)</x:f>
        <x:v>1</x:v>
      </x:c>
      <x:c r="AB129" s="10" t="n">
        <x:f>IF(AND(J129=0,Q129=1),1,0)</x:f>
        <x:v>0</x:v>
      </x:c>
      <x:c r="AC129" s="20" t="n">
        <x:f>P129-I129</x:f>
        <x:v>0</x:v>
      </x:c>
      <x:c r="AD129" s="10" t="n">
        <x:f>IF(AND(G129=1,J129=0),1,0)</x:f>
        <x:v>0</x:v>
      </x:c>
      <x:c r="AE129" s="10" t="n">
        <x:f>IF(AND(G129=0,Q129=1),1,0)</x:f>
        <x:v>0</x:v>
      </x:c>
    </x:row>
    <x:row r="130">
      <x:c r="A130" s="10" t="str">
        <x:f>"Grid"</x:f>
        <x:v>Grid</x:v>
      </x:c>
      <x:c r="B130" s="12" t="n">
        <x:f>VALUE('Raw Results'!$A$34)</x:f>
        <x:v>200</x:v>
      </x:c>
      <x:c r="C130" s="14" t="n">
        <x:f>VALUE('Raw Results'!$B$34)</x:f>
        <x:v>0.5</x:v>
      </x:c>
      <x:c r="D130" s="12" t="n">
        <x:f>VALUE('Raw Results'!$C$34)</x:f>
        <x:v>3</x:v>
      </x:c>
      <x:c r="E130" s="12" t="n">
        <x:f>VALUE('Raw Results'!$D$34)</x:f>
        <x:v>445207504</x:v>
      </x:c>
      <x:c r="F130" s="12" t="n">
        <x:f>VALUE('Raw Results'!$M$34)</x:f>
        <x:v>44</x:v>
      </x:c>
      <x:c r="G130" s="12" t="n">
        <x:f>IF('Raw Results'!$O$34="True",1,0)</x:f>
        <x:v>1</x:v>
      </x:c>
      <x:c r="H130" s="12" t="n">
        <x:f>VALUE('Raw Results'!$R$34)</x:f>
        <x:v>38</x:v>
      </x:c>
      <x:c r="I130" s="12" t="n">
        <x:f>VALUE('Raw Results'!$S$34)</x:f>
        <x:v>37</x:v>
      </x:c>
      <x:c r="J130" s="12" t="n">
        <x:f>IF('Raw Results'!$U$34="True",1,0)</x:f>
        <x:v>1</x:v>
      </x:c>
      <x:c r="K130" s="12" t="n">
        <x:f>VALUE('Raw Results'!$X$34)</x:f>
        <x:v>0</x:v>
      </x:c>
      <x:c r="L130" s="12" t="n">
        <x:f>VALUE('Raw Results'!$Y$34)</x:f>
        <x:v>0</x:v>
      </x:c>
      <x:c r="M130" s="10" t="str">
        <x:f>'Raw Results'!$Z$34</x:f>
      </x:c>
      <x:c r="N130" s="16" t="n">
        <x:f>VALUE('Raw Results'!$AA$34)</x:f>
        <x:v>0.004241500049829483</x:v>
      </x:c>
      <x:c r="O130" s="12" t="n">
        <x:f>VALUE('Raw Results'!$AB$34)</x:f>
        <x:v>37</x:v>
      </x:c>
      <x:c r="P130" s="12" t="n">
        <x:f>VALUE('Raw Results'!$AC$34)</x:f>
        <x:v>37</x:v>
      </x:c>
      <x:c r="Q130" s="12" t="n">
        <x:f>IF('Raw Results'!$AE$34="True",1,0)</x:f>
        <x:v>1</x:v>
      </x:c>
      <x:c r="R130" s="12" t="n">
        <x:f>VALUE('Raw Results'!$AG$34)</x:f>
        <x:v>0</x:v>
      </x:c>
      <x:c r="S130" s="12" t="n">
        <x:f>VALUE('Raw Results'!$AH$34)</x:f>
        <x:v>0</x:v>
      </x:c>
      <x:c r="T130" s="16" t="n">
        <x:f>VALUE('Raw Results'!$T$34)</x:f>
        <x:v>0.6498236000770703</x:v>
      </x:c>
      <x:c r="U130" s="16" t="n">
        <x:f>VALUE('Raw Results'!$AD$34)</x:f>
        <x:v>0.6540651001268998</x:v>
      </x:c>
      <x:c r="V130" s="18" t="n">
        <x:f>IF(T130=0,0,N130/T130)</x:f>
        <x:v>0.006527156061008608</x:v>
      </x:c>
      <x:c r="W130" s="10" t="n">
        <x:f>IF(AND(G130=1,Q130=1),1,0)</x:f>
        <x:v>1</x:v>
      </x:c>
      <x:c r="X130" s="20" t="n">
        <x:f>IF(W130=1,P130-F130,"")</x:f>
        <x:v>-7</x:v>
      </x:c>
      <x:c r="Y130" s="10" t="str">
        <x:f>IF(W130=0,"excluded",IF(X130&lt;0,"repaired",IF(X130&gt;0,"entropy","tie")))</x:f>
        <x:v>repaired</x:v>
      </x:c>
      <x:c r="Z130" s="10" t="n">
        <x:f>IF(VALUE(L130)&gt;0,1,0)</x:f>
        <x:v>0</x:v>
      </x:c>
      <x:c r="AA130" s="10" t="n">
        <x:f>IF(AND('Raw Results'!$V$34="True",'Raw Results'!$W$34="True"),1,0)</x:f>
        <x:v>1</x:v>
      </x:c>
      <x:c r="AB130" s="10" t="n">
        <x:f>IF(AND(J130=0,Q130=1),1,0)</x:f>
        <x:v>0</x:v>
      </x:c>
      <x:c r="AC130" s="20" t="n">
        <x:f>P130-I130</x:f>
        <x:v>0</x:v>
      </x:c>
      <x:c r="AD130" s="10" t="n">
        <x:f>IF(AND(G130=1,J130=0),1,0)</x:f>
        <x:v>0</x:v>
      </x:c>
      <x:c r="AE130" s="10" t="n">
        <x:f>IF(AND(G130=0,Q130=1),1,0)</x:f>
        <x:v>0</x:v>
      </x:c>
    </x:row>
    <x:row r="131">
      <x:c r="A131" s="10" t="str">
        <x:f>"Circle"</x:f>
        <x:v>Circle</x:v>
      </x:c>
      <x:c r="B131" s="12" t="n">
        <x:f>VALUE('Raw Results'!$A$34)</x:f>
        <x:v>200</x:v>
      </x:c>
      <x:c r="C131" s="14" t="n">
        <x:f>VALUE('Raw Results'!$B$34)</x:f>
        <x:v>0.5</x:v>
      </x:c>
      <x:c r="D131" s="12" t="n">
        <x:f>VALUE('Raw Results'!$C$34)</x:f>
        <x:v>3</x:v>
      </x:c>
      <x:c r="E131" s="12" t="n">
        <x:f>VALUE('Raw Results'!$D$34)</x:f>
        <x:v>445207504</x:v>
      </x:c>
      <x:c r="F131" s="12" t="n">
        <x:f>VALUE('Raw Results'!$AI$34)</x:f>
        <x:v>43</x:v>
      </x:c>
      <x:c r="G131" s="12" t="n">
        <x:f>IF('Raw Results'!$AK$34="True",1,0)</x:f>
        <x:v>1</x:v>
      </x:c>
      <x:c r="H131" s="12" t="n">
        <x:f>VALUE('Raw Results'!$AN$34)</x:f>
        <x:v>145</x:v>
      </x:c>
      <x:c r="I131" s="12" t="n">
        <x:f>VALUE('Raw Results'!$AO$34)</x:f>
        <x:v>48</x:v>
      </x:c>
      <x:c r="J131" s="12" t="n">
        <x:f>IF('Raw Results'!$AQ$34="True",1,0)</x:f>
        <x:v>1</x:v>
      </x:c>
      <x:c r="K131" s="12" t="n">
        <x:f>VALUE('Raw Results'!$AT$34)</x:f>
        <x:v>0</x:v>
      </x:c>
      <x:c r="L131" s="12" t="n">
        <x:f>VALUE('Raw Results'!$AU$34)</x:f>
        <x:v>0</x:v>
      </x:c>
      <x:c r="M131" s="10" t="str">
        <x:f>'Raw Results'!$AV$34</x:f>
      </x:c>
      <x:c r="N131" s="16" t="n">
        <x:f>VALUE('Raw Results'!$AW$34)</x:f>
        <x:v>0.005392199964262545</x:v>
      </x:c>
      <x:c r="O131" s="12" t="n">
        <x:f>VALUE('Raw Results'!$AX$34)</x:f>
        <x:v>48</x:v>
      </x:c>
      <x:c r="P131" s="12" t="n">
        <x:f>VALUE('Raw Results'!$AY$34)</x:f>
        <x:v>48</x:v>
      </x:c>
      <x:c r="Q131" s="12" t="n">
        <x:f>IF('Raw Results'!$BA$34="True",1,0)</x:f>
        <x:v>1</x:v>
      </x:c>
      <x:c r="R131" s="12" t="n">
        <x:f>VALUE('Raw Results'!$BC$34)</x:f>
        <x:v>0</x:v>
      </x:c>
      <x:c r="S131" s="12" t="n">
        <x:f>VALUE('Raw Results'!$BD$34)</x:f>
        <x:v>0</x:v>
      </x:c>
      <x:c r="T131" s="16" t="n">
        <x:f>VALUE('Raw Results'!$AP$34)</x:f>
        <x:v>0.11169509997125715</x:v>
      </x:c>
      <x:c r="U131" s="16" t="n">
        <x:f>VALUE('Raw Results'!$AZ$34)</x:f>
        <x:v>0.1170872999355197</x:v>
      </x:c>
      <x:c r="V131" s="18" t="n">
        <x:f>IF(T131=0,0,N131/T131)</x:f>
        <x:v>0.04827606551809468</x:v>
      </x:c>
      <x:c r="W131" s="10" t="n">
        <x:f>IF(AND(G131=1,Q131=1),1,0)</x:f>
        <x:v>1</x:v>
      </x:c>
      <x:c r="X131" s="20" t="n">
        <x:f>IF(W131=1,P131-F131,"")</x:f>
        <x:v>5</x:v>
      </x:c>
      <x:c r="Y131" s="10" t="str">
        <x:f>IF(W131=0,"excluded",IF(X131&lt;0,"repaired",IF(X131&gt;0,"entropy","tie")))</x:f>
        <x:v>entropy</x:v>
      </x:c>
      <x:c r="Z131" s="10" t="n">
        <x:f>IF(VALUE(L131)&gt;0,1,0)</x:f>
        <x:v>0</x:v>
      </x:c>
      <x:c r="AA131" s="10" t="n">
        <x:f>IF(AND('Raw Results'!$AR$34="True",'Raw Results'!$AS$34="True"),1,0)</x:f>
        <x:v>1</x:v>
      </x:c>
      <x:c r="AB131" s="10" t="n">
        <x:f>IF(AND(J131=0,Q131=1),1,0)</x:f>
        <x:v>0</x:v>
      </x:c>
      <x:c r="AC131" s="20" t="n">
        <x:f>P131-I131</x:f>
        <x:v>0</x:v>
      </x:c>
      <x:c r="AD131" s="10" t="n">
        <x:f>IF(AND(G131=1,J131=0),1,0)</x:f>
        <x:v>0</x:v>
      </x:c>
      <x:c r="AE131" s="10" t="n">
        <x:f>IF(AND(G131=0,Q131=1),1,0)</x:f>
        <x:v>0</x:v>
      </x:c>
    </x:row>
    <x:row r="132">
      <x:c r="A132" s="10" t="str">
        <x:f>"Zoomed Square"</x:f>
        <x:v>Zoomed Square</x:v>
      </x:c>
      <x:c r="B132" s="12" t="n">
        <x:f>VALUE('Raw Results'!$A$34)</x:f>
        <x:v>200</x:v>
      </x:c>
      <x:c r="C132" s="14" t="n">
        <x:f>VALUE('Raw Results'!$B$34)</x:f>
        <x:v>0.5</x:v>
      </x:c>
      <x:c r="D132" s="12" t="n">
        <x:f>VALUE('Raw Results'!$C$34)</x:f>
        <x:v>3</x:v>
      </x:c>
      <x:c r="E132" s="12" t="n">
        <x:f>VALUE('Raw Results'!$D$34)</x:f>
        <x:v>445207504</x:v>
      </x:c>
      <x:c r="F132" s="12" t="n">
        <x:f>VALUE('Raw Results'!$BE$34)</x:f>
        <x:v>45</x:v>
      </x:c>
      <x:c r="G132" s="12" t="n">
        <x:f>IF('Raw Results'!$BG$34="True",1,0)</x:f>
        <x:v>1</x:v>
      </x:c>
      <x:c r="H132" s="12" t="n">
        <x:f>VALUE('Raw Results'!$BJ$34)</x:f>
        <x:v>71</x:v>
      </x:c>
      <x:c r="I132" s="12" t="n">
        <x:f>VALUE('Raw Results'!$BK$34)</x:f>
        <x:v>40</x:v>
      </x:c>
      <x:c r="J132" s="12" t="n">
        <x:f>IF('Raw Results'!$BM$34="True",1,0)</x:f>
        <x:v>1</x:v>
      </x:c>
      <x:c r="K132" s="12" t="n">
        <x:f>VALUE('Raw Results'!$BP$34)</x:f>
        <x:v>0</x:v>
      </x:c>
      <x:c r="L132" s="12" t="n">
        <x:f>VALUE('Raw Results'!$BQ$34)</x:f>
        <x:v>0</x:v>
      </x:c>
      <x:c r="M132" s="10" t="str">
        <x:f>'Raw Results'!$BR$34</x:f>
      </x:c>
      <x:c r="N132" s="16" t="n">
        <x:f>VALUE('Raw Results'!$BS$34)</x:f>
        <x:v>0.005208999966271222</x:v>
      </x:c>
      <x:c r="O132" s="12" t="n">
        <x:f>VALUE('Raw Results'!$BT$34)</x:f>
        <x:v>40</x:v>
      </x:c>
      <x:c r="P132" s="12" t="n">
        <x:f>VALUE('Raw Results'!$BU$34)</x:f>
        <x:v>40</x:v>
      </x:c>
      <x:c r="Q132" s="12" t="n">
        <x:f>IF('Raw Results'!$BW$34="True",1,0)</x:f>
        <x:v>1</x:v>
      </x:c>
      <x:c r="R132" s="12" t="n">
        <x:f>VALUE('Raw Results'!$BY$34)</x:f>
        <x:v>0</x:v>
      </x:c>
      <x:c r="S132" s="12" t="n">
        <x:f>VALUE('Raw Results'!$BZ$34)</x:f>
        <x:v>0</x:v>
      </x:c>
      <x:c r="T132" s="16" t="n">
        <x:f>VALUE('Raw Results'!$BL$34)</x:f>
        <x:v>0.37115920009091496</x:v>
      </x:c>
      <x:c r="U132" s="16" t="n">
        <x:f>VALUE('Raw Results'!$BV$34)</x:f>
        <x:v>0.3763682000571862</x:v>
      </x:c>
      <x:c r="V132" s="18" t="n">
        <x:f>IF(T132=0,0,N132/T132)</x:f>
        <x:v>0.014034408860120627</x:v>
      </x:c>
      <x:c r="W132" s="10" t="n">
        <x:f>IF(AND(G132=1,Q132=1),1,0)</x:f>
        <x:v>1</x:v>
      </x:c>
      <x:c r="X132" s="20" t="n">
        <x:f>IF(W132=1,P132-F132,"")</x:f>
        <x:v>-5</x:v>
      </x:c>
      <x:c r="Y132" s="10" t="str">
        <x:f>IF(W132=0,"excluded",IF(X132&lt;0,"repaired",IF(X132&gt;0,"entropy","tie")))</x:f>
        <x:v>repaired</x:v>
      </x:c>
      <x:c r="Z132" s="10" t="n">
        <x:f>IF(VALUE(L132)&gt;0,1,0)</x:f>
        <x:v>0</x:v>
      </x:c>
      <x:c r="AA132" s="10" t="n">
        <x:f>IF(AND('Raw Results'!$BN$34="True",'Raw Results'!$BO$34="True"),1,0)</x:f>
        <x:v>1</x:v>
      </x:c>
      <x:c r="AB132" s="10" t="n">
        <x:f>IF(AND(J132=0,Q132=1),1,0)</x:f>
        <x:v>0</x:v>
      </x:c>
      <x:c r="AC132" s="20" t="n">
        <x:f>P132-I132</x:f>
        <x:v>0</x:v>
      </x:c>
      <x:c r="AD132" s="10" t="n">
        <x:f>IF(AND(G132=1,J132=0),1,0)</x:f>
        <x:v>0</x:v>
      </x:c>
      <x:c r="AE132" s="10" t="n">
        <x:f>IF(AND(G132=0,Q132=1),1,0)</x:f>
        <x:v>0</x:v>
      </x:c>
    </x:row>
    <x:row r="133">
      <x:c r="A133" s="10" t="str">
        <x:f>"ICH"</x:f>
        <x:v>ICH</x:v>
      </x:c>
      <x:c r="B133" s="12" t="n">
        <x:f>VALUE('Raw Results'!$A$34)</x:f>
        <x:v>200</x:v>
      </x:c>
      <x:c r="C133" s="14" t="n">
        <x:f>VALUE('Raw Results'!$B$34)</x:f>
        <x:v>0.5</x:v>
      </x:c>
      <x:c r="D133" s="12" t="n">
        <x:f>VALUE('Raw Results'!$C$34)</x:f>
        <x:v>3</x:v>
      </x:c>
      <x:c r="E133" s="12" t="n">
        <x:f>VALUE('Raw Results'!$D$34)</x:f>
        <x:v>445207504</x:v>
      </x:c>
      <x:c r="F133" s="12" t="n">
        <x:f>VALUE('Raw Results'!$CA$34)</x:f>
        <x:v>41</x:v>
      </x:c>
      <x:c r="G133" s="12" t="n">
        <x:f>IF('Raw Results'!$CC$34="True",1,0)</x:f>
        <x:v>1</x:v>
      </x:c>
      <x:c r="H133" s="12" t="n">
        <x:f>VALUE('Raw Results'!$CF$34)</x:f>
        <x:v>39</x:v>
      </x:c>
      <x:c r="I133" s="12" t="n">
        <x:f>VALUE('Raw Results'!$CG$34)</x:f>
        <x:v>39</x:v>
      </x:c>
      <x:c r="J133" s="12" t="n">
        <x:f>IF('Raw Results'!$CI$34="True",1,0)</x:f>
        <x:v>1</x:v>
      </x:c>
      <x:c r="K133" s="12" t="n">
        <x:f>VALUE('Raw Results'!$CL$34)</x:f>
        <x:v>0</x:v>
      </x:c>
      <x:c r="L133" s="12" t="n">
        <x:f>VALUE('Raw Results'!$CM$34)</x:f>
        <x:v>0</x:v>
      </x:c>
      <x:c r="M133" s="10" t="str">
        <x:f>'Raw Results'!$CN$34</x:f>
      </x:c>
      <x:c r="N133" s="16" t="n">
        <x:f>VALUE('Raw Results'!$CO$34)</x:f>
        <x:v>0.0041053000604733825</x:v>
      </x:c>
      <x:c r="O133" s="12" t="n">
        <x:f>VALUE('Raw Results'!$CP$34)</x:f>
        <x:v>39</x:v>
      </x:c>
      <x:c r="P133" s="12" t="n">
        <x:f>VALUE('Raw Results'!$CQ$34)</x:f>
        <x:v>39</x:v>
      </x:c>
      <x:c r="Q133" s="12" t="n">
        <x:f>IF('Raw Results'!$CS$34="True",1,0)</x:f>
        <x:v>1</x:v>
      </x:c>
      <x:c r="R133" s="12" t="n">
        <x:f>VALUE('Raw Results'!$CU$34)</x:f>
        <x:v>0</x:v>
      </x:c>
      <x:c r="S133" s="12" t="n">
        <x:f>VALUE('Raw Results'!$CV$34)</x:f>
        <x:v>0</x:v>
      </x:c>
      <x:c r="T133" s="16" t="n">
        <x:f>VALUE('Raw Results'!$CH$34)</x:f>
        <x:v>1.505722500034608</x:v>
      </x:c>
      <x:c r="U133" s="16" t="n">
        <x:f>VALUE('Raw Results'!$CR$34)</x:f>
        <x:v>1.5098278000950813</x:v>
      </x:c>
      <x:c r="V133" s="18" t="n">
        <x:f>IF(T133=0,0,N133/T133)</x:f>
        <x:v>0.00272646524202104</x:v>
      </x:c>
      <x:c r="W133" s="10" t="n">
        <x:f>IF(AND(G133=1,Q133=1),1,0)</x:f>
        <x:v>1</x:v>
      </x:c>
      <x:c r="X133" s="20" t="n">
        <x:f>IF(W133=1,P133-F133,"")</x:f>
        <x:v>-2</x:v>
      </x:c>
      <x:c r="Y133" s="10" t="str">
        <x:f>IF(W133=0,"excluded",IF(X133&lt;0,"repaired",IF(X133&gt;0,"entropy","tie")))</x:f>
        <x:v>repaired</x:v>
      </x:c>
      <x:c r="Z133" s="10" t="n">
        <x:f>IF(VALUE(L133)&gt;0,1,0)</x:f>
        <x:v>0</x:v>
      </x:c>
      <x:c r="AA133" s="10" t="n">
        <x:f>IF(AND('Raw Results'!$CJ$34="True",'Raw Results'!$CK$34="True"),1,0)</x:f>
        <x:v>1</x:v>
      </x:c>
      <x:c r="AB133" s="10" t="n">
        <x:f>IF(AND(J133=0,Q133=1),1,0)</x:f>
        <x:v>0</x:v>
      </x:c>
      <x:c r="AC133" s="20" t="n">
        <x:f>P133-I133</x:f>
        <x:v>0</x:v>
      </x:c>
      <x:c r="AD133" s="10" t="n">
        <x:f>IF(AND(G133=1,J133=0),1,0)</x:f>
        <x:v>0</x:v>
      </x:c>
      <x:c r="AE133" s="10" t="n">
        <x:f>IF(AND(G133=0,Q133=1),1,0)</x:f>
        <x:v>0</x:v>
      </x:c>
    </x:row>
    <x:row r="134">
      <x:c r="A134" s="10" t="str">
        <x:f>"Grid"</x:f>
        <x:v>Grid</x:v>
      </x:c>
      <x:c r="B134" s="12" t="n">
        <x:f>VALUE('Raw Results'!$A$35)</x:f>
        <x:v>200</x:v>
      </x:c>
      <x:c r="C134" s="14" t="n">
        <x:f>VALUE('Raw Results'!$B$35)</x:f>
        <x:v>0.7</x:v>
      </x:c>
      <x:c r="D134" s="12" t="n">
        <x:f>VALUE('Raw Results'!$C$35)</x:f>
        <x:v>1</x:v>
      </x:c>
      <x:c r="E134" s="12" t="n">
        <x:f>VALUE('Raw Results'!$D$35)</x:f>
        <x:v>2846692824</x:v>
      </x:c>
      <x:c r="F134" s="12" t="n">
        <x:f>VALUE('Raw Results'!$M$35)</x:f>
        <x:v>64</x:v>
      </x:c>
      <x:c r="G134" s="12" t="n">
        <x:f>IF('Raw Results'!$O$35="True",1,0)</x:f>
        <x:v>1</x:v>
      </x:c>
      <x:c r="H134" s="12" t="n">
        <x:f>VALUE('Raw Results'!$R$35)</x:f>
        <x:v>57</x:v>
      </x:c>
      <x:c r="I134" s="12" t="n">
        <x:f>VALUE('Raw Results'!$S$35)</x:f>
        <x:v>57</x:v>
      </x:c>
      <x:c r="J134" s="12" t="n">
        <x:f>IF('Raw Results'!$U$35="True",1,0)</x:f>
        <x:v>1</x:v>
      </x:c>
      <x:c r="K134" s="12" t="n">
        <x:f>VALUE('Raw Results'!$X$35)</x:f>
        <x:v>0</x:v>
      </x:c>
      <x:c r="L134" s="12" t="n">
        <x:f>VALUE('Raw Results'!$Y$35)</x:f>
        <x:v>0</x:v>
      </x:c>
      <x:c r="M134" s="10" t="str">
        <x:f>'Raw Results'!$Z$35</x:f>
      </x:c>
      <x:c r="N134" s="16" t="n">
        <x:f>VALUE('Raw Results'!$AA$35)</x:f>
        <x:v>0.005728200078010559</x:v>
      </x:c>
      <x:c r="O134" s="12" t="n">
        <x:f>VALUE('Raw Results'!$AB$35)</x:f>
        <x:v>57</x:v>
      </x:c>
      <x:c r="P134" s="12" t="n">
        <x:f>VALUE('Raw Results'!$AC$35)</x:f>
        <x:v>57</x:v>
      </x:c>
      <x:c r="Q134" s="12" t="n">
        <x:f>IF('Raw Results'!$AE$35="True",1,0)</x:f>
        <x:v>1</x:v>
      </x:c>
      <x:c r="R134" s="12" t="n">
        <x:f>VALUE('Raw Results'!$AG$35)</x:f>
        <x:v>0</x:v>
      </x:c>
      <x:c r="S134" s="12" t="n">
        <x:f>VALUE('Raw Results'!$AH$35)</x:f>
        <x:v>0</x:v>
      </x:c>
      <x:c r="T134" s="16" t="n">
        <x:f>VALUE('Raw Results'!$T$35)</x:f>
        <x:v>0.6993116999510676</x:v>
      </x:c>
      <x:c r="U134" s="16" t="n">
        <x:f>VALUE('Raw Results'!$AD$35)</x:f>
        <x:v>0.7050399000290781</x:v>
      </x:c>
      <x:c r="V134" s="18" t="n">
        <x:f>IF(T134=0,0,N134/T134)</x:f>
        <x:v>0.008191197256404225</x:v>
      </x:c>
      <x:c r="W134" s="10" t="n">
        <x:f>IF(AND(G134=1,Q134=1),1,0)</x:f>
        <x:v>1</x:v>
      </x:c>
      <x:c r="X134" s="20" t="n">
        <x:f>IF(W134=1,P134-F134,"")</x:f>
        <x:v>-7</x:v>
      </x:c>
      <x:c r="Y134" s="10" t="str">
        <x:f>IF(W134=0,"excluded",IF(X134&lt;0,"repaired",IF(X134&gt;0,"entropy","tie")))</x:f>
        <x:v>repaired</x:v>
      </x:c>
      <x:c r="Z134" s="10" t="n">
        <x:f>IF(VALUE(L134)&gt;0,1,0)</x:f>
        <x:v>0</x:v>
      </x:c>
      <x:c r="AA134" s="10" t="n">
        <x:f>IF(AND('Raw Results'!$V$35="True",'Raw Results'!$W$35="True"),1,0)</x:f>
        <x:v>1</x:v>
      </x:c>
      <x:c r="AB134" s="10" t="n">
        <x:f>IF(AND(J134=0,Q134=1),1,0)</x:f>
        <x:v>0</x:v>
      </x:c>
      <x:c r="AC134" s="20" t="n">
        <x:f>P134-I134</x:f>
        <x:v>0</x:v>
      </x:c>
      <x:c r="AD134" s="10" t="n">
        <x:f>IF(AND(G134=1,J134=0),1,0)</x:f>
        <x:v>0</x:v>
      </x:c>
      <x:c r="AE134" s="10" t="n">
        <x:f>IF(AND(G134=0,Q134=1),1,0)</x:f>
        <x:v>0</x:v>
      </x:c>
    </x:row>
    <x:row r="135">
      <x:c r="A135" s="10" t="str">
        <x:f>"Circle"</x:f>
        <x:v>Circle</x:v>
      </x:c>
      <x:c r="B135" s="12" t="n">
        <x:f>VALUE('Raw Results'!$A$35)</x:f>
        <x:v>200</x:v>
      </x:c>
      <x:c r="C135" s="14" t="n">
        <x:f>VALUE('Raw Results'!$B$35)</x:f>
        <x:v>0.7</x:v>
      </x:c>
      <x:c r="D135" s="12" t="n">
        <x:f>VALUE('Raw Results'!$C$35)</x:f>
        <x:v>1</x:v>
      </x:c>
      <x:c r="E135" s="12" t="n">
        <x:f>VALUE('Raw Results'!$D$35)</x:f>
        <x:v>2846692824</x:v>
      </x:c>
      <x:c r="F135" s="12" t="n">
        <x:f>VALUE('Raw Results'!$AI$35)</x:f>
        <x:v>74</x:v>
      </x:c>
      <x:c r="G135" s="12" t="n">
        <x:f>IF('Raw Results'!$AK$35="True",1,0)</x:f>
        <x:v>1</x:v>
      </x:c>
      <x:c r="H135" s="12" t="n">
        <x:f>VALUE('Raw Results'!$AN$35)</x:f>
        <x:v>170</x:v>
      </x:c>
      <x:c r="I135" s="12" t="n">
        <x:f>VALUE('Raw Results'!$AO$35)</x:f>
        <x:v>74</x:v>
      </x:c>
      <x:c r="J135" s="12" t="n">
        <x:f>IF('Raw Results'!$AQ$35="True",1,0)</x:f>
        <x:v>1</x:v>
      </x:c>
      <x:c r="K135" s="12" t="n">
        <x:f>VALUE('Raw Results'!$AT$35)</x:f>
        <x:v>0</x:v>
      </x:c>
      <x:c r="L135" s="12" t="n">
        <x:f>VALUE('Raw Results'!$AU$35)</x:f>
        <x:v>0</x:v>
      </x:c>
      <x:c r="M135" s="10" t="str">
        <x:f>'Raw Results'!$AV$35</x:f>
      </x:c>
      <x:c r="N135" s="16" t="n">
        <x:f>VALUE('Raw Results'!$AW$35)</x:f>
        <x:v>0.010027099982835352</x:v>
      </x:c>
      <x:c r="O135" s="12" t="n">
        <x:f>VALUE('Raw Results'!$AX$35)</x:f>
        <x:v>74</x:v>
      </x:c>
      <x:c r="P135" s="12" t="n">
        <x:f>VALUE('Raw Results'!$AY$35)</x:f>
        <x:v>74</x:v>
      </x:c>
      <x:c r="Q135" s="12" t="n">
        <x:f>IF('Raw Results'!$BA$35="True",1,0)</x:f>
        <x:v>1</x:v>
      </x:c>
      <x:c r="R135" s="12" t="n">
        <x:f>VALUE('Raw Results'!$BC$35)</x:f>
        <x:v>0</x:v>
      </x:c>
      <x:c r="S135" s="12" t="n">
        <x:f>VALUE('Raw Results'!$BD$35)</x:f>
        <x:v>0</x:v>
      </x:c>
      <x:c r="T135" s="16" t="n">
        <x:f>VALUE('Raw Results'!$AP$35)</x:f>
        <x:v>0.2357099000364542</x:v>
      </x:c>
      <x:c r="U135" s="16" t="n">
        <x:f>VALUE('Raw Results'!$AZ$35)</x:f>
        <x:v>0.24573700001928955</x:v>
      </x:c>
      <x:c r="V135" s="18" t="n">
        <x:f>IF(T135=0,0,N135/T135)</x:f>
        <x:v>0.04254000354369753</x:v>
      </x:c>
      <x:c r="W135" s="10" t="n">
        <x:f>IF(AND(G135=1,Q135=1),1,0)</x:f>
        <x:v>1</x:v>
      </x:c>
      <x:c r="X135" s="20" t="n">
        <x:f>IF(W135=1,P135-F135,"")</x:f>
        <x:v>0</x:v>
      </x:c>
      <x:c r="Y135" s="10" t="str">
        <x:f>IF(W135=0,"excluded",IF(X135&lt;0,"repaired",IF(X135&gt;0,"entropy","tie")))</x:f>
        <x:v>tie</x:v>
      </x:c>
      <x:c r="Z135" s="10" t="n">
        <x:f>IF(VALUE(L135)&gt;0,1,0)</x:f>
        <x:v>0</x:v>
      </x:c>
      <x:c r="AA135" s="10" t="n">
        <x:f>IF(AND('Raw Results'!$AR$35="True",'Raw Results'!$AS$35="True"),1,0)</x:f>
        <x:v>1</x:v>
      </x:c>
      <x:c r="AB135" s="10" t="n">
        <x:f>IF(AND(J135=0,Q135=1),1,0)</x:f>
        <x:v>0</x:v>
      </x:c>
      <x:c r="AC135" s="20" t="n">
        <x:f>P135-I135</x:f>
        <x:v>0</x:v>
      </x:c>
      <x:c r="AD135" s="10" t="n">
        <x:f>IF(AND(G135=1,J135=0),1,0)</x:f>
        <x:v>0</x:v>
      </x:c>
      <x:c r="AE135" s="10" t="n">
        <x:f>IF(AND(G135=0,Q135=1),1,0)</x:f>
        <x:v>0</x:v>
      </x:c>
    </x:row>
    <x:row r="136">
      <x:c r="A136" s="10" t="str">
        <x:f>"Zoomed Square"</x:f>
        <x:v>Zoomed Square</x:v>
      </x:c>
      <x:c r="B136" s="12" t="n">
        <x:f>VALUE('Raw Results'!$A$35)</x:f>
        <x:v>200</x:v>
      </x:c>
      <x:c r="C136" s="14" t="n">
        <x:f>VALUE('Raw Results'!$B$35)</x:f>
        <x:v>0.7</x:v>
      </x:c>
      <x:c r="D136" s="12" t="n">
        <x:f>VALUE('Raw Results'!$C$35)</x:f>
        <x:v>1</x:v>
      </x:c>
      <x:c r="E136" s="12" t="n">
        <x:f>VALUE('Raw Results'!$D$35)</x:f>
        <x:v>2846692824</x:v>
      </x:c>
      <x:c r="F136" s="12" t="n">
        <x:f>VALUE('Raw Results'!$BE$35)</x:f>
        <x:v>75</x:v>
      </x:c>
      <x:c r="G136" s="12" t="n">
        <x:f>IF('Raw Results'!$BG$35="True",1,0)</x:f>
        <x:v>1</x:v>
      </x:c>
      <x:c r="H136" s="12" t="n">
        <x:f>VALUE('Raw Results'!$BJ$35)</x:f>
        <x:v>135</x:v>
      </x:c>
      <x:c r="I136" s="12" t="n">
        <x:f>VALUE('Raw Results'!$BK$35)</x:f>
        <x:v>72</x:v>
      </x:c>
      <x:c r="J136" s="12" t="n">
        <x:f>IF('Raw Results'!$BM$35="True",1,0)</x:f>
        <x:v>1</x:v>
      </x:c>
      <x:c r="K136" s="12" t="n">
        <x:f>VALUE('Raw Results'!$BP$35)</x:f>
        <x:v>0</x:v>
      </x:c>
      <x:c r="L136" s="12" t="n">
        <x:f>VALUE('Raw Results'!$BQ$35)</x:f>
        <x:v>0</x:v>
      </x:c>
      <x:c r="M136" s="10" t="str">
        <x:f>'Raw Results'!$BR$35</x:f>
      </x:c>
      <x:c r="N136" s="16" t="n">
        <x:f>VALUE('Raw Results'!$BS$35)</x:f>
        <x:v>0.00818150001578033</x:v>
      </x:c>
      <x:c r="O136" s="12" t="n">
        <x:f>VALUE('Raw Results'!$BT$35)</x:f>
        <x:v>72</x:v>
      </x:c>
      <x:c r="P136" s="12" t="n">
        <x:f>VALUE('Raw Results'!$BU$35)</x:f>
        <x:v>72</x:v>
      </x:c>
      <x:c r="Q136" s="12" t="n">
        <x:f>IF('Raw Results'!$BW$35="True",1,0)</x:f>
        <x:v>1</x:v>
      </x:c>
      <x:c r="R136" s="12" t="n">
        <x:f>VALUE('Raw Results'!$BY$35)</x:f>
        <x:v>0</x:v>
      </x:c>
      <x:c r="S136" s="12" t="n">
        <x:f>VALUE('Raw Results'!$BZ$35)</x:f>
        <x:v>0</x:v>
      </x:c>
      <x:c r="T136" s="16" t="n">
        <x:f>VALUE('Raw Results'!$BL$35)</x:f>
        <x:v>0.3998591999989003</x:v>
      </x:c>
      <x:c r="U136" s="16" t="n">
        <x:f>VALUE('Raw Results'!$BV$35)</x:f>
        <x:v>0.4080407000146806</x:v>
      </x:c>
      <x:c r="V136" s="18" t="n">
        <x:f>IF(T136=0,0,N136/T136)</x:f>
        <x:v>0.020460952294714816</x:v>
      </x:c>
      <x:c r="W136" s="10" t="n">
        <x:f>IF(AND(G136=1,Q136=1),1,0)</x:f>
        <x:v>1</x:v>
      </x:c>
      <x:c r="X136" s="20" t="n">
        <x:f>IF(W136=1,P136-F136,"")</x:f>
        <x:v>-3</x:v>
      </x:c>
      <x:c r="Y136" s="10" t="str">
        <x:f>IF(W136=0,"excluded",IF(X136&lt;0,"repaired",IF(X136&gt;0,"entropy","tie")))</x:f>
        <x:v>repaired</x:v>
      </x:c>
      <x:c r="Z136" s="10" t="n">
        <x:f>IF(VALUE(L136)&gt;0,1,0)</x:f>
        <x:v>0</x:v>
      </x:c>
      <x:c r="AA136" s="10" t="n">
        <x:f>IF(AND('Raw Results'!$BN$35="True",'Raw Results'!$BO$35="True"),1,0)</x:f>
        <x:v>1</x:v>
      </x:c>
      <x:c r="AB136" s="10" t="n">
        <x:f>IF(AND(J136=0,Q136=1),1,0)</x:f>
        <x:v>0</x:v>
      </x:c>
      <x:c r="AC136" s="20" t="n">
        <x:f>P136-I136</x:f>
        <x:v>0</x:v>
      </x:c>
      <x:c r="AD136" s="10" t="n">
        <x:f>IF(AND(G136=1,J136=0),1,0)</x:f>
        <x:v>0</x:v>
      </x:c>
      <x:c r="AE136" s="10" t="n">
        <x:f>IF(AND(G136=0,Q136=1),1,0)</x:f>
        <x:v>0</x:v>
      </x:c>
    </x:row>
    <x:row r="137">
      <x:c r="A137" s="10" t="str">
        <x:f>"ICH"</x:f>
        <x:v>ICH</x:v>
      </x:c>
      <x:c r="B137" s="12" t="n">
        <x:f>VALUE('Raw Results'!$A$35)</x:f>
        <x:v>200</x:v>
      </x:c>
      <x:c r="C137" s="14" t="n">
        <x:f>VALUE('Raw Results'!$B$35)</x:f>
        <x:v>0.7</x:v>
      </x:c>
      <x:c r="D137" s="12" t="n">
        <x:f>VALUE('Raw Results'!$C$35)</x:f>
        <x:v>1</x:v>
      </x:c>
      <x:c r="E137" s="12" t="n">
        <x:f>VALUE('Raw Results'!$D$35)</x:f>
        <x:v>2846692824</x:v>
      </x:c>
      <x:c r="F137" s="12" t="n">
        <x:f>VALUE('Raw Results'!$CA$35)</x:f>
        <x:v>61</x:v>
      </x:c>
      <x:c r="G137" s="12" t="n">
        <x:f>IF('Raw Results'!$CC$35="True",1,0)</x:f>
        <x:v>1</x:v>
      </x:c>
      <x:c r="H137" s="12" t="n">
        <x:f>VALUE('Raw Results'!$CF$35)</x:f>
        <x:v>60</x:v>
      </x:c>
      <x:c r="I137" s="12" t="n">
        <x:f>VALUE('Raw Results'!$CG$35)</x:f>
        <x:v>60</x:v>
      </x:c>
      <x:c r="J137" s="12" t="n">
        <x:f>IF('Raw Results'!$CI$35="True",1,0)</x:f>
        <x:v>1</x:v>
      </x:c>
      <x:c r="K137" s="12" t="n">
        <x:f>VALUE('Raw Results'!$CL$35)</x:f>
        <x:v>0</x:v>
      </x:c>
      <x:c r="L137" s="12" t="n">
        <x:f>VALUE('Raw Results'!$CM$35)</x:f>
        <x:v>0</x:v>
      </x:c>
      <x:c r="M137" s="10" t="str">
        <x:f>'Raw Results'!$CN$35</x:f>
      </x:c>
      <x:c r="N137" s="16" t="n">
        <x:f>VALUE('Raw Results'!$CO$35)</x:f>
        <x:v>0.006244299933314323</x:v>
      </x:c>
      <x:c r="O137" s="12" t="n">
        <x:f>VALUE('Raw Results'!$CP$35)</x:f>
        <x:v>60</x:v>
      </x:c>
      <x:c r="P137" s="12" t="n">
        <x:f>VALUE('Raw Results'!$CQ$35)</x:f>
        <x:v>60</x:v>
      </x:c>
      <x:c r="Q137" s="12" t="n">
        <x:f>IF('Raw Results'!$CS$35="True",1,0)</x:f>
        <x:v>1</x:v>
      </x:c>
      <x:c r="R137" s="12" t="n">
        <x:f>VALUE('Raw Results'!$CU$35)</x:f>
        <x:v>0</x:v>
      </x:c>
      <x:c r="S137" s="12" t="n">
        <x:f>VALUE('Raw Results'!$CV$35)</x:f>
        <x:v>0</x:v>
      </x:c>
      <x:c r="T137" s="16" t="n">
        <x:f>VALUE('Raw Results'!$CH$35)</x:f>
        <x:v>1.7042258000001311</x:v>
      </x:c>
      <x:c r="U137" s="16" t="n">
        <x:f>VALUE('Raw Results'!$CR$35)</x:f>
        <x:v>1.7104700999334455</x:v>
      </x:c>
      <x:c r="V137" s="18" t="n">
        <x:f>IF(T137=0,0,N137/T137)</x:f>
        <x:v>0.0036640097417336617</x:v>
      </x:c>
      <x:c r="W137" s="10" t="n">
        <x:f>IF(AND(G137=1,Q137=1),1,0)</x:f>
        <x:v>1</x:v>
      </x:c>
      <x:c r="X137" s="20" t="n">
        <x:f>IF(W137=1,P137-F137,"")</x:f>
        <x:v>-1</x:v>
      </x:c>
      <x:c r="Y137" s="10" t="str">
        <x:f>IF(W137=0,"excluded",IF(X137&lt;0,"repaired",IF(X137&gt;0,"entropy","tie")))</x:f>
        <x:v>repaired</x:v>
      </x:c>
      <x:c r="Z137" s="10" t="n">
        <x:f>IF(VALUE(L137)&gt;0,1,0)</x:f>
        <x:v>0</x:v>
      </x:c>
      <x:c r="AA137" s="10" t="n">
        <x:f>IF(AND('Raw Results'!$CJ$35="True",'Raw Results'!$CK$35="True"),1,0)</x:f>
        <x:v>1</x:v>
      </x:c>
      <x:c r="AB137" s="10" t="n">
        <x:f>IF(AND(J137=0,Q137=1),1,0)</x:f>
        <x:v>0</x:v>
      </x:c>
      <x:c r="AC137" s="20" t="n">
        <x:f>P137-I137</x:f>
        <x:v>0</x:v>
      </x:c>
      <x:c r="AD137" s="10" t="n">
        <x:f>IF(AND(G137=1,J137=0),1,0)</x:f>
        <x:v>0</x:v>
      </x:c>
      <x:c r="AE137" s="10" t="n">
        <x:f>IF(AND(G137=0,Q137=1),1,0)</x:f>
        <x:v>0</x:v>
      </x:c>
    </x:row>
    <x:row r="138">
      <x:c r="A138" s="10" t="str">
        <x:f>"Grid"</x:f>
        <x:v>Grid</x:v>
      </x:c>
      <x:c r="B138" s="12" t="n">
        <x:f>VALUE('Raw Results'!$A$36)</x:f>
        <x:v>200</x:v>
      </x:c>
      <x:c r="C138" s="14" t="n">
        <x:f>VALUE('Raw Results'!$B$36)</x:f>
        <x:v>0.7</x:v>
      </x:c>
      <x:c r="D138" s="12" t="n">
        <x:f>VALUE('Raw Results'!$C$36)</x:f>
        <x:v>2</x:v>
      </x:c>
      <x:c r="E138" s="12" t="n">
        <x:f>VALUE('Raw Results'!$D$36)</x:f>
        <x:v>2777253374</x:v>
      </x:c>
      <x:c r="F138" s="12" t="n">
        <x:f>VALUE('Raw Results'!$M$36)</x:f>
        <x:v>65</x:v>
      </x:c>
      <x:c r="G138" s="12" t="n">
        <x:f>IF('Raw Results'!$O$36="True",1,0)</x:f>
        <x:v>1</x:v>
      </x:c>
      <x:c r="H138" s="12" t="n">
        <x:f>VALUE('Raw Results'!$R$36)</x:f>
        <x:v>63</x:v>
      </x:c>
      <x:c r="I138" s="12" t="n">
        <x:f>VALUE('Raw Results'!$S$36)</x:f>
        <x:v>59</x:v>
      </x:c>
      <x:c r="J138" s="12" t="n">
        <x:f>IF('Raw Results'!$U$36="True",1,0)</x:f>
        <x:v>1</x:v>
      </x:c>
      <x:c r="K138" s="12" t="n">
        <x:f>VALUE('Raw Results'!$X$36)</x:f>
        <x:v>0</x:v>
      </x:c>
      <x:c r="L138" s="12" t="n">
        <x:f>VALUE('Raw Results'!$Y$36)</x:f>
        <x:v>0</x:v>
      </x:c>
      <x:c r="M138" s="10" t="str">
        <x:f>'Raw Results'!$Z$36</x:f>
      </x:c>
      <x:c r="N138" s="16" t="n">
        <x:f>VALUE('Raw Results'!$AA$36)</x:f>
        <x:v>0.00540500006172806</x:v>
      </x:c>
      <x:c r="O138" s="12" t="n">
        <x:f>VALUE('Raw Results'!$AB$36)</x:f>
        <x:v>59</x:v>
      </x:c>
      <x:c r="P138" s="12" t="n">
        <x:f>VALUE('Raw Results'!$AC$36)</x:f>
        <x:v>59</x:v>
      </x:c>
      <x:c r="Q138" s="12" t="n">
        <x:f>IF('Raw Results'!$AE$36="True",1,0)</x:f>
        <x:v>1</x:v>
      </x:c>
      <x:c r="R138" s="12" t="n">
        <x:f>VALUE('Raw Results'!$AG$36)</x:f>
        <x:v>0</x:v>
      </x:c>
      <x:c r="S138" s="12" t="n">
        <x:f>VALUE('Raw Results'!$AH$36)</x:f>
        <x:v>0</x:v>
      </x:c>
      <x:c r="T138" s="16" t="n">
        <x:f>VALUE('Raw Results'!$T$36)</x:f>
        <x:v>0.7682135999202728</x:v>
      </x:c>
      <x:c r="U138" s="16" t="n">
        <x:f>VALUE('Raw Results'!$AD$36)</x:f>
        <x:v>0.7736185999820009</x:v>
      </x:c>
      <x:c r="V138" s="18" t="n">
        <x:f>IF(T138=0,0,N138/T138)</x:f>
        <x:v>0.007035803664877847</x:v>
      </x:c>
      <x:c r="W138" s="10" t="n">
        <x:f>IF(AND(G138=1,Q138=1),1,0)</x:f>
        <x:v>1</x:v>
      </x:c>
      <x:c r="X138" s="20" t="n">
        <x:f>IF(W138=1,P138-F138,"")</x:f>
        <x:v>-6</x:v>
      </x:c>
      <x:c r="Y138" s="10" t="str">
        <x:f>IF(W138=0,"excluded",IF(X138&lt;0,"repaired",IF(X138&gt;0,"entropy","tie")))</x:f>
        <x:v>repaired</x:v>
      </x:c>
      <x:c r="Z138" s="10" t="n">
        <x:f>IF(VALUE(L138)&gt;0,1,0)</x:f>
        <x:v>0</x:v>
      </x:c>
      <x:c r="AA138" s="10" t="n">
        <x:f>IF(AND('Raw Results'!$V$36="True",'Raw Results'!$W$36="True"),1,0)</x:f>
        <x:v>1</x:v>
      </x:c>
      <x:c r="AB138" s="10" t="n">
        <x:f>IF(AND(J138=0,Q138=1),1,0)</x:f>
        <x:v>0</x:v>
      </x:c>
      <x:c r="AC138" s="20" t="n">
        <x:f>P138-I138</x:f>
        <x:v>0</x:v>
      </x:c>
      <x:c r="AD138" s="10" t="n">
        <x:f>IF(AND(G138=1,J138=0),1,0)</x:f>
        <x:v>0</x:v>
      </x:c>
      <x:c r="AE138" s="10" t="n">
        <x:f>IF(AND(G138=0,Q138=1),1,0)</x:f>
        <x:v>0</x:v>
      </x:c>
    </x:row>
    <x:row r="139">
      <x:c r="A139" s="10" t="str">
        <x:f>"Circle"</x:f>
        <x:v>Circle</x:v>
      </x:c>
      <x:c r="B139" s="12" t="n">
        <x:f>VALUE('Raw Results'!$A$36)</x:f>
        <x:v>200</x:v>
      </x:c>
      <x:c r="C139" s="14" t="n">
        <x:f>VALUE('Raw Results'!$B$36)</x:f>
        <x:v>0.7</x:v>
      </x:c>
      <x:c r="D139" s="12" t="n">
        <x:f>VALUE('Raw Results'!$C$36)</x:f>
        <x:v>2</x:v>
      </x:c>
      <x:c r="E139" s="12" t="n">
        <x:f>VALUE('Raw Results'!$D$36)</x:f>
        <x:v>2777253374</x:v>
      </x:c>
      <x:c r="F139" s="12" t="n">
        <x:f>VALUE('Raw Results'!$AI$36)</x:f>
        <x:v>70</x:v>
      </x:c>
      <x:c r="G139" s="12" t="n">
        <x:f>IF('Raw Results'!$AK$36="True",1,0)</x:f>
        <x:v>1</x:v>
      </x:c>
      <x:c r="H139" s="12" t="n">
        <x:f>VALUE('Raw Results'!$AN$36)</x:f>
        <x:v>183</x:v>
      </x:c>
      <x:c r="I139" s="12" t="n">
        <x:f>VALUE('Raw Results'!$AO$36)</x:f>
        <x:v>71</x:v>
      </x:c>
      <x:c r="J139" s="12" t="n">
        <x:f>IF('Raw Results'!$AQ$36="True",1,0)</x:f>
        <x:v>1</x:v>
      </x:c>
      <x:c r="K139" s="12" t="n">
        <x:f>VALUE('Raw Results'!$AT$36)</x:f>
        <x:v>0</x:v>
      </x:c>
      <x:c r="L139" s="12" t="n">
        <x:f>VALUE('Raw Results'!$AU$36)</x:f>
        <x:v>0</x:v>
      </x:c>
      <x:c r="M139" s="10" t="str">
        <x:f>'Raw Results'!$AV$36</x:f>
      </x:c>
      <x:c r="N139" s="16" t="n">
        <x:f>VALUE('Raw Results'!$AW$36)</x:f>
        <x:v>0.006309500080533326</x:v>
      </x:c>
      <x:c r="O139" s="12" t="n">
        <x:f>VALUE('Raw Results'!$AX$36)</x:f>
        <x:v>71</x:v>
      </x:c>
      <x:c r="P139" s="12" t="n">
        <x:f>VALUE('Raw Results'!$AY$36)</x:f>
        <x:v>71</x:v>
      </x:c>
      <x:c r="Q139" s="12" t="n">
        <x:f>IF('Raw Results'!$BA$36="True",1,0)</x:f>
        <x:v>1</x:v>
      </x:c>
      <x:c r="R139" s="12" t="n">
        <x:f>VALUE('Raw Results'!$BC$36)</x:f>
        <x:v>0</x:v>
      </x:c>
      <x:c r="S139" s="12" t="n">
        <x:f>VALUE('Raw Results'!$BD$36)</x:f>
        <x:v>0</x:v>
      </x:c>
      <x:c r="T139" s="16" t="n">
        <x:f>VALUE('Raw Results'!$AP$36)</x:f>
        <x:v>0.41277160006575286</x:v>
      </x:c>
      <x:c r="U139" s="16" t="n">
        <x:f>VALUE('Raw Results'!$AZ$36)</x:f>
        <x:v>0.4190811001462862</x:v>
      </x:c>
      <x:c r="V139" s="18" t="n">
        <x:f>IF(T139=0,0,N139/T139)</x:f>
        <x:v>0.015285693297523975</x:v>
      </x:c>
      <x:c r="W139" s="10" t="n">
        <x:f>IF(AND(G139=1,Q139=1),1,0)</x:f>
        <x:v>1</x:v>
      </x:c>
      <x:c r="X139" s="20" t="n">
        <x:f>IF(W139=1,P139-F139,"")</x:f>
        <x:v>1</x:v>
      </x:c>
      <x:c r="Y139" s="10" t="str">
        <x:f>IF(W139=0,"excluded",IF(X139&lt;0,"repaired",IF(X139&gt;0,"entropy","tie")))</x:f>
        <x:v>entropy</x:v>
      </x:c>
      <x:c r="Z139" s="10" t="n">
        <x:f>IF(VALUE(L139)&gt;0,1,0)</x:f>
        <x:v>0</x:v>
      </x:c>
      <x:c r="AA139" s="10" t="n">
        <x:f>IF(AND('Raw Results'!$AR$36="True",'Raw Results'!$AS$36="True"),1,0)</x:f>
        <x:v>1</x:v>
      </x:c>
      <x:c r="AB139" s="10" t="n">
        <x:f>IF(AND(J139=0,Q139=1),1,0)</x:f>
        <x:v>0</x:v>
      </x:c>
      <x:c r="AC139" s="20" t="n">
        <x:f>P139-I139</x:f>
        <x:v>0</x:v>
      </x:c>
      <x:c r="AD139" s="10" t="n">
        <x:f>IF(AND(G139=1,J139=0),1,0)</x:f>
        <x:v>0</x:v>
      </x:c>
      <x:c r="AE139" s="10" t="n">
        <x:f>IF(AND(G139=0,Q139=1),1,0)</x:f>
        <x:v>0</x:v>
      </x:c>
    </x:row>
    <x:row r="140">
      <x:c r="A140" s="10" t="str">
        <x:f>"Zoomed Square"</x:f>
        <x:v>Zoomed Square</x:v>
      </x:c>
      <x:c r="B140" s="12" t="n">
        <x:f>VALUE('Raw Results'!$A$36)</x:f>
        <x:v>200</x:v>
      </x:c>
      <x:c r="C140" s="14" t="n">
        <x:f>VALUE('Raw Results'!$B$36)</x:f>
        <x:v>0.7</x:v>
      </x:c>
      <x:c r="D140" s="12" t="n">
        <x:f>VALUE('Raw Results'!$C$36)</x:f>
        <x:v>2</x:v>
      </x:c>
      <x:c r="E140" s="12" t="n">
        <x:f>VALUE('Raw Results'!$D$36)</x:f>
        <x:v>2777253374</x:v>
      </x:c>
      <x:c r="F140" s="12" t="n">
        <x:f>VALUE('Raw Results'!$BE$36)</x:f>
        <x:v>64</x:v>
      </x:c>
      <x:c r="G140" s="12" t="n">
        <x:f>IF('Raw Results'!$BG$36="True",1,0)</x:f>
        <x:v>1</x:v>
      </x:c>
      <x:c r="H140" s="12" t="n">
        <x:f>VALUE('Raw Results'!$BJ$36)</x:f>
        <x:v>122</x:v>
      </x:c>
      <x:c r="I140" s="12" t="n">
        <x:f>VALUE('Raw Results'!$BK$36)</x:f>
        <x:v>62</x:v>
      </x:c>
      <x:c r="J140" s="12" t="n">
        <x:f>IF('Raw Results'!$BM$36="True",1,0)</x:f>
        <x:v>1</x:v>
      </x:c>
      <x:c r="K140" s="12" t="n">
        <x:f>VALUE('Raw Results'!$BP$36)</x:f>
        <x:v>0</x:v>
      </x:c>
      <x:c r="L140" s="12" t="n">
        <x:f>VALUE('Raw Results'!$BQ$36)</x:f>
        <x:v>0</x:v>
      </x:c>
      <x:c r="M140" s="10" t="str">
        <x:f>'Raw Results'!$BR$36</x:f>
      </x:c>
      <x:c r="N140" s="16" t="n">
        <x:f>VALUE('Raw Results'!$BS$36)</x:f>
        <x:v>0.005638500093482435</x:v>
      </x:c>
      <x:c r="O140" s="12" t="n">
        <x:f>VALUE('Raw Results'!$BT$36)</x:f>
        <x:v>62</x:v>
      </x:c>
      <x:c r="P140" s="12" t="n">
        <x:f>VALUE('Raw Results'!$BU$36)</x:f>
        <x:v>62</x:v>
      </x:c>
      <x:c r="Q140" s="12" t="n">
        <x:f>IF('Raw Results'!$BW$36="True",1,0)</x:f>
        <x:v>1</x:v>
      </x:c>
      <x:c r="R140" s="12" t="n">
        <x:f>VALUE('Raw Results'!$BY$36)</x:f>
        <x:v>0</x:v>
      </x:c>
      <x:c r="S140" s="12" t="n">
        <x:f>VALUE('Raw Results'!$BZ$36)</x:f>
        <x:v>0</x:v>
      </x:c>
      <x:c r="T140" s="16" t="n">
        <x:f>VALUE('Raw Results'!$BL$36)</x:f>
        <x:v>0.4873519000830129</x:v>
      </x:c>
      <x:c r="U140" s="16" t="n">
        <x:f>VALUE('Raw Results'!$BV$36)</x:f>
        <x:v>0.4929904001764953</x:v>
      </x:c>
      <x:c r="V140" s="18" t="n">
        <x:f>IF(T140=0,0,N140/T140)</x:f>
        <x:v>0.011569668842005137</x:v>
      </x:c>
      <x:c r="W140" s="10" t="n">
        <x:f>IF(AND(G140=1,Q140=1),1,0)</x:f>
        <x:v>1</x:v>
      </x:c>
      <x:c r="X140" s="20" t="n">
        <x:f>IF(W140=1,P140-F140,"")</x:f>
        <x:v>-2</x:v>
      </x:c>
      <x:c r="Y140" s="10" t="str">
        <x:f>IF(W140=0,"excluded",IF(X140&lt;0,"repaired",IF(X140&gt;0,"entropy","tie")))</x:f>
        <x:v>repaired</x:v>
      </x:c>
      <x:c r="Z140" s="10" t="n">
        <x:f>IF(VALUE(L140)&gt;0,1,0)</x:f>
        <x:v>0</x:v>
      </x:c>
      <x:c r="AA140" s="10" t="n">
        <x:f>IF(AND('Raw Results'!$BN$36="True",'Raw Results'!$BO$36="True"),1,0)</x:f>
        <x:v>1</x:v>
      </x:c>
      <x:c r="AB140" s="10" t="n">
        <x:f>IF(AND(J140=0,Q140=1),1,0)</x:f>
        <x:v>0</x:v>
      </x:c>
      <x:c r="AC140" s="20" t="n">
        <x:f>P140-I140</x:f>
        <x:v>0</x:v>
      </x:c>
      <x:c r="AD140" s="10" t="n">
        <x:f>IF(AND(G140=1,J140=0),1,0)</x:f>
        <x:v>0</x:v>
      </x:c>
      <x:c r="AE140" s="10" t="n">
        <x:f>IF(AND(G140=0,Q140=1),1,0)</x:f>
        <x:v>0</x:v>
      </x:c>
    </x:row>
    <x:row r="141">
      <x:c r="A141" s="10" t="str">
        <x:f>"ICH"</x:f>
        <x:v>ICH</x:v>
      </x:c>
      <x:c r="B141" s="12" t="n">
        <x:f>VALUE('Raw Results'!$A$36)</x:f>
        <x:v>200</x:v>
      </x:c>
      <x:c r="C141" s="14" t="n">
        <x:f>VALUE('Raw Results'!$B$36)</x:f>
        <x:v>0.7</x:v>
      </x:c>
      <x:c r="D141" s="12" t="n">
        <x:f>VALUE('Raw Results'!$C$36)</x:f>
        <x:v>2</x:v>
      </x:c>
      <x:c r="E141" s="12" t="n">
        <x:f>VALUE('Raw Results'!$D$36)</x:f>
        <x:v>2777253374</x:v>
      </x:c>
      <x:c r="F141" s="12" t="n">
        <x:f>VALUE('Raw Results'!$CA$36)</x:f>
        <x:v>61</x:v>
      </x:c>
      <x:c r="G141" s="12" t="n">
        <x:f>IF('Raw Results'!$CC$36="True",1,0)</x:f>
        <x:v>1</x:v>
      </x:c>
      <x:c r="H141" s="12" t="n">
        <x:f>VALUE('Raw Results'!$CF$36)</x:f>
        <x:v>62</x:v>
      </x:c>
      <x:c r="I141" s="12" t="n">
        <x:f>VALUE('Raw Results'!$CG$36)</x:f>
        <x:v>62</x:v>
      </x:c>
      <x:c r="J141" s="12" t="n">
        <x:f>IF('Raw Results'!$CI$36="True",1,0)</x:f>
        <x:v>1</x:v>
      </x:c>
      <x:c r="K141" s="12" t="n">
        <x:f>VALUE('Raw Results'!$CL$36)</x:f>
        <x:v>0</x:v>
      </x:c>
      <x:c r="L141" s="12" t="n">
        <x:f>VALUE('Raw Results'!$CM$36)</x:f>
        <x:v>0</x:v>
      </x:c>
      <x:c r="M141" s="10" t="str">
        <x:f>'Raw Results'!$CN$36</x:f>
      </x:c>
      <x:c r="N141" s="16" t="n">
        <x:f>VALUE('Raw Results'!$CO$36)</x:f>
        <x:v>0.0053088999120518565</x:v>
      </x:c>
      <x:c r="O141" s="12" t="n">
        <x:f>VALUE('Raw Results'!$CP$36)</x:f>
        <x:v>62</x:v>
      </x:c>
      <x:c r="P141" s="12" t="n">
        <x:f>VALUE('Raw Results'!$CQ$36)</x:f>
        <x:v>62</x:v>
      </x:c>
      <x:c r="Q141" s="12" t="n">
        <x:f>IF('Raw Results'!$CS$36="True",1,0)</x:f>
        <x:v>1</x:v>
      </x:c>
      <x:c r="R141" s="12" t="n">
        <x:f>VALUE('Raw Results'!$CU$36)</x:f>
        <x:v>0</x:v>
      </x:c>
      <x:c r="S141" s="12" t="n">
        <x:f>VALUE('Raw Results'!$CV$36)</x:f>
        <x:v>0</x:v>
      </x:c>
      <x:c r="T141" s="16" t="n">
        <x:f>VALUE('Raw Results'!$CH$36)</x:f>
        <x:v>1.5248523000627756</x:v>
      </x:c>
      <x:c r="U141" s="16" t="n">
        <x:f>VALUE('Raw Results'!$CR$36)</x:f>
        <x:v>1.5301611999748275</x:v>
      </x:c>
      <x:c r="V141" s="18" t="n">
        <x:f>IF(T141=0,0,N141/T141)</x:f>
        <x:v>0.003481583043704166</x:v>
      </x:c>
      <x:c r="W141" s="10" t="n">
        <x:f>IF(AND(G141=1,Q141=1),1,0)</x:f>
        <x:v>1</x:v>
      </x:c>
      <x:c r="X141" s="20" t="n">
        <x:f>IF(W141=1,P141-F141,"")</x:f>
        <x:v>1</x:v>
      </x:c>
      <x:c r="Y141" s="10" t="str">
        <x:f>IF(W141=0,"excluded",IF(X141&lt;0,"repaired",IF(X141&gt;0,"entropy","tie")))</x:f>
        <x:v>entropy</x:v>
      </x:c>
      <x:c r="Z141" s="10" t="n">
        <x:f>IF(VALUE(L141)&gt;0,1,0)</x:f>
        <x:v>0</x:v>
      </x:c>
      <x:c r="AA141" s="10" t="n">
        <x:f>IF(AND('Raw Results'!$CJ$36="True",'Raw Results'!$CK$36="True"),1,0)</x:f>
        <x:v>1</x:v>
      </x:c>
      <x:c r="AB141" s="10" t="n">
        <x:f>IF(AND(J141=0,Q141=1),1,0)</x:f>
        <x:v>0</x:v>
      </x:c>
      <x:c r="AC141" s="20" t="n">
        <x:f>P141-I141</x:f>
        <x:v>0</x:v>
      </x:c>
      <x:c r="AD141" s="10" t="n">
        <x:f>IF(AND(G141=1,J141=0),1,0)</x:f>
        <x:v>0</x:v>
      </x:c>
      <x:c r="AE141" s="10" t="n">
        <x:f>IF(AND(G141=0,Q141=1),1,0)</x:f>
        <x:v>0</x:v>
      </x:c>
    </x:row>
    <x:row r="142">
      <x:c r="A142" s="10" t="str">
        <x:f>"Grid"</x:f>
        <x:v>Grid</x:v>
      </x:c>
      <x:c r="B142" s="12" t="n">
        <x:f>VALUE('Raw Results'!$A$37)</x:f>
        <x:v>200</x:v>
      </x:c>
      <x:c r="C142" s="14" t="n">
        <x:f>VALUE('Raw Results'!$B$37)</x:f>
        <x:v>0.7</x:v>
      </x:c>
      <x:c r="D142" s="12" t="n">
        <x:f>VALUE('Raw Results'!$C$37)</x:f>
        <x:v>3</x:v>
      </x:c>
      <x:c r="E142" s="12" t="n">
        <x:f>VALUE('Raw Results'!$D$37)</x:f>
        <x:v>1341199423</x:v>
      </x:c>
      <x:c r="F142" s="12" t="n">
        <x:f>VALUE('Raw Results'!$M$37)</x:f>
        <x:v>54</x:v>
      </x:c>
      <x:c r="G142" s="12" t="n">
        <x:f>IF('Raw Results'!$O$37="True",1,0)</x:f>
        <x:v>1</x:v>
      </x:c>
      <x:c r="H142" s="12" t="n">
        <x:f>VALUE('Raw Results'!$R$37)</x:f>
        <x:v>47</x:v>
      </x:c>
      <x:c r="I142" s="12" t="n">
        <x:f>VALUE('Raw Results'!$S$37)</x:f>
        <x:v>47</x:v>
      </x:c>
      <x:c r="J142" s="12" t="n">
        <x:f>IF('Raw Results'!$U$37="True",1,0)</x:f>
        <x:v>1</x:v>
      </x:c>
      <x:c r="K142" s="12" t="n">
        <x:f>VALUE('Raw Results'!$X$37)</x:f>
        <x:v>0</x:v>
      </x:c>
      <x:c r="L142" s="12" t="n">
        <x:f>VALUE('Raw Results'!$Y$37)</x:f>
        <x:v>0</x:v>
      </x:c>
      <x:c r="M142" s="10" t="str">
        <x:f>'Raw Results'!$Z$37</x:f>
      </x:c>
      <x:c r="N142" s="16" t="n">
        <x:f>VALUE('Raw Results'!$AA$37)</x:f>
        <x:v>0.004568499978631735</x:v>
      </x:c>
      <x:c r="O142" s="12" t="n">
        <x:f>VALUE('Raw Results'!$AB$37)</x:f>
        <x:v>47</x:v>
      </x:c>
      <x:c r="P142" s="12" t="n">
        <x:f>VALUE('Raw Results'!$AC$37)</x:f>
        <x:v>47</x:v>
      </x:c>
      <x:c r="Q142" s="12" t="n">
        <x:f>IF('Raw Results'!$AE$37="True",1,0)</x:f>
        <x:v>1</x:v>
      </x:c>
      <x:c r="R142" s="12" t="n">
        <x:f>VALUE('Raw Results'!$AG$37)</x:f>
        <x:v>0</x:v>
      </x:c>
      <x:c r="S142" s="12" t="n">
        <x:f>VALUE('Raw Results'!$AH$37)</x:f>
        <x:v>0</x:v>
      </x:c>
      <x:c r="T142" s="16" t="n">
        <x:f>VALUE('Raw Results'!$T$37)</x:f>
        <x:v>0.6083920000819489</x:v>
      </x:c>
      <x:c r="U142" s="16" t="n">
        <x:f>VALUE('Raw Results'!$AD$37)</x:f>
        <x:v>0.6129605000605807</x:v>
      </x:c>
      <x:c r="V142" s="18" t="n">
        <x:f>IF(T142=0,0,N142/T142)</x:f>
        <x:v>0.007509138808558247</x:v>
      </x:c>
      <x:c r="W142" s="10" t="n">
        <x:f>IF(AND(G142=1,Q142=1),1,0)</x:f>
        <x:v>1</x:v>
      </x:c>
      <x:c r="X142" s="20" t="n">
        <x:f>IF(W142=1,P142-F142,"")</x:f>
        <x:v>-7</x:v>
      </x:c>
      <x:c r="Y142" s="10" t="str">
        <x:f>IF(W142=0,"excluded",IF(X142&lt;0,"repaired",IF(X142&gt;0,"entropy","tie")))</x:f>
        <x:v>repaired</x:v>
      </x:c>
      <x:c r="Z142" s="10" t="n">
        <x:f>IF(VALUE(L142)&gt;0,1,0)</x:f>
        <x:v>0</x:v>
      </x:c>
      <x:c r="AA142" s="10" t="n">
        <x:f>IF(AND('Raw Results'!$V$37="True",'Raw Results'!$W$37="True"),1,0)</x:f>
        <x:v>1</x:v>
      </x:c>
      <x:c r="AB142" s="10" t="n">
        <x:f>IF(AND(J142=0,Q142=1),1,0)</x:f>
        <x:v>0</x:v>
      </x:c>
      <x:c r="AC142" s="20" t="n">
        <x:f>P142-I142</x:f>
        <x:v>0</x:v>
      </x:c>
      <x:c r="AD142" s="10" t="n">
        <x:f>IF(AND(G142=1,J142=0),1,0)</x:f>
        <x:v>0</x:v>
      </x:c>
      <x:c r="AE142" s="10" t="n">
        <x:f>IF(AND(G142=0,Q142=1),1,0)</x:f>
        <x:v>0</x:v>
      </x:c>
    </x:row>
    <x:row r="143">
      <x:c r="A143" s="10" t="str">
        <x:f>"Circle"</x:f>
        <x:v>Circle</x:v>
      </x:c>
      <x:c r="B143" s="12" t="n">
        <x:f>VALUE('Raw Results'!$A$37)</x:f>
        <x:v>200</x:v>
      </x:c>
      <x:c r="C143" s="14" t="n">
        <x:f>VALUE('Raw Results'!$B$37)</x:f>
        <x:v>0.7</x:v>
      </x:c>
      <x:c r="D143" s="12" t="n">
        <x:f>VALUE('Raw Results'!$C$37)</x:f>
        <x:v>3</x:v>
      </x:c>
      <x:c r="E143" s="12" t="n">
        <x:f>VALUE('Raw Results'!$D$37)</x:f>
        <x:v>1341199423</x:v>
      </x:c>
      <x:c r="F143" s="12" t="n">
        <x:f>VALUE('Raw Results'!$AI$37)</x:f>
        <x:v>61</x:v>
      </x:c>
      <x:c r="G143" s="12" t="n">
        <x:f>IF('Raw Results'!$AK$37="True",1,0)</x:f>
        <x:v>1</x:v>
      </x:c>
      <x:c r="H143" s="12" t="n">
        <x:f>VALUE('Raw Results'!$AN$37)</x:f>
        <x:v>159</x:v>
      </x:c>
      <x:c r="I143" s="12" t="n">
        <x:f>VALUE('Raw Results'!$AO$37)</x:f>
        <x:v>59</x:v>
      </x:c>
      <x:c r="J143" s="12" t="n">
        <x:f>IF('Raw Results'!$AQ$37="True",1,0)</x:f>
        <x:v>1</x:v>
      </x:c>
      <x:c r="K143" s="12" t="n">
        <x:f>VALUE('Raw Results'!$AT$37)</x:f>
        <x:v>0</x:v>
      </x:c>
      <x:c r="L143" s="12" t="n">
        <x:f>VALUE('Raw Results'!$AU$37)</x:f>
        <x:v>0</x:v>
      </x:c>
      <x:c r="M143" s="10" t="str">
        <x:f>'Raw Results'!$AV$37</x:f>
      </x:c>
      <x:c r="N143" s="16" t="n">
        <x:f>VALUE('Raw Results'!$AW$37)</x:f>
        <x:v>0.0059828000376001</x:v>
      </x:c>
      <x:c r="O143" s="12" t="n">
        <x:f>VALUE('Raw Results'!$AX$37)</x:f>
        <x:v>59</x:v>
      </x:c>
      <x:c r="P143" s="12" t="n">
        <x:f>VALUE('Raw Results'!$AY$37)</x:f>
        <x:v>59</x:v>
      </x:c>
      <x:c r="Q143" s="12" t="n">
        <x:f>IF('Raw Results'!$BA$37="True",1,0)</x:f>
        <x:v>1</x:v>
      </x:c>
      <x:c r="R143" s="12" t="n">
        <x:f>VALUE('Raw Results'!$BC$37)</x:f>
        <x:v>0</x:v>
      </x:c>
      <x:c r="S143" s="12" t="n">
        <x:f>VALUE('Raw Results'!$BD$37)</x:f>
        <x:v>0</x:v>
      </x:c>
      <x:c r="T143" s="16" t="n">
        <x:f>VALUE('Raw Results'!$AP$37)</x:f>
        <x:v>0.25578390003647655</x:v>
      </x:c>
      <x:c r="U143" s="16" t="n">
        <x:f>VALUE('Raw Results'!$AZ$37)</x:f>
        <x:v>0.26176670007407665</x:v>
      </x:c>
      <x:c r="V143" s="18" t="n">
        <x:f>IF(T143=0,0,N143/T143)</x:f>
        <x:v>0.023390057140996408</x:v>
      </x:c>
      <x:c r="W143" s="10" t="n">
        <x:f>IF(AND(G143=1,Q143=1),1,0)</x:f>
        <x:v>1</x:v>
      </x:c>
      <x:c r="X143" s="20" t="n">
        <x:f>IF(W143=1,P143-F143,"")</x:f>
        <x:v>-2</x:v>
      </x:c>
      <x:c r="Y143" s="10" t="str">
        <x:f>IF(W143=0,"excluded",IF(X143&lt;0,"repaired",IF(X143&gt;0,"entropy","tie")))</x:f>
        <x:v>repaired</x:v>
      </x:c>
      <x:c r="Z143" s="10" t="n">
        <x:f>IF(VALUE(L143)&gt;0,1,0)</x:f>
        <x:v>0</x:v>
      </x:c>
      <x:c r="AA143" s="10" t="n">
        <x:f>IF(AND('Raw Results'!$AR$37="True",'Raw Results'!$AS$37="True"),1,0)</x:f>
        <x:v>1</x:v>
      </x:c>
      <x:c r="AB143" s="10" t="n">
        <x:f>IF(AND(J143=0,Q143=1),1,0)</x:f>
        <x:v>0</x:v>
      </x:c>
      <x:c r="AC143" s="20" t="n">
        <x:f>P143-I143</x:f>
        <x:v>0</x:v>
      </x:c>
      <x:c r="AD143" s="10" t="n">
        <x:f>IF(AND(G143=1,J143=0),1,0)</x:f>
        <x:v>0</x:v>
      </x:c>
      <x:c r="AE143" s="10" t="n">
        <x:f>IF(AND(G143=0,Q143=1),1,0)</x:f>
        <x:v>0</x:v>
      </x:c>
    </x:row>
    <x:row r="144">
      <x:c r="A144" s="10" t="str">
        <x:f>"Zoomed Square"</x:f>
        <x:v>Zoomed Square</x:v>
      </x:c>
      <x:c r="B144" s="12" t="n">
        <x:f>VALUE('Raw Results'!$A$37)</x:f>
        <x:v>200</x:v>
      </x:c>
      <x:c r="C144" s="14" t="n">
        <x:f>VALUE('Raw Results'!$B$37)</x:f>
        <x:v>0.7</x:v>
      </x:c>
      <x:c r="D144" s="12" t="n">
        <x:f>VALUE('Raw Results'!$C$37)</x:f>
        <x:v>3</x:v>
      </x:c>
      <x:c r="E144" s="12" t="n">
        <x:f>VALUE('Raw Results'!$D$37)</x:f>
        <x:v>1341199423</x:v>
      </x:c>
      <x:c r="F144" s="12" t="n">
        <x:f>VALUE('Raw Results'!$BE$37)</x:f>
        <x:v>57</x:v>
      </x:c>
      <x:c r="G144" s="12" t="n">
        <x:f>IF('Raw Results'!$BG$37="True",1,0)</x:f>
        <x:v>1</x:v>
      </x:c>
      <x:c r="H144" s="12" t="n">
        <x:f>VALUE('Raw Results'!$BJ$37)</x:f>
        <x:v>88</x:v>
      </x:c>
      <x:c r="I144" s="12" t="n">
        <x:f>VALUE('Raw Results'!$BK$37)</x:f>
        <x:v>55</x:v>
      </x:c>
      <x:c r="J144" s="12" t="n">
        <x:f>IF('Raw Results'!$BM$37="True",1,0)</x:f>
        <x:v>1</x:v>
      </x:c>
      <x:c r="K144" s="12" t="n">
        <x:f>VALUE('Raw Results'!$BP$37)</x:f>
        <x:v>0</x:v>
      </x:c>
      <x:c r="L144" s="12" t="n">
        <x:f>VALUE('Raw Results'!$BQ$37)</x:f>
        <x:v>0</x:v>
      </x:c>
      <x:c r="M144" s="10" t="str">
        <x:f>'Raw Results'!$BR$37</x:f>
      </x:c>
      <x:c r="N144" s="16" t="n">
        <x:f>VALUE('Raw Results'!$BS$37)</x:f>
        <x:v>0.004938600002788007</x:v>
      </x:c>
      <x:c r="O144" s="12" t="n">
        <x:f>VALUE('Raw Results'!$BT$37)</x:f>
        <x:v>55</x:v>
      </x:c>
      <x:c r="P144" s="12" t="n">
        <x:f>VALUE('Raw Results'!$BU$37)</x:f>
        <x:v>55</x:v>
      </x:c>
      <x:c r="Q144" s="12" t="n">
        <x:f>IF('Raw Results'!$BW$37="True",1,0)</x:f>
        <x:v>1</x:v>
      </x:c>
      <x:c r="R144" s="12" t="n">
        <x:f>VALUE('Raw Results'!$BY$37)</x:f>
        <x:v>0</x:v>
      </x:c>
      <x:c r="S144" s="12" t="n">
        <x:f>VALUE('Raw Results'!$BZ$37)</x:f>
        <x:v>0</x:v>
      </x:c>
      <x:c r="T144" s="16" t="n">
        <x:f>VALUE('Raw Results'!$BL$37)</x:f>
        <x:v>0.4618202999699861</x:v>
      </x:c>
      <x:c r="U144" s="16" t="n">
        <x:f>VALUE('Raw Results'!$BV$37)</x:f>
        <x:v>0.4667588999727741</x:v>
      </x:c>
      <x:c r="V144" s="18" t="n">
        <x:f>IF(T144=0,0,N144/T144)</x:f>
        <x:v>0.010693769856173428</x:v>
      </x:c>
      <x:c r="W144" s="10" t="n">
        <x:f>IF(AND(G144=1,Q144=1),1,0)</x:f>
        <x:v>1</x:v>
      </x:c>
      <x:c r="X144" s="20" t="n">
        <x:f>IF(W144=1,P144-F144,"")</x:f>
        <x:v>-2</x:v>
      </x:c>
      <x:c r="Y144" s="10" t="str">
        <x:f>IF(W144=0,"excluded",IF(X144&lt;0,"repaired",IF(X144&gt;0,"entropy","tie")))</x:f>
        <x:v>repaired</x:v>
      </x:c>
      <x:c r="Z144" s="10" t="n">
        <x:f>IF(VALUE(L144)&gt;0,1,0)</x:f>
        <x:v>0</x:v>
      </x:c>
      <x:c r="AA144" s="10" t="n">
        <x:f>IF(AND('Raw Results'!$BN$37="True",'Raw Results'!$BO$37="True"),1,0)</x:f>
        <x:v>1</x:v>
      </x:c>
      <x:c r="AB144" s="10" t="n">
        <x:f>IF(AND(J144=0,Q144=1),1,0)</x:f>
        <x:v>0</x:v>
      </x:c>
      <x:c r="AC144" s="20" t="n">
        <x:f>P144-I144</x:f>
        <x:v>0</x:v>
      </x:c>
      <x:c r="AD144" s="10" t="n">
        <x:f>IF(AND(G144=1,J144=0),1,0)</x:f>
        <x:v>0</x:v>
      </x:c>
      <x:c r="AE144" s="10" t="n">
        <x:f>IF(AND(G144=0,Q144=1),1,0)</x:f>
        <x:v>0</x:v>
      </x:c>
    </x:row>
    <x:row r="145">
      <x:c r="A145" s="10" t="str">
        <x:f>"ICH"</x:f>
        <x:v>ICH</x:v>
      </x:c>
      <x:c r="B145" s="12" t="n">
        <x:f>VALUE('Raw Results'!$A$37)</x:f>
        <x:v>200</x:v>
      </x:c>
      <x:c r="C145" s="14" t="n">
        <x:f>VALUE('Raw Results'!$B$37)</x:f>
        <x:v>0.7</x:v>
      </x:c>
      <x:c r="D145" s="12" t="n">
        <x:f>VALUE('Raw Results'!$C$37)</x:f>
        <x:v>3</x:v>
      </x:c>
      <x:c r="E145" s="12" t="n">
        <x:f>VALUE('Raw Results'!$D$37)</x:f>
        <x:v>1341199423</x:v>
      </x:c>
      <x:c r="F145" s="12" t="n">
        <x:f>VALUE('Raw Results'!$CA$37)</x:f>
        <x:v>47</x:v>
      </x:c>
      <x:c r="G145" s="12" t="n">
        <x:f>IF('Raw Results'!$CC$37="True",1,0)</x:f>
        <x:v>1</x:v>
      </x:c>
      <x:c r="H145" s="12" t="n">
        <x:f>VALUE('Raw Results'!$CF$37)</x:f>
        <x:v>50</x:v>
      </x:c>
      <x:c r="I145" s="12" t="n">
        <x:f>VALUE('Raw Results'!$CG$37)</x:f>
        <x:v>50</x:v>
      </x:c>
      <x:c r="J145" s="12" t="n">
        <x:f>IF('Raw Results'!$CI$37="True",1,0)</x:f>
        <x:v>1</x:v>
      </x:c>
      <x:c r="K145" s="12" t="n">
        <x:f>VALUE('Raw Results'!$CL$37)</x:f>
        <x:v>0</x:v>
      </x:c>
      <x:c r="L145" s="12" t="n">
        <x:f>VALUE('Raw Results'!$CM$37)</x:f>
        <x:v>0</x:v>
      </x:c>
      <x:c r="M145" s="10" t="str">
        <x:f>'Raw Results'!$CN$37</x:f>
      </x:c>
      <x:c r="N145" s="16" t="n">
        <x:f>VALUE('Raw Results'!$CO$37)</x:f>
        <x:v>0.007892599911428988</x:v>
      </x:c>
      <x:c r="O145" s="12" t="n">
        <x:f>VALUE('Raw Results'!$CP$37)</x:f>
        <x:v>50</x:v>
      </x:c>
      <x:c r="P145" s="12" t="n">
        <x:f>VALUE('Raw Results'!$CQ$37)</x:f>
        <x:v>50</x:v>
      </x:c>
      <x:c r="Q145" s="12" t="n">
        <x:f>IF('Raw Results'!$CS$37="True",1,0)</x:f>
        <x:v>1</x:v>
      </x:c>
      <x:c r="R145" s="12" t="n">
        <x:f>VALUE('Raw Results'!$CU$37)</x:f>
        <x:v>0</x:v>
      </x:c>
      <x:c r="S145" s="12" t="n">
        <x:f>VALUE('Raw Results'!$CV$37)</x:f>
        <x:v>0</x:v>
      </x:c>
      <x:c r="T145" s="16" t="n">
        <x:f>VALUE('Raw Results'!$CH$37)</x:f>
        <x:v>1.4056405000155792</x:v>
      </x:c>
      <x:c r="U145" s="16" t="n">
        <x:f>VALUE('Raw Results'!$CR$37)</x:f>
        <x:v>1.4135330999270082</x:v>
      </x:c>
      <x:c r="V145" s="18" t="n">
        <x:f>IF(T145=0,0,N145/T145)</x:f>
        <x:v>0.005614949136241814</x:v>
      </x:c>
      <x:c r="W145" s="10" t="n">
        <x:f>IF(AND(G145=1,Q145=1),1,0)</x:f>
        <x:v>1</x:v>
      </x:c>
      <x:c r="X145" s="20" t="n">
        <x:f>IF(W145=1,P145-F145,"")</x:f>
        <x:v>3</x:v>
      </x:c>
      <x:c r="Y145" s="10" t="str">
        <x:f>IF(W145=0,"excluded",IF(X145&lt;0,"repaired",IF(X145&gt;0,"entropy","tie")))</x:f>
        <x:v>entropy</x:v>
      </x:c>
      <x:c r="Z145" s="10" t="n">
        <x:f>IF(VALUE(L145)&gt;0,1,0)</x:f>
        <x:v>0</x:v>
      </x:c>
      <x:c r="AA145" s="10" t="n">
        <x:f>IF(AND('Raw Results'!$CJ$37="True",'Raw Results'!$CK$37="True"),1,0)</x:f>
        <x:v>1</x:v>
      </x:c>
      <x:c r="AB145" s="10" t="n">
        <x:f>IF(AND(J145=0,Q145=1),1,0)</x:f>
        <x:v>0</x:v>
      </x:c>
      <x:c r="AC145" s="20" t="n">
        <x:f>P145-I145</x:f>
        <x:v>0</x:v>
      </x:c>
      <x:c r="AD145" s="10" t="n">
        <x:f>IF(AND(G145=1,J145=0),1,0)</x:f>
        <x:v>0</x:v>
      </x:c>
      <x:c r="AE145" s="10" t="n">
        <x:f>IF(AND(G145=0,Q145=1),1,0)</x:f>
        <x:v>0</x:v>
      </x:c>
    </x:row>
    <x:row r="146">
      <x:c r="A146" s="10" t="str">
        <x:f>"Grid"</x:f>
        <x:v>Grid</x:v>
      </x:c>
      <x:c r="B146" s="12" t="n">
        <x:f>VALUE('Raw Results'!$A$38)</x:f>
        <x:v>500</x:v>
      </x:c>
      <x:c r="C146" s="14" t="n">
        <x:f>VALUE('Raw Results'!$B$38)</x:f>
        <x:v>0.1</x:v>
      </x:c>
      <x:c r="D146" s="12" t="n">
        <x:f>VALUE('Raw Results'!$C$38)</x:f>
        <x:v>1</x:v>
      </x:c>
      <x:c r="E146" s="12" t="n">
        <x:f>VALUE('Raw Results'!$D$38)</x:f>
        <x:v>3561489305</x:v>
      </x:c>
      <x:c r="F146" s="12" t="n">
        <x:f>VALUE('Raw Results'!$M$38)</x:f>
        <x:v>56</x:v>
      </x:c>
      <x:c r="G146" s="12" t="n">
        <x:f>IF('Raw Results'!$O$38="True",1,0)</x:f>
        <x:v>1</x:v>
      </x:c>
      <x:c r="H146" s="12" t="n">
        <x:f>VALUE('Raw Results'!$R$38)</x:f>
        <x:v>180</x:v>
      </x:c>
      <x:c r="I146" s="12" t="n">
        <x:f>VALUE('Raw Results'!$S$38)</x:f>
        <x:v>58</x:v>
      </x:c>
      <x:c r="J146" s="12" t="n">
        <x:f>IF('Raw Results'!$U$38="True",1,0)</x:f>
        <x:v>1</x:v>
      </x:c>
      <x:c r="K146" s="12" t="n">
        <x:f>VALUE('Raw Results'!$X$38)</x:f>
        <x:v>0</x:v>
      </x:c>
      <x:c r="L146" s="12" t="n">
        <x:f>VALUE('Raw Results'!$Y$38)</x:f>
        <x:v>0</x:v>
      </x:c>
      <x:c r="M146" s="10" t="str">
        <x:f>'Raw Results'!$Z$38</x:f>
      </x:c>
      <x:c r="N146" s="16" t="n">
        <x:f>VALUE('Raw Results'!$AA$38)</x:f>
        <x:v>0.02138399996329099</x:v>
      </x:c>
      <x:c r="O146" s="12" t="n">
        <x:f>VALUE('Raw Results'!$AB$38)</x:f>
        <x:v>58</x:v>
      </x:c>
      <x:c r="P146" s="12" t="n">
        <x:f>VALUE('Raw Results'!$AC$38)</x:f>
        <x:v>58</x:v>
      </x:c>
      <x:c r="Q146" s="12" t="n">
        <x:f>IF('Raw Results'!$AE$38="True",1,0)</x:f>
        <x:v>1</x:v>
      </x:c>
      <x:c r="R146" s="12" t="n">
        <x:f>VALUE('Raw Results'!$AG$38)</x:f>
        <x:v>0</x:v>
      </x:c>
      <x:c r="S146" s="12" t="n">
        <x:f>VALUE('Raw Results'!$AH$38)</x:f>
        <x:v>0</x:v>
      </x:c>
      <x:c r="T146" s="16" t="n">
        <x:f>VALUE('Raw Results'!$T$38)</x:f>
        <x:v>0.5504365999950096</x:v>
      </x:c>
      <x:c r="U146" s="16" t="n">
        <x:f>VALUE('Raw Results'!$AD$38)</x:f>
        <x:v>0.5718205999583006</x:v>
      </x:c>
      <x:c r="V146" s="18" t="n">
        <x:f>IF(T146=0,0,N146/T146)</x:f>
        <x:v>0.03884916076344644</x:v>
      </x:c>
      <x:c r="W146" s="10" t="n">
        <x:f>IF(AND(G146=1,Q146=1),1,0)</x:f>
        <x:v>1</x:v>
      </x:c>
      <x:c r="X146" s="20" t="n">
        <x:f>IF(W146=1,P146-F146,"")</x:f>
        <x:v>2</x:v>
      </x:c>
      <x:c r="Y146" s="10" t="str">
        <x:f>IF(W146=0,"excluded",IF(X146&lt;0,"repaired",IF(X146&gt;0,"entropy","tie")))</x:f>
        <x:v>entropy</x:v>
      </x:c>
      <x:c r="Z146" s="10" t="n">
        <x:f>IF(VALUE(L146)&gt;0,1,0)</x:f>
        <x:v>0</x:v>
      </x:c>
      <x:c r="AA146" s="10" t="n">
        <x:f>IF(AND('Raw Results'!$V$38="True",'Raw Results'!$W$38="True"),1,0)</x:f>
        <x:v>1</x:v>
      </x:c>
      <x:c r="AB146" s="10" t="n">
        <x:f>IF(AND(J146=0,Q146=1),1,0)</x:f>
        <x:v>0</x:v>
      </x:c>
      <x:c r="AC146" s="20" t="n">
        <x:f>P146-I146</x:f>
        <x:v>0</x:v>
      </x:c>
      <x:c r="AD146" s="10" t="n">
        <x:f>IF(AND(G146=1,J146=0),1,0)</x:f>
        <x:v>0</x:v>
      </x:c>
      <x:c r="AE146" s="10" t="n">
        <x:f>IF(AND(G146=0,Q146=1),1,0)</x:f>
        <x:v>0</x:v>
      </x:c>
    </x:row>
    <x:row r="147">
      <x:c r="A147" s="10" t="str">
        <x:f>"Circle"</x:f>
        <x:v>Circle</x:v>
      </x:c>
      <x:c r="B147" s="12" t="n">
        <x:f>VALUE('Raw Results'!$A$38)</x:f>
        <x:v>500</x:v>
      </x:c>
      <x:c r="C147" s="14" t="n">
        <x:f>VALUE('Raw Results'!$B$38)</x:f>
        <x:v>0.1</x:v>
      </x:c>
      <x:c r="D147" s="12" t="n">
        <x:f>VALUE('Raw Results'!$C$38)</x:f>
        <x:v>1</x:v>
      </x:c>
      <x:c r="E147" s="12" t="n">
        <x:f>VALUE('Raw Results'!$D$38)</x:f>
        <x:v>3561489305</x:v>
      </x:c>
      <x:c r="F147" s="12" t="n">
        <x:f>VALUE('Raw Results'!$AI$38)</x:f>
        <x:v>58</x:v>
      </x:c>
      <x:c r="G147" s="12" t="n">
        <x:f>IF('Raw Results'!$AK$38="True",1,0)</x:f>
        <x:v>1</x:v>
      </x:c>
      <x:c r="H147" s="12" t="n">
        <x:f>VALUE('Raw Results'!$AN$38)</x:f>
        <x:v>293</x:v>
      </x:c>
      <x:c r="I147" s="12" t="n">
        <x:f>VALUE('Raw Results'!$AO$38)</x:f>
        <x:v>55</x:v>
      </x:c>
      <x:c r="J147" s="12" t="n">
        <x:f>IF('Raw Results'!$AQ$38="True",1,0)</x:f>
        <x:v>1</x:v>
      </x:c>
      <x:c r="K147" s="12" t="n">
        <x:f>VALUE('Raw Results'!$AT$38)</x:f>
        <x:v>0</x:v>
      </x:c>
      <x:c r="L147" s="12" t="n">
        <x:f>VALUE('Raw Results'!$AU$38)</x:f>
        <x:v>0</x:v>
      </x:c>
      <x:c r="M147" s="10" t="str">
        <x:f>'Raw Results'!$AV$38</x:f>
      </x:c>
      <x:c r="N147" s="16" t="n">
        <x:f>VALUE('Raw Results'!$AW$38)</x:f>
        <x:v>0.01824859995394945</x:v>
      </x:c>
      <x:c r="O147" s="12" t="n">
        <x:f>VALUE('Raw Results'!$AX$38)</x:f>
        <x:v>55</x:v>
      </x:c>
      <x:c r="P147" s="12" t="n">
        <x:f>VALUE('Raw Results'!$AY$38)</x:f>
        <x:v>55</x:v>
      </x:c>
      <x:c r="Q147" s="12" t="n">
        <x:f>IF('Raw Results'!$BA$38="True",1,0)</x:f>
        <x:v>1</x:v>
      </x:c>
      <x:c r="R147" s="12" t="n">
        <x:f>VALUE('Raw Results'!$BC$38)</x:f>
        <x:v>0</x:v>
      </x:c>
      <x:c r="S147" s="12" t="n">
        <x:f>VALUE('Raw Results'!$BD$38)</x:f>
        <x:v>0</x:v>
      </x:c>
      <x:c r="T147" s="16" t="n">
        <x:f>VALUE('Raw Results'!$AP$38)</x:f>
        <x:v>0.8537768999813125</x:v>
      </x:c>
      <x:c r="U147" s="16" t="n">
        <x:f>VALUE('Raw Results'!$AZ$38)</x:f>
        <x:v>0.8720254999352619</x:v>
      </x:c>
      <x:c r="V147" s="18" t="n">
        <x:f>IF(T147=0,0,N147/T147)</x:f>
        <x:v>0.021373967782858588</x:v>
      </x:c>
      <x:c r="W147" s="10" t="n">
        <x:f>IF(AND(G147=1,Q147=1),1,0)</x:f>
        <x:v>1</x:v>
      </x:c>
      <x:c r="X147" s="20" t="n">
        <x:f>IF(W147=1,P147-F147,"")</x:f>
        <x:v>-3</x:v>
      </x:c>
      <x:c r="Y147" s="10" t="str">
        <x:f>IF(W147=0,"excluded",IF(X147&lt;0,"repaired",IF(X147&gt;0,"entropy","tie")))</x:f>
        <x:v>repaired</x:v>
      </x:c>
      <x:c r="Z147" s="10" t="n">
        <x:f>IF(VALUE(L147)&gt;0,1,0)</x:f>
        <x:v>0</x:v>
      </x:c>
      <x:c r="AA147" s="10" t="n">
        <x:f>IF(AND('Raw Results'!$AR$38="True",'Raw Results'!$AS$38="True"),1,0)</x:f>
        <x:v>1</x:v>
      </x:c>
      <x:c r="AB147" s="10" t="n">
        <x:f>IF(AND(J147=0,Q147=1),1,0)</x:f>
        <x:v>0</x:v>
      </x:c>
      <x:c r="AC147" s="20" t="n">
        <x:f>P147-I147</x:f>
        <x:v>0</x:v>
      </x:c>
      <x:c r="AD147" s="10" t="n">
        <x:f>IF(AND(G147=1,J147=0),1,0)</x:f>
        <x:v>0</x:v>
      </x:c>
      <x:c r="AE147" s="10" t="n">
        <x:f>IF(AND(G147=0,Q147=1),1,0)</x:f>
        <x:v>0</x:v>
      </x:c>
    </x:row>
    <x:row r="148">
      <x:c r="A148" s="10" t="str">
        <x:f>"Zoomed Square"</x:f>
        <x:v>Zoomed Square</x:v>
      </x:c>
      <x:c r="B148" s="12" t="n">
        <x:f>VALUE('Raw Results'!$A$38)</x:f>
        <x:v>500</x:v>
      </x:c>
      <x:c r="C148" s="14" t="n">
        <x:f>VALUE('Raw Results'!$B$38)</x:f>
        <x:v>0.1</x:v>
      </x:c>
      <x:c r="D148" s="12" t="n">
        <x:f>VALUE('Raw Results'!$C$38)</x:f>
        <x:v>1</x:v>
      </x:c>
      <x:c r="E148" s="12" t="n">
        <x:f>VALUE('Raw Results'!$D$38)</x:f>
        <x:v>3561489305</x:v>
      </x:c>
      <x:c r="F148" s="12" t="n">
        <x:f>VALUE('Raw Results'!$BE$38)</x:f>
        <x:v>57</x:v>
      </x:c>
      <x:c r="G148" s="12" t="n">
        <x:f>IF('Raw Results'!$BG$38="True",1,0)</x:f>
        <x:v>1</x:v>
      </x:c>
      <x:c r="H148" s="12" t="n">
        <x:f>VALUE('Raw Results'!$BJ$38)</x:f>
        <x:v>270</x:v>
      </x:c>
      <x:c r="I148" s="12" t="n">
        <x:f>VALUE('Raw Results'!$BK$38)</x:f>
        <x:v>56</x:v>
      </x:c>
      <x:c r="J148" s="12" t="n">
        <x:f>IF('Raw Results'!$BM$38="True",1,0)</x:f>
        <x:v>1</x:v>
      </x:c>
      <x:c r="K148" s="12" t="n">
        <x:f>VALUE('Raw Results'!$BP$38)</x:f>
        <x:v>0</x:v>
      </x:c>
      <x:c r="L148" s="12" t="n">
        <x:f>VALUE('Raw Results'!$BQ$38)</x:f>
        <x:v>0</x:v>
      </x:c>
      <x:c r="M148" s="10" t="str">
        <x:f>'Raw Results'!$BR$38</x:f>
      </x:c>
      <x:c r="N148" s="16" t="n">
        <x:f>VALUE('Raw Results'!$BS$38)</x:f>
        <x:v>0.01821479992941022</x:v>
      </x:c>
      <x:c r="O148" s="12" t="n">
        <x:f>VALUE('Raw Results'!$BT$38)</x:f>
        <x:v>56</x:v>
      </x:c>
      <x:c r="P148" s="12" t="n">
        <x:f>VALUE('Raw Results'!$BU$38)</x:f>
        <x:v>56</x:v>
      </x:c>
      <x:c r="Q148" s="12" t="n">
        <x:f>IF('Raw Results'!$BW$38="True",1,0)</x:f>
        <x:v>1</x:v>
      </x:c>
      <x:c r="R148" s="12" t="n">
        <x:f>VALUE('Raw Results'!$BY$38)</x:f>
        <x:v>0</x:v>
      </x:c>
      <x:c r="S148" s="12" t="n">
        <x:f>VALUE('Raw Results'!$BZ$38)</x:f>
        <x:v>0</x:v>
      </x:c>
      <x:c r="T148" s="16" t="n">
        <x:f>VALUE('Raw Results'!$BL$38)</x:f>
        <x:v>0.8617533000651747</x:v>
      </x:c>
      <x:c r="U148" s="16" t="n">
        <x:f>VALUE('Raw Results'!$BV$38)</x:f>
        <x:v>0.8799680999945849</x:v>
      </x:c>
      <x:c r="V148" s="18" t="n">
        <x:f>IF(T148=0,0,N148/T148)</x:f>
        <x:v>0.021136907660269624</x:v>
      </x:c>
      <x:c r="W148" s="10" t="n">
        <x:f>IF(AND(G148=1,Q148=1),1,0)</x:f>
        <x:v>1</x:v>
      </x:c>
      <x:c r="X148" s="20" t="n">
        <x:f>IF(W148=1,P148-F148,"")</x:f>
        <x:v>-1</x:v>
      </x:c>
      <x:c r="Y148" s="10" t="str">
        <x:f>IF(W148=0,"excluded",IF(X148&lt;0,"repaired",IF(X148&gt;0,"entropy","tie")))</x:f>
        <x:v>repaired</x:v>
      </x:c>
      <x:c r="Z148" s="10" t="n">
        <x:f>IF(VALUE(L148)&gt;0,1,0)</x:f>
        <x:v>0</x:v>
      </x:c>
      <x:c r="AA148" s="10" t="n">
        <x:f>IF(AND('Raw Results'!$BN$38="True",'Raw Results'!$BO$38="True"),1,0)</x:f>
        <x:v>1</x:v>
      </x:c>
      <x:c r="AB148" s="10" t="n">
        <x:f>IF(AND(J148=0,Q148=1),1,0)</x:f>
        <x:v>0</x:v>
      </x:c>
      <x:c r="AC148" s="20" t="n">
        <x:f>P148-I148</x:f>
        <x:v>0</x:v>
      </x:c>
      <x:c r="AD148" s="10" t="n">
        <x:f>IF(AND(G148=1,J148=0),1,0)</x:f>
        <x:v>0</x:v>
      </x:c>
      <x:c r="AE148" s="10" t="n">
        <x:f>IF(AND(G148=0,Q148=1),1,0)</x:f>
        <x:v>0</x:v>
      </x:c>
    </x:row>
    <x:row r="149">
      <x:c r="A149" s="10" t="str">
        <x:f>"ICH"</x:f>
        <x:v>ICH</x:v>
      </x:c>
      <x:c r="B149" s="12" t="n">
        <x:f>VALUE('Raw Results'!$A$38)</x:f>
        <x:v>500</x:v>
      </x:c>
      <x:c r="C149" s="14" t="n">
        <x:f>VALUE('Raw Results'!$B$38)</x:f>
        <x:v>0.1</x:v>
      </x:c>
      <x:c r="D149" s="12" t="n">
        <x:f>VALUE('Raw Results'!$C$38)</x:f>
        <x:v>1</x:v>
      </x:c>
      <x:c r="E149" s="12" t="n">
        <x:f>VALUE('Raw Results'!$D$38)</x:f>
        <x:v>3561489305</x:v>
      </x:c>
      <x:c r="F149" s="12" t="n">
        <x:f>VALUE('Raw Results'!$CA$38)</x:f>
        <x:v>55</x:v>
      </x:c>
      <x:c r="G149" s="12" t="n">
        <x:f>IF('Raw Results'!$CC$38="True",1,0)</x:f>
        <x:v>1</x:v>
      </x:c>
      <x:c r="H149" s="12" t="n">
        <x:f>VALUE('Raw Results'!$CF$38)</x:f>
        <x:v>56</x:v>
      </x:c>
      <x:c r="I149" s="12" t="n">
        <x:f>VALUE('Raw Results'!$CG$38)</x:f>
        <x:v>56</x:v>
      </x:c>
      <x:c r="J149" s="12" t="n">
        <x:f>IF('Raw Results'!$CI$38="True",1,0)</x:f>
        <x:v>1</x:v>
      </x:c>
      <x:c r="K149" s="12" t="n">
        <x:f>VALUE('Raw Results'!$CL$38)</x:f>
        <x:v>0</x:v>
      </x:c>
      <x:c r="L149" s="12" t="n">
        <x:f>VALUE('Raw Results'!$CM$38)</x:f>
        <x:v>0</x:v>
      </x:c>
      <x:c r="M149" s="10" t="str">
        <x:f>'Raw Results'!$CN$38</x:f>
      </x:c>
      <x:c r="N149" s="16" t="n">
        <x:f>VALUE('Raw Results'!$CO$38)</x:f>
        <x:v>0.017749099992215633</x:v>
      </x:c>
      <x:c r="O149" s="12" t="n">
        <x:f>VALUE('Raw Results'!$CP$38)</x:f>
        <x:v>56</x:v>
      </x:c>
      <x:c r="P149" s="12" t="n">
        <x:f>VALUE('Raw Results'!$CQ$38)</x:f>
        <x:v>56</x:v>
      </x:c>
      <x:c r="Q149" s="12" t="n">
        <x:f>IF('Raw Results'!$CS$38="True",1,0)</x:f>
        <x:v>1</x:v>
      </x:c>
      <x:c r="R149" s="12" t="n">
        <x:f>VALUE('Raw Results'!$CU$38)</x:f>
        <x:v>0</x:v>
      </x:c>
      <x:c r="S149" s="12" t="n">
        <x:f>VALUE('Raw Results'!$CV$38)</x:f>
        <x:v>0</x:v>
      </x:c>
      <x:c r="T149" s="16" t="n">
        <x:f>VALUE('Raw Results'!$CH$38)</x:f>
        <x:v>17.50390510004945</x:v>
      </x:c>
      <x:c r="U149" s="16" t="n">
        <x:f>VALUE('Raw Results'!$CR$38)</x:f>
        <x:v>17.521654200041667</x:v>
      </x:c>
      <x:c r="V149" s="18" t="n">
        <x:f>IF(T149=0,0,N149/T149)</x:f>
        <x:v>0.0010140080108275661</x:v>
      </x:c>
      <x:c r="W149" s="10" t="n">
        <x:f>IF(AND(G149=1,Q149=1),1,0)</x:f>
        <x:v>1</x:v>
      </x:c>
      <x:c r="X149" s="20" t="n">
        <x:f>IF(W149=1,P149-F149,"")</x:f>
        <x:v>1</x:v>
      </x:c>
      <x:c r="Y149" s="10" t="str">
        <x:f>IF(W149=0,"excluded",IF(X149&lt;0,"repaired",IF(X149&gt;0,"entropy","tie")))</x:f>
        <x:v>entropy</x:v>
      </x:c>
      <x:c r="Z149" s="10" t="n">
        <x:f>IF(VALUE(L149)&gt;0,1,0)</x:f>
        <x:v>0</x:v>
      </x:c>
      <x:c r="AA149" s="10" t="n">
        <x:f>IF(AND('Raw Results'!$CJ$38="True",'Raw Results'!$CK$38="True"),1,0)</x:f>
        <x:v>1</x:v>
      </x:c>
      <x:c r="AB149" s="10" t="n">
        <x:f>IF(AND(J149=0,Q149=1),1,0)</x:f>
        <x:v>0</x:v>
      </x:c>
      <x:c r="AC149" s="20" t="n">
        <x:f>P149-I149</x:f>
        <x:v>0</x:v>
      </x:c>
      <x:c r="AD149" s="10" t="n">
        <x:f>IF(AND(G149=1,J149=0),1,0)</x:f>
        <x:v>0</x:v>
      </x:c>
      <x:c r="AE149" s="10" t="n">
        <x:f>IF(AND(G149=0,Q149=1),1,0)</x:f>
        <x:v>0</x:v>
      </x:c>
    </x:row>
    <x:row r="150">
      <x:c r="A150" s="10" t="str">
        <x:f>"Grid"</x:f>
        <x:v>Grid</x:v>
      </x:c>
      <x:c r="B150" s="12" t="n">
        <x:f>VALUE('Raw Results'!$A$39)</x:f>
        <x:v>500</x:v>
      </x:c>
      <x:c r="C150" s="14" t="n">
        <x:f>VALUE('Raw Results'!$B$39)</x:f>
        <x:v>0.1</x:v>
      </x:c>
      <x:c r="D150" s="12" t="n">
        <x:f>VALUE('Raw Results'!$C$39)</x:f>
        <x:v>2</x:v>
      </x:c>
      <x:c r="E150" s="12" t="n">
        <x:f>VALUE('Raw Results'!$D$39)</x:f>
        <x:v>1763200285</x:v>
      </x:c>
      <x:c r="F150" s="12" t="n">
        <x:f>VALUE('Raw Results'!$M$39)</x:f>
        <x:v>61</x:v>
      </x:c>
      <x:c r="G150" s="12" t="n">
        <x:f>IF('Raw Results'!$O$39="True",1,0)</x:f>
        <x:v>1</x:v>
      </x:c>
      <x:c r="H150" s="12" t="n">
        <x:f>VALUE('Raw Results'!$R$39)</x:f>
        <x:v>185</x:v>
      </x:c>
      <x:c r="I150" s="12" t="n">
        <x:f>VALUE('Raw Results'!$S$39)</x:f>
        <x:v>59</x:v>
      </x:c>
      <x:c r="J150" s="12" t="n">
        <x:f>IF('Raw Results'!$U$39="True",1,0)</x:f>
        <x:v>1</x:v>
      </x:c>
      <x:c r="K150" s="12" t="n">
        <x:f>VALUE('Raw Results'!$X$39)</x:f>
        <x:v>0</x:v>
      </x:c>
      <x:c r="L150" s="12" t="n">
        <x:f>VALUE('Raw Results'!$Y$39)</x:f>
        <x:v>0</x:v>
      </x:c>
      <x:c r="M150" s="10" t="str">
        <x:f>'Raw Results'!$Z$39</x:f>
      </x:c>
      <x:c r="N150" s="16" t="n">
        <x:f>VALUE('Raw Results'!$AA$39)</x:f>
        <x:v>0.01989039999898523</x:v>
      </x:c>
      <x:c r="O150" s="12" t="n">
        <x:f>VALUE('Raw Results'!$AB$39)</x:f>
        <x:v>59</x:v>
      </x:c>
      <x:c r="P150" s="12" t="n">
        <x:f>VALUE('Raw Results'!$AC$39)</x:f>
        <x:v>59</x:v>
      </x:c>
      <x:c r="Q150" s="12" t="n">
        <x:f>IF('Raw Results'!$AE$39="True",1,0)</x:f>
        <x:v>1</x:v>
      </x:c>
      <x:c r="R150" s="12" t="n">
        <x:f>VALUE('Raw Results'!$AG$39)</x:f>
        <x:v>0</x:v>
      </x:c>
      <x:c r="S150" s="12" t="n">
        <x:f>VALUE('Raw Results'!$AH$39)</x:f>
        <x:v>0</x:v>
      </x:c>
      <x:c r="T150" s="16" t="n">
        <x:f>VALUE('Raw Results'!$T$39)</x:f>
        <x:v>0.5718751000240445</x:v>
      </x:c>
      <x:c r="U150" s="16" t="n">
        <x:f>VALUE('Raw Results'!$AD$39)</x:f>
        <x:v>0.5917655000230297</x:v>
      </x:c>
      <x:c r="V150" s="18" t="n">
        <x:f>IF(T150=0,0,N150/T150)</x:f>
        <x:v>0.034781021237240334</x:v>
      </x:c>
      <x:c r="W150" s="10" t="n">
        <x:f>IF(AND(G150=1,Q150=1),1,0)</x:f>
        <x:v>1</x:v>
      </x:c>
      <x:c r="X150" s="20" t="n">
        <x:f>IF(W150=1,P150-F150,"")</x:f>
        <x:v>-2</x:v>
      </x:c>
      <x:c r="Y150" s="10" t="str">
        <x:f>IF(W150=0,"excluded",IF(X150&lt;0,"repaired",IF(X150&gt;0,"entropy","tie")))</x:f>
        <x:v>repaired</x:v>
      </x:c>
      <x:c r="Z150" s="10" t="n">
        <x:f>IF(VALUE(L150)&gt;0,1,0)</x:f>
        <x:v>0</x:v>
      </x:c>
      <x:c r="AA150" s="10" t="n">
        <x:f>IF(AND('Raw Results'!$V$39="True",'Raw Results'!$W$39="True"),1,0)</x:f>
        <x:v>1</x:v>
      </x:c>
      <x:c r="AB150" s="10" t="n">
        <x:f>IF(AND(J150=0,Q150=1),1,0)</x:f>
        <x:v>0</x:v>
      </x:c>
      <x:c r="AC150" s="20" t="n">
        <x:f>P150-I150</x:f>
        <x:v>0</x:v>
      </x:c>
      <x:c r="AD150" s="10" t="n">
        <x:f>IF(AND(G150=1,J150=0),1,0)</x:f>
        <x:v>0</x:v>
      </x:c>
      <x:c r="AE150" s="10" t="n">
        <x:f>IF(AND(G150=0,Q150=1),1,0)</x:f>
        <x:v>0</x:v>
      </x:c>
    </x:row>
    <x:row r="151">
      <x:c r="A151" s="10" t="str">
        <x:f>"Circle"</x:f>
        <x:v>Circle</x:v>
      </x:c>
      <x:c r="B151" s="12" t="n">
        <x:f>VALUE('Raw Results'!$A$39)</x:f>
        <x:v>500</x:v>
      </x:c>
      <x:c r="C151" s="14" t="n">
        <x:f>VALUE('Raw Results'!$B$39)</x:f>
        <x:v>0.1</x:v>
      </x:c>
      <x:c r="D151" s="12" t="n">
        <x:f>VALUE('Raw Results'!$C$39)</x:f>
        <x:v>2</x:v>
      </x:c>
      <x:c r="E151" s="12" t="n">
        <x:f>VALUE('Raw Results'!$D$39)</x:f>
        <x:v>1763200285</x:v>
      </x:c>
      <x:c r="F151" s="12" t="n">
        <x:f>VALUE('Raw Results'!$AI$39)</x:f>
        <x:v>61</x:v>
      </x:c>
      <x:c r="G151" s="12" t="n">
        <x:f>IF('Raw Results'!$AK$39="True",1,0)</x:f>
        <x:v>1</x:v>
      </x:c>
      <x:c r="H151" s="12" t="n">
        <x:f>VALUE('Raw Results'!$AN$39)</x:f>
        <x:v>269</x:v>
      </x:c>
      <x:c r="I151" s="12" t="n">
        <x:f>VALUE('Raw Results'!$AO$39)</x:f>
        <x:v>61</x:v>
      </x:c>
      <x:c r="J151" s="12" t="n">
        <x:f>IF('Raw Results'!$AQ$39="True",1,0)</x:f>
        <x:v>1</x:v>
      </x:c>
      <x:c r="K151" s="12" t="n">
        <x:f>VALUE('Raw Results'!$AT$39)</x:f>
        <x:v>0</x:v>
      </x:c>
      <x:c r="L151" s="12" t="n">
        <x:f>VALUE('Raw Results'!$AU$39)</x:f>
        <x:v>0</x:v>
      </x:c>
      <x:c r="M151" s="10" t="str">
        <x:f>'Raw Results'!$AV$39</x:f>
      </x:c>
      <x:c r="N151" s="16" t="n">
        <x:f>VALUE('Raw Results'!$AW$39)</x:f>
        <x:v>0.022252999944612384</x:v>
      </x:c>
      <x:c r="O151" s="12" t="n">
        <x:f>VALUE('Raw Results'!$AX$39)</x:f>
        <x:v>61</x:v>
      </x:c>
      <x:c r="P151" s="12" t="n">
        <x:f>VALUE('Raw Results'!$AY$39)</x:f>
        <x:v>61</x:v>
      </x:c>
      <x:c r="Q151" s="12" t="n">
        <x:f>IF('Raw Results'!$BA$39="True",1,0)</x:f>
        <x:v>1</x:v>
      </x:c>
      <x:c r="R151" s="12" t="n">
        <x:f>VALUE('Raw Results'!$BC$39)</x:f>
        <x:v>0</x:v>
      </x:c>
      <x:c r="S151" s="12" t="n">
        <x:f>VALUE('Raw Results'!$BD$39)</x:f>
        <x:v>0</x:v>
      </x:c>
      <x:c r="T151" s="16" t="n">
        <x:f>VALUE('Raw Results'!$AP$39)</x:f>
        <x:v>0.827664100099355</x:v>
      </x:c>
      <x:c r="U151" s="16" t="n">
        <x:f>VALUE('Raw Results'!$AZ$39)</x:f>
        <x:v>0.8499171000439674</x:v>
      </x:c>
      <x:c r="V151" s="18" t="n">
        <x:f>IF(T151=0,0,N151/T151)</x:f>
        <x:v>0.02688651101568991</x:v>
      </x:c>
      <x:c r="W151" s="10" t="n">
        <x:f>IF(AND(G151=1,Q151=1),1,0)</x:f>
        <x:v>1</x:v>
      </x:c>
      <x:c r="X151" s="20" t="n">
        <x:f>IF(W151=1,P151-F151,"")</x:f>
        <x:v>0</x:v>
      </x:c>
      <x:c r="Y151" s="10" t="str">
        <x:f>IF(W151=0,"excluded",IF(X151&lt;0,"repaired",IF(X151&gt;0,"entropy","tie")))</x:f>
        <x:v>tie</x:v>
      </x:c>
      <x:c r="Z151" s="10" t="n">
        <x:f>IF(VALUE(L151)&gt;0,1,0)</x:f>
        <x:v>0</x:v>
      </x:c>
      <x:c r="AA151" s="10" t="n">
        <x:f>IF(AND('Raw Results'!$AR$39="True",'Raw Results'!$AS$39="True"),1,0)</x:f>
        <x:v>1</x:v>
      </x:c>
      <x:c r="AB151" s="10" t="n">
        <x:f>IF(AND(J151=0,Q151=1),1,0)</x:f>
        <x:v>0</x:v>
      </x:c>
      <x:c r="AC151" s="20" t="n">
        <x:f>P151-I151</x:f>
        <x:v>0</x:v>
      </x:c>
      <x:c r="AD151" s="10" t="n">
        <x:f>IF(AND(G151=1,J151=0),1,0)</x:f>
        <x:v>0</x:v>
      </x:c>
      <x:c r="AE151" s="10" t="n">
        <x:f>IF(AND(G151=0,Q151=1),1,0)</x:f>
        <x:v>0</x:v>
      </x:c>
    </x:row>
    <x:row r="152">
      <x:c r="A152" s="10" t="str">
        <x:f>"Zoomed Square"</x:f>
        <x:v>Zoomed Square</x:v>
      </x:c>
      <x:c r="B152" s="12" t="n">
        <x:f>VALUE('Raw Results'!$A$39)</x:f>
        <x:v>500</x:v>
      </x:c>
      <x:c r="C152" s="14" t="n">
        <x:f>VALUE('Raw Results'!$B$39)</x:f>
        <x:v>0.1</x:v>
      </x:c>
      <x:c r="D152" s="12" t="n">
        <x:f>VALUE('Raw Results'!$C$39)</x:f>
        <x:v>2</x:v>
      </x:c>
      <x:c r="E152" s="12" t="n">
        <x:f>VALUE('Raw Results'!$D$39)</x:f>
        <x:v>1763200285</x:v>
      </x:c>
      <x:c r="F152" s="12" t="n">
        <x:f>VALUE('Raw Results'!$BE$39)</x:f>
        <x:v>61</x:v>
      </x:c>
      <x:c r="G152" s="12" t="n">
        <x:f>IF('Raw Results'!$BG$39="True",1,0)</x:f>
        <x:v>1</x:v>
      </x:c>
      <x:c r="H152" s="12" t="n">
        <x:f>VALUE('Raw Results'!$BJ$39)</x:f>
        <x:v>272</x:v>
      </x:c>
      <x:c r="I152" s="12" t="n">
        <x:f>VALUE('Raw Results'!$BK$39)</x:f>
        <x:v>63</x:v>
      </x:c>
      <x:c r="J152" s="12" t="n">
        <x:f>IF('Raw Results'!$BM$39="True",1,0)</x:f>
        <x:v>1</x:v>
      </x:c>
      <x:c r="K152" s="12" t="n">
        <x:f>VALUE('Raw Results'!$BP$39)</x:f>
        <x:v>0</x:v>
      </x:c>
      <x:c r="L152" s="12" t="n">
        <x:f>VALUE('Raw Results'!$BQ$39)</x:f>
        <x:v>0</x:v>
      </x:c>
      <x:c r="M152" s="10" t="str">
        <x:f>'Raw Results'!$BR$39</x:f>
      </x:c>
      <x:c r="N152" s="16" t="n">
        <x:f>VALUE('Raw Results'!$BS$39)</x:f>
        <x:v>0.02028739999514073</x:v>
      </x:c>
      <x:c r="O152" s="12" t="n">
        <x:f>VALUE('Raw Results'!$BT$39)</x:f>
        <x:v>63</x:v>
      </x:c>
      <x:c r="P152" s="12" t="n">
        <x:f>VALUE('Raw Results'!$BU$39)</x:f>
        <x:v>63</x:v>
      </x:c>
      <x:c r="Q152" s="12" t="n">
        <x:f>IF('Raw Results'!$BW$39="True",1,0)</x:f>
        <x:v>1</x:v>
      </x:c>
      <x:c r="R152" s="12" t="n">
        <x:f>VALUE('Raw Results'!$BY$39)</x:f>
        <x:v>0</x:v>
      </x:c>
      <x:c r="S152" s="12" t="n">
        <x:f>VALUE('Raw Results'!$BZ$39)</x:f>
        <x:v>0</x:v>
      </x:c>
      <x:c r="T152" s="16" t="n">
        <x:f>VALUE('Raw Results'!$BL$39)</x:f>
        <x:v>0.8660821000812575</x:v>
      </x:c>
      <x:c r="U152" s="16" t="n">
        <x:f>VALUE('Raw Results'!$BV$39)</x:f>
        <x:v>0.8863695000763983</x:v>
      </x:c>
      <x:c r="V152" s="18" t="n">
        <x:f>IF(T152=0,0,N152/T152)</x:f>
        <x:v>0.02342433816983093</x:v>
      </x:c>
      <x:c r="W152" s="10" t="n">
        <x:f>IF(AND(G152=1,Q152=1),1,0)</x:f>
        <x:v>1</x:v>
      </x:c>
      <x:c r="X152" s="20" t="n">
        <x:f>IF(W152=1,P152-F152,"")</x:f>
        <x:v>2</x:v>
      </x:c>
      <x:c r="Y152" s="10" t="str">
        <x:f>IF(W152=0,"excluded",IF(X152&lt;0,"repaired",IF(X152&gt;0,"entropy","tie")))</x:f>
        <x:v>entropy</x:v>
      </x:c>
      <x:c r="Z152" s="10" t="n">
        <x:f>IF(VALUE(L152)&gt;0,1,0)</x:f>
        <x:v>0</x:v>
      </x:c>
      <x:c r="AA152" s="10" t="n">
        <x:f>IF(AND('Raw Results'!$BN$39="True",'Raw Results'!$BO$39="True"),1,0)</x:f>
        <x:v>1</x:v>
      </x:c>
      <x:c r="AB152" s="10" t="n">
        <x:f>IF(AND(J152=0,Q152=1),1,0)</x:f>
        <x:v>0</x:v>
      </x:c>
      <x:c r="AC152" s="20" t="n">
        <x:f>P152-I152</x:f>
        <x:v>0</x:v>
      </x:c>
      <x:c r="AD152" s="10" t="n">
        <x:f>IF(AND(G152=1,J152=0),1,0)</x:f>
        <x:v>0</x:v>
      </x:c>
      <x:c r="AE152" s="10" t="n">
        <x:f>IF(AND(G152=0,Q152=1),1,0)</x:f>
        <x:v>0</x:v>
      </x:c>
    </x:row>
    <x:row r="153">
      <x:c r="A153" s="10" t="str">
        <x:f>"ICH"</x:f>
        <x:v>ICH</x:v>
      </x:c>
      <x:c r="B153" s="12" t="n">
        <x:f>VALUE('Raw Results'!$A$39)</x:f>
        <x:v>500</x:v>
      </x:c>
      <x:c r="C153" s="14" t="n">
        <x:f>VALUE('Raw Results'!$B$39)</x:f>
        <x:v>0.1</x:v>
      </x:c>
      <x:c r="D153" s="12" t="n">
        <x:f>VALUE('Raw Results'!$C$39)</x:f>
        <x:v>2</x:v>
      </x:c>
      <x:c r="E153" s="12" t="n">
        <x:f>VALUE('Raw Results'!$D$39)</x:f>
        <x:v>1763200285</x:v>
      </x:c>
      <x:c r="F153" s="12" t="n">
        <x:f>VALUE('Raw Results'!$CA$39)</x:f>
        <x:v>63</x:v>
      </x:c>
      <x:c r="G153" s="12" t="n">
        <x:f>IF('Raw Results'!$CC$39="True",1,0)</x:f>
        <x:v>1</x:v>
      </x:c>
      <x:c r="H153" s="12" t="n">
        <x:f>VALUE('Raw Results'!$CF$39)</x:f>
        <x:v>62</x:v>
      </x:c>
      <x:c r="I153" s="12" t="n">
        <x:f>VALUE('Raw Results'!$CG$39)</x:f>
        <x:v>62</x:v>
      </x:c>
      <x:c r="J153" s="12" t="n">
        <x:f>IF('Raw Results'!$CI$39="True",1,0)</x:f>
        <x:v>1</x:v>
      </x:c>
      <x:c r="K153" s="12" t="n">
        <x:f>VALUE('Raw Results'!$CL$39)</x:f>
        <x:v>0</x:v>
      </x:c>
      <x:c r="L153" s="12" t="n">
        <x:f>VALUE('Raw Results'!$CM$39)</x:f>
        <x:v>0</x:v>
      </x:c>
      <x:c r="M153" s="10" t="str">
        <x:f>'Raw Results'!$CN$39</x:f>
      </x:c>
      <x:c r="N153" s="16" t="n">
        <x:f>VALUE('Raw Results'!$CO$39)</x:f>
        <x:v>0.022279500029981136</x:v>
      </x:c>
      <x:c r="O153" s="12" t="n">
        <x:f>VALUE('Raw Results'!$CP$39)</x:f>
        <x:v>62</x:v>
      </x:c>
      <x:c r="P153" s="12" t="n">
        <x:f>VALUE('Raw Results'!$CQ$39)</x:f>
        <x:v>62</x:v>
      </x:c>
      <x:c r="Q153" s="12" t="n">
        <x:f>IF('Raw Results'!$CS$39="True",1,0)</x:f>
        <x:v>1</x:v>
      </x:c>
      <x:c r="R153" s="12" t="n">
        <x:f>VALUE('Raw Results'!$CU$39)</x:f>
        <x:v>0</x:v>
      </x:c>
      <x:c r="S153" s="12" t="n">
        <x:f>VALUE('Raw Results'!$CV$39)</x:f>
        <x:v>0</x:v>
      </x:c>
      <x:c r="T153" s="16" t="n">
        <x:f>VALUE('Raw Results'!$CH$39)</x:f>
        <x:v>18.41154809994623</x:v>
      </x:c>
      <x:c r="U153" s="16" t="n">
        <x:f>VALUE('Raw Results'!$CR$39)</x:f>
        <x:v>18.433827599976212</x:v>
      </x:c>
      <x:c r="V153" s="18" t="n">
        <x:f>IF(T153=0,0,N153/T153)</x:f>
        <x:v>0.001210082927792813</x:v>
      </x:c>
      <x:c r="W153" s="10" t="n">
        <x:f>IF(AND(G153=1,Q153=1),1,0)</x:f>
        <x:v>1</x:v>
      </x:c>
      <x:c r="X153" s="20" t="n">
        <x:f>IF(W153=1,P153-F153,"")</x:f>
        <x:v>-1</x:v>
      </x:c>
      <x:c r="Y153" s="10" t="str">
        <x:f>IF(W153=0,"excluded",IF(X153&lt;0,"repaired",IF(X153&gt;0,"entropy","tie")))</x:f>
        <x:v>repaired</x:v>
      </x:c>
      <x:c r="Z153" s="10" t="n">
        <x:f>IF(VALUE(L153)&gt;0,1,0)</x:f>
        <x:v>0</x:v>
      </x:c>
      <x:c r="AA153" s="10" t="n">
        <x:f>IF(AND('Raw Results'!$CJ$39="True",'Raw Results'!$CK$39="True"),1,0)</x:f>
        <x:v>1</x:v>
      </x:c>
      <x:c r="AB153" s="10" t="n">
        <x:f>IF(AND(J153=0,Q153=1),1,0)</x:f>
        <x:v>0</x:v>
      </x:c>
      <x:c r="AC153" s="20" t="n">
        <x:f>P153-I153</x:f>
        <x:v>0</x:v>
      </x:c>
      <x:c r="AD153" s="10" t="n">
        <x:f>IF(AND(G153=1,J153=0),1,0)</x:f>
        <x:v>0</x:v>
      </x:c>
      <x:c r="AE153" s="10" t="n">
        <x:f>IF(AND(G153=0,Q153=1),1,0)</x:f>
        <x:v>0</x:v>
      </x:c>
    </x:row>
    <x:row r="154">
      <x:c r="A154" s="10" t="str">
        <x:f>"Grid"</x:f>
        <x:v>Grid</x:v>
      </x:c>
      <x:c r="B154" s="12" t="n">
        <x:f>VALUE('Raw Results'!$A$40)</x:f>
        <x:v>500</x:v>
      </x:c>
      <x:c r="C154" s="14" t="n">
        <x:f>VALUE('Raw Results'!$B$40)</x:f>
        <x:v>0.1</x:v>
      </x:c>
      <x:c r="D154" s="12" t="n">
        <x:f>VALUE('Raw Results'!$C$40)</x:f>
        <x:v>3</x:v>
      </x:c>
      <x:c r="E154" s="12" t="n">
        <x:f>VALUE('Raw Results'!$D$40)</x:f>
        <x:v>3181236062</x:v>
      </x:c>
      <x:c r="F154" s="12" t="n">
        <x:f>VALUE('Raw Results'!$M$40)</x:f>
        <x:v>48</x:v>
      </x:c>
      <x:c r="G154" s="12" t="n">
        <x:f>IF('Raw Results'!$O$40="True",1,0)</x:f>
        <x:v>1</x:v>
      </x:c>
      <x:c r="H154" s="12" t="n">
        <x:f>VALUE('Raw Results'!$R$40)</x:f>
        <x:v>192</x:v>
      </x:c>
      <x:c r="I154" s="12" t="n">
        <x:f>VALUE('Raw Results'!$S$40)</x:f>
        <x:v>51</x:v>
      </x:c>
      <x:c r="J154" s="12" t="n">
        <x:f>IF('Raw Results'!$U$40="True",1,0)</x:f>
        <x:v>1</x:v>
      </x:c>
      <x:c r="K154" s="12" t="n">
        <x:f>VALUE('Raw Results'!$X$40)</x:f>
        <x:v>0</x:v>
      </x:c>
      <x:c r="L154" s="12" t="n">
        <x:f>VALUE('Raw Results'!$Y$40)</x:f>
        <x:v>0</x:v>
      </x:c>
      <x:c r="M154" s="10" t="str">
        <x:f>'Raw Results'!$Z$40</x:f>
      </x:c>
      <x:c r="N154" s="16" t="n">
        <x:f>VALUE('Raw Results'!$AA$40)</x:f>
        <x:v>0.01684719999320805</x:v>
      </x:c>
      <x:c r="O154" s="12" t="n">
        <x:f>VALUE('Raw Results'!$AB$40)</x:f>
        <x:v>51</x:v>
      </x:c>
      <x:c r="P154" s="12" t="n">
        <x:f>VALUE('Raw Results'!$AC$40)</x:f>
        <x:v>51</x:v>
      </x:c>
      <x:c r="Q154" s="12" t="n">
        <x:f>IF('Raw Results'!$AE$40="True",1,0)</x:f>
        <x:v>1</x:v>
      </x:c>
      <x:c r="R154" s="12" t="n">
        <x:f>VALUE('Raw Results'!$AG$40)</x:f>
        <x:v>0</x:v>
      </x:c>
      <x:c r="S154" s="12" t="n">
        <x:f>VALUE('Raw Results'!$AH$40)</x:f>
        <x:v>0</x:v>
      </x:c>
      <x:c r="T154" s="16" t="n">
        <x:f>VALUE('Raw Results'!$T$40)</x:f>
        <x:v>0.5591194001026452</x:v>
      </x:c>
      <x:c r="U154" s="16" t="n">
        <x:f>VALUE('Raw Results'!$AD$40)</x:f>
        <x:v>0.5759666000958532</x:v>
      </x:c>
      <x:c r="V154" s="18" t="n">
        <x:f>IF(T154=0,0,N154/T154)</x:f>
        <x:v>0.030131667744161945</x:v>
      </x:c>
      <x:c r="W154" s="10" t="n">
        <x:f>IF(AND(G154=1,Q154=1),1,0)</x:f>
        <x:v>1</x:v>
      </x:c>
      <x:c r="X154" s="20" t="n">
        <x:f>IF(W154=1,P154-F154,"")</x:f>
        <x:v>3</x:v>
      </x:c>
      <x:c r="Y154" s="10" t="str">
        <x:f>IF(W154=0,"excluded",IF(X154&lt;0,"repaired",IF(X154&gt;0,"entropy","tie")))</x:f>
        <x:v>entropy</x:v>
      </x:c>
      <x:c r="Z154" s="10" t="n">
        <x:f>IF(VALUE(L154)&gt;0,1,0)</x:f>
        <x:v>0</x:v>
      </x:c>
      <x:c r="AA154" s="10" t="n">
        <x:f>IF(AND('Raw Results'!$V$40="True",'Raw Results'!$W$40="True"),1,0)</x:f>
        <x:v>1</x:v>
      </x:c>
      <x:c r="AB154" s="10" t="n">
        <x:f>IF(AND(J154=0,Q154=1),1,0)</x:f>
        <x:v>0</x:v>
      </x:c>
      <x:c r="AC154" s="20" t="n">
        <x:f>P154-I154</x:f>
        <x:v>0</x:v>
      </x:c>
      <x:c r="AD154" s="10" t="n">
        <x:f>IF(AND(G154=1,J154=0),1,0)</x:f>
        <x:v>0</x:v>
      </x:c>
      <x:c r="AE154" s="10" t="n">
        <x:f>IF(AND(G154=0,Q154=1),1,0)</x:f>
        <x:v>0</x:v>
      </x:c>
    </x:row>
    <x:row r="155">
      <x:c r="A155" s="10" t="str">
        <x:f>"Circle"</x:f>
        <x:v>Circle</x:v>
      </x:c>
      <x:c r="B155" s="12" t="n">
        <x:f>VALUE('Raw Results'!$A$40)</x:f>
        <x:v>500</x:v>
      </x:c>
      <x:c r="C155" s="14" t="n">
        <x:f>VALUE('Raw Results'!$B$40)</x:f>
        <x:v>0.1</x:v>
      </x:c>
      <x:c r="D155" s="12" t="n">
        <x:f>VALUE('Raw Results'!$C$40)</x:f>
        <x:v>3</x:v>
      </x:c>
      <x:c r="E155" s="12" t="n">
        <x:f>VALUE('Raw Results'!$D$40)</x:f>
        <x:v>3181236062</x:v>
      </x:c>
      <x:c r="F155" s="12" t="n">
        <x:f>VALUE('Raw Results'!$AI$40)</x:f>
        <x:v>53</x:v>
      </x:c>
      <x:c r="G155" s="12" t="n">
        <x:f>IF('Raw Results'!$AK$40="True",1,0)</x:f>
        <x:v>1</x:v>
      </x:c>
      <x:c r="H155" s="12" t="n">
        <x:f>VALUE('Raw Results'!$AN$40)</x:f>
        <x:v>266</x:v>
      </x:c>
      <x:c r="I155" s="12" t="n">
        <x:f>VALUE('Raw Results'!$AO$40)</x:f>
        <x:v>52</x:v>
      </x:c>
      <x:c r="J155" s="12" t="n">
        <x:f>IF('Raw Results'!$AQ$40="True",1,0)</x:f>
        <x:v>1</x:v>
      </x:c>
      <x:c r="K155" s="12" t="n">
        <x:f>VALUE('Raw Results'!$AT$40)</x:f>
        <x:v>0</x:v>
      </x:c>
      <x:c r="L155" s="12" t="n">
        <x:f>VALUE('Raw Results'!$AU$40)</x:f>
        <x:v>0</x:v>
      </x:c>
      <x:c r="M155" s="10" t="str">
        <x:f>'Raw Results'!$AV$40</x:f>
      </x:c>
      <x:c r="N155" s="16" t="n">
        <x:f>VALUE('Raw Results'!$AW$40)</x:f>
        <x:v>0.018375899991951883</x:v>
      </x:c>
      <x:c r="O155" s="12" t="n">
        <x:f>VALUE('Raw Results'!$AX$40)</x:f>
        <x:v>52</x:v>
      </x:c>
      <x:c r="P155" s="12" t="n">
        <x:f>VALUE('Raw Results'!$AY$40)</x:f>
        <x:v>52</x:v>
      </x:c>
      <x:c r="Q155" s="12" t="n">
        <x:f>IF('Raw Results'!$BA$40="True",1,0)</x:f>
        <x:v>1</x:v>
      </x:c>
      <x:c r="R155" s="12" t="n">
        <x:f>VALUE('Raw Results'!$BC$40)</x:f>
        <x:v>0</x:v>
      </x:c>
      <x:c r="S155" s="12" t="n">
        <x:f>VALUE('Raw Results'!$BD$40)</x:f>
        <x:v>0</x:v>
      </x:c>
      <x:c r="T155" s="16" t="n">
        <x:f>VALUE('Raw Results'!$AP$40)</x:f>
        <x:v>0.6649963000090793</x:v>
      </x:c>
      <x:c r="U155" s="16" t="n">
        <x:f>VALUE('Raw Results'!$AZ$40)</x:f>
        <x:v>0.6833722000010312</x:v>
      </x:c>
      <x:c r="V155" s="18" t="n">
        <x:f>IF(T155=0,0,N155/T155)</x:f>
        <x:v>0.02763308606634502</x:v>
      </x:c>
      <x:c r="W155" s="10" t="n">
        <x:f>IF(AND(G155=1,Q155=1),1,0)</x:f>
        <x:v>1</x:v>
      </x:c>
      <x:c r="X155" s="20" t="n">
        <x:f>IF(W155=1,P155-F155,"")</x:f>
        <x:v>-1</x:v>
      </x:c>
      <x:c r="Y155" s="10" t="str">
        <x:f>IF(W155=0,"excluded",IF(X155&lt;0,"repaired",IF(X155&gt;0,"entropy","tie")))</x:f>
        <x:v>repaired</x:v>
      </x:c>
      <x:c r="Z155" s="10" t="n">
        <x:f>IF(VALUE(L155)&gt;0,1,0)</x:f>
        <x:v>0</x:v>
      </x:c>
      <x:c r="AA155" s="10" t="n">
        <x:f>IF(AND('Raw Results'!$AR$40="True",'Raw Results'!$AS$40="True"),1,0)</x:f>
        <x:v>1</x:v>
      </x:c>
      <x:c r="AB155" s="10" t="n">
        <x:f>IF(AND(J155=0,Q155=1),1,0)</x:f>
        <x:v>0</x:v>
      </x:c>
      <x:c r="AC155" s="20" t="n">
        <x:f>P155-I155</x:f>
        <x:v>0</x:v>
      </x:c>
      <x:c r="AD155" s="10" t="n">
        <x:f>IF(AND(G155=1,J155=0),1,0)</x:f>
        <x:v>0</x:v>
      </x:c>
      <x:c r="AE155" s="10" t="n">
        <x:f>IF(AND(G155=0,Q155=1),1,0)</x:f>
        <x:v>0</x:v>
      </x:c>
    </x:row>
    <x:row r="156">
      <x:c r="A156" s="10" t="str">
        <x:f>"Zoomed Square"</x:f>
        <x:v>Zoomed Square</x:v>
      </x:c>
      <x:c r="B156" s="12" t="n">
        <x:f>VALUE('Raw Results'!$A$40)</x:f>
        <x:v>500</x:v>
      </x:c>
      <x:c r="C156" s="14" t="n">
        <x:f>VALUE('Raw Results'!$B$40)</x:f>
        <x:v>0.1</x:v>
      </x:c>
      <x:c r="D156" s="12" t="n">
        <x:f>VALUE('Raw Results'!$C$40)</x:f>
        <x:v>3</x:v>
      </x:c>
      <x:c r="E156" s="12" t="n">
        <x:f>VALUE('Raw Results'!$D$40)</x:f>
        <x:v>3181236062</x:v>
      </x:c>
      <x:c r="F156" s="12" t="n">
        <x:f>VALUE('Raw Results'!$BE$40)</x:f>
        <x:v>54</x:v>
      </x:c>
      <x:c r="G156" s="12" t="n">
        <x:f>IF('Raw Results'!$BG$40="True",1,0)</x:f>
        <x:v>1</x:v>
      </x:c>
      <x:c r="H156" s="12" t="n">
        <x:f>VALUE('Raw Results'!$BJ$40)</x:f>
        <x:v>249</x:v>
      </x:c>
      <x:c r="I156" s="12" t="n">
        <x:f>VALUE('Raw Results'!$BK$40)</x:f>
        <x:v>50</x:v>
      </x:c>
      <x:c r="J156" s="12" t="n">
        <x:f>IF('Raw Results'!$BM$40="True",1,0)</x:f>
        <x:v>1</x:v>
      </x:c>
      <x:c r="K156" s="12" t="n">
        <x:f>VALUE('Raw Results'!$BP$40)</x:f>
        <x:v>0</x:v>
      </x:c>
      <x:c r="L156" s="12" t="n">
        <x:f>VALUE('Raw Results'!$BQ$40)</x:f>
        <x:v>0</x:v>
      </x:c>
      <x:c r="M156" s="10" t="str">
        <x:f>'Raw Results'!$BR$40</x:f>
      </x:c>
      <x:c r="N156" s="16" t="n">
        <x:f>VALUE('Raw Results'!$BS$40)</x:f>
        <x:v>0.019596799975261092</x:v>
      </x:c>
      <x:c r="O156" s="12" t="n">
        <x:f>VALUE('Raw Results'!$BT$40)</x:f>
        <x:v>50</x:v>
      </x:c>
      <x:c r="P156" s="12" t="n">
        <x:f>VALUE('Raw Results'!$BU$40)</x:f>
        <x:v>50</x:v>
      </x:c>
      <x:c r="Q156" s="12" t="n">
        <x:f>IF('Raw Results'!$BW$40="True",1,0)</x:f>
        <x:v>1</x:v>
      </x:c>
      <x:c r="R156" s="12" t="n">
        <x:f>VALUE('Raw Results'!$BY$40)</x:f>
        <x:v>0</x:v>
      </x:c>
      <x:c r="S156" s="12" t="n">
        <x:f>VALUE('Raw Results'!$BZ$40)</x:f>
        <x:v>0</x:v>
      </x:c>
      <x:c r="T156" s="16" t="n">
        <x:f>VALUE('Raw Results'!$BL$40)</x:f>
        <x:v>0.6572680999524891</x:v>
      </x:c>
      <x:c r="U156" s="16" t="n">
        <x:f>VALUE('Raw Results'!$BV$40)</x:f>
        <x:v>0.6768648999277502</x:v>
      </x:c>
      <x:c r="V156" s="18" t="n">
        <x:f>IF(T156=0,0,N156/T156)</x:f>
        <x:v>0.029815534903759447</x:v>
      </x:c>
      <x:c r="W156" s="10" t="n">
        <x:f>IF(AND(G156=1,Q156=1),1,0)</x:f>
        <x:v>1</x:v>
      </x:c>
      <x:c r="X156" s="20" t="n">
        <x:f>IF(W156=1,P156-F156,"")</x:f>
        <x:v>-4</x:v>
      </x:c>
      <x:c r="Y156" s="10" t="str">
        <x:f>IF(W156=0,"excluded",IF(X156&lt;0,"repaired",IF(X156&gt;0,"entropy","tie")))</x:f>
        <x:v>repaired</x:v>
      </x:c>
      <x:c r="Z156" s="10" t="n">
        <x:f>IF(VALUE(L156)&gt;0,1,0)</x:f>
        <x:v>0</x:v>
      </x:c>
      <x:c r="AA156" s="10" t="n">
        <x:f>IF(AND('Raw Results'!$BN$40="True",'Raw Results'!$BO$40="True"),1,0)</x:f>
        <x:v>1</x:v>
      </x:c>
      <x:c r="AB156" s="10" t="n">
        <x:f>IF(AND(J156=0,Q156=1),1,0)</x:f>
        <x:v>0</x:v>
      </x:c>
      <x:c r="AC156" s="20" t="n">
        <x:f>P156-I156</x:f>
        <x:v>0</x:v>
      </x:c>
      <x:c r="AD156" s="10" t="n">
        <x:f>IF(AND(G156=1,J156=0),1,0)</x:f>
        <x:v>0</x:v>
      </x:c>
      <x:c r="AE156" s="10" t="n">
        <x:f>IF(AND(G156=0,Q156=1),1,0)</x:f>
        <x:v>0</x:v>
      </x:c>
    </x:row>
    <x:row r="157">
      <x:c r="A157" s="10" t="str">
        <x:f>"ICH"</x:f>
        <x:v>ICH</x:v>
      </x:c>
      <x:c r="B157" s="12" t="n">
        <x:f>VALUE('Raw Results'!$A$40)</x:f>
        <x:v>500</x:v>
      </x:c>
      <x:c r="C157" s="14" t="n">
        <x:f>VALUE('Raw Results'!$B$40)</x:f>
        <x:v>0.1</x:v>
      </x:c>
      <x:c r="D157" s="12" t="n">
        <x:f>VALUE('Raw Results'!$C$40)</x:f>
        <x:v>3</x:v>
      </x:c>
      <x:c r="E157" s="12" t="n">
        <x:f>VALUE('Raw Results'!$D$40)</x:f>
        <x:v>3181236062</x:v>
      </x:c>
      <x:c r="F157" s="12" t="n">
        <x:f>VALUE('Raw Results'!$CA$40)</x:f>
        <x:v>49</x:v>
      </x:c>
      <x:c r="G157" s="12" t="n">
        <x:f>IF('Raw Results'!$CC$40="True",1,0)</x:f>
        <x:v>1</x:v>
      </x:c>
      <x:c r="H157" s="12" t="n">
        <x:f>VALUE('Raw Results'!$CF$40)</x:f>
        <x:v>52</x:v>
      </x:c>
      <x:c r="I157" s="12" t="n">
        <x:f>VALUE('Raw Results'!$CG$40)</x:f>
        <x:v>52</x:v>
      </x:c>
      <x:c r="J157" s="12" t="n">
        <x:f>IF('Raw Results'!$CI$40="True",1,0)</x:f>
        <x:v>1</x:v>
      </x:c>
      <x:c r="K157" s="12" t="n">
        <x:f>VALUE('Raw Results'!$CL$40)</x:f>
        <x:v>0</x:v>
      </x:c>
      <x:c r="L157" s="12" t="n">
        <x:f>VALUE('Raw Results'!$CM$40)</x:f>
        <x:v>0</x:v>
      </x:c>
      <x:c r="M157" s="10" t="str">
        <x:f>'Raw Results'!$CN$40</x:f>
      </x:c>
      <x:c r="N157" s="16" t="n">
        <x:f>VALUE('Raw Results'!$CO$40)</x:f>
        <x:v>0.017002200009301305</x:v>
      </x:c>
      <x:c r="O157" s="12" t="n">
        <x:f>VALUE('Raw Results'!$CP$40)</x:f>
        <x:v>52</x:v>
      </x:c>
      <x:c r="P157" s="12" t="n">
        <x:f>VALUE('Raw Results'!$CQ$40)</x:f>
        <x:v>52</x:v>
      </x:c>
      <x:c r="Q157" s="12" t="n">
        <x:f>IF('Raw Results'!$CS$40="True",1,0)</x:f>
        <x:v>1</x:v>
      </x:c>
      <x:c r="R157" s="12" t="n">
        <x:f>VALUE('Raw Results'!$CU$40)</x:f>
        <x:v>0</x:v>
      </x:c>
      <x:c r="S157" s="12" t="n">
        <x:f>VALUE('Raw Results'!$CV$40)</x:f>
        <x:v>0</x:v>
      </x:c>
      <x:c r="T157" s="16" t="n">
        <x:f>VALUE('Raw Results'!$CH$40)</x:f>
        <x:v>17.272724600043148</x:v>
      </x:c>
      <x:c r="U157" s="16" t="n">
        <x:f>VALUE('Raw Results'!$CR$40)</x:f>
        <x:v>17.28972680005245</x:v>
      </x:c>
      <x:c r="V157" s="18" t="n">
        <x:f>IF(T157=0,0,N157/T157)</x:f>
        <x:v>0.000984338047586241</x:v>
      </x:c>
      <x:c r="W157" s="10" t="n">
        <x:f>IF(AND(G157=1,Q157=1),1,0)</x:f>
        <x:v>1</x:v>
      </x:c>
      <x:c r="X157" s="20" t="n">
        <x:f>IF(W157=1,P157-F157,"")</x:f>
        <x:v>3</x:v>
      </x:c>
      <x:c r="Y157" s="10" t="str">
        <x:f>IF(W157=0,"excluded",IF(X157&lt;0,"repaired",IF(X157&gt;0,"entropy","tie")))</x:f>
        <x:v>entropy</x:v>
      </x:c>
      <x:c r="Z157" s="10" t="n">
        <x:f>IF(VALUE(L157)&gt;0,1,0)</x:f>
        <x:v>0</x:v>
      </x:c>
      <x:c r="AA157" s="10" t="n">
        <x:f>IF(AND('Raw Results'!$CJ$40="True",'Raw Results'!$CK$40="True"),1,0)</x:f>
        <x:v>1</x:v>
      </x:c>
      <x:c r="AB157" s="10" t="n">
        <x:f>IF(AND(J157=0,Q157=1),1,0)</x:f>
        <x:v>0</x:v>
      </x:c>
      <x:c r="AC157" s="20" t="n">
        <x:f>P157-I157</x:f>
        <x:v>0</x:v>
      </x:c>
      <x:c r="AD157" s="10" t="n">
        <x:f>IF(AND(G157=1,J157=0),1,0)</x:f>
        <x:v>0</x:v>
      </x:c>
      <x:c r="AE157" s="10" t="n">
        <x:f>IF(AND(G157=0,Q157=1),1,0)</x:f>
        <x:v>0</x:v>
      </x:c>
    </x:row>
    <x:row r="158">
      <x:c r="A158" s="10" t="str">
        <x:f>"Grid"</x:f>
        <x:v>Grid</x:v>
      </x:c>
      <x:c r="B158" s="12" t="n">
        <x:f>VALUE('Raw Results'!$A$41)</x:f>
        <x:v>500</x:v>
      </x:c>
      <x:c r="C158" s="14" t="n">
        <x:f>VALUE('Raw Results'!$B$41)</x:f>
        <x:v>0.3</x:v>
      </x:c>
      <x:c r="D158" s="12" t="n">
        <x:f>VALUE('Raw Results'!$C$41)</x:f>
        <x:v>1</x:v>
      </x:c>
      <x:c r="E158" s="12" t="n">
        <x:f>VALUE('Raw Results'!$D$41)</x:f>
        <x:v>824905171</x:v>
      </x:c>
      <x:c r="F158" s="12" t="n">
        <x:f>VALUE('Raw Results'!$M$41)</x:f>
        <x:v>58</x:v>
      </x:c>
      <x:c r="G158" s="12" t="n">
        <x:f>IF('Raw Results'!$O$41="True",1,0)</x:f>
        <x:v>1</x:v>
      </x:c>
      <x:c r="H158" s="12" t="n">
        <x:f>VALUE('Raw Results'!$R$41)</x:f>
        <x:v>137</x:v>
      </x:c>
      <x:c r="I158" s="12" t="n">
        <x:f>VALUE('Raw Results'!$S$41)</x:f>
        <x:v>56</x:v>
      </x:c>
      <x:c r="J158" s="12" t="n">
        <x:f>IF('Raw Results'!$U$41="True",1,0)</x:f>
        <x:v>1</x:v>
      </x:c>
      <x:c r="K158" s="12" t="n">
        <x:f>VALUE('Raw Results'!$X$41)</x:f>
        <x:v>0</x:v>
      </x:c>
      <x:c r="L158" s="12" t="n">
        <x:f>VALUE('Raw Results'!$Y$41)</x:f>
        <x:v>0</x:v>
      </x:c>
      <x:c r="M158" s="10" t="str">
        <x:f>'Raw Results'!$Z$41</x:f>
      </x:c>
      <x:c r="N158" s="16" t="n">
        <x:f>VALUE('Raw Results'!$AA$41)</x:f>
        <x:v>0.01835280004888773</x:v>
      </x:c>
      <x:c r="O158" s="12" t="n">
        <x:f>VALUE('Raw Results'!$AB$41)</x:f>
        <x:v>56</x:v>
      </x:c>
      <x:c r="P158" s="12" t="n">
        <x:f>VALUE('Raw Results'!$AC$41)</x:f>
        <x:v>56</x:v>
      </x:c>
      <x:c r="Q158" s="12" t="n">
        <x:f>IF('Raw Results'!$AE$41="True",1,0)</x:f>
        <x:v>1</x:v>
      </x:c>
      <x:c r="R158" s="12" t="n">
        <x:f>VALUE('Raw Results'!$AG$41)</x:f>
        <x:v>0</x:v>
      </x:c>
      <x:c r="S158" s="12" t="n">
        <x:f>VALUE('Raw Results'!$AH$41)</x:f>
        <x:v>0</x:v>
      </x:c>
      <x:c r="T158" s="16" t="n">
        <x:f>VALUE('Raw Results'!$T$41)</x:f>
        <x:v>1.0212782000890002</x:v>
      </x:c>
      <x:c r="U158" s="16" t="n">
        <x:f>VALUE('Raw Results'!$AD$41)</x:f>
        <x:v>1.039631000137888</x:v>
      </x:c>
      <x:c r="V158" s="18" t="n">
        <x:f>IF(T158=0,0,N158/T158)</x:f>
        <x:v>0.01797042181776558</x:v>
      </x:c>
      <x:c r="W158" s="10" t="n">
        <x:f>IF(AND(G158=1,Q158=1),1,0)</x:f>
        <x:v>1</x:v>
      </x:c>
      <x:c r="X158" s="20" t="n">
        <x:f>IF(W158=1,P158-F158,"")</x:f>
        <x:v>-2</x:v>
      </x:c>
      <x:c r="Y158" s="10" t="str">
        <x:f>IF(W158=0,"excluded",IF(X158&lt;0,"repaired",IF(X158&gt;0,"entropy","tie")))</x:f>
        <x:v>repaired</x:v>
      </x:c>
      <x:c r="Z158" s="10" t="n">
        <x:f>IF(VALUE(L158)&gt;0,1,0)</x:f>
        <x:v>0</x:v>
      </x:c>
      <x:c r="AA158" s="10" t="n">
        <x:f>IF(AND('Raw Results'!$V$41="True",'Raw Results'!$W$41="True"),1,0)</x:f>
        <x:v>1</x:v>
      </x:c>
      <x:c r="AB158" s="10" t="n">
        <x:f>IF(AND(J158=0,Q158=1),1,0)</x:f>
        <x:v>0</x:v>
      </x:c>
      <x:c r="AC158" s="20" t="n">
        <x:f>P158-I158</x:f>
        <x:v>0</x:v>
      </x:c>
      <x:c r="AD158" s="10" t="n">
        <x:f>IF(AND(G158=1,J158=0),1,0)</x:f>
        <x:v>0</x:v>
      </x:c>
      <x:c r="AE158" s="10" t="n">
        <x:f>IF(AND(G158=0,Q158=1),1,0)</x:f>
        <x:v>0</x:v>
      </x:c>
    </x:row>
    <x:row r="159">
      <x:c r="A159" s="10" t="str">
        <x:f>"Circle"</x:f>
        <x:v>Circle</x:v>
      </x:c>
      <x:c r="B159" s="12" t="n">
        <x:f>VALUE('Raw Results'!$A$41)</x:f>
        <x:v>500</x:v>
      </x:c>
      <x:c r="C159" s="14" t="n">
        <x:f>VALUE('Raw Results'!$B$41)</x:f>
        <x:v>0.3</x:v>
      </x:c>
      <x:c r="D159" s="12" t="n">
        <x:f>VALUE('Raw Results'!$C$41)</x:f>
        <x:v>1</x:v>
      </x:c>
      <x:c r="E159" s="12" t="n">
        <x:f>VALUE('Raw Results'!$D$41)</x:f>
        <x:v>824905171</x:v>
      </x:c>
      <x:c r="F159" s="12" t="n">
        <x:f>VALUE('Raw Results'!$AI$41)</x:f>
        <x:v>62</x:v>
      </x:c>
      <x:c r="G159" s="12" t="n">
        <x:f>IF('Raw Results'!$AK$41="True",1,0)</x:f>
        <x:v>1</x:v>
      </x:c>
      <x:c r="H159" s="12" t="n">
        <x:f>VALUE('Raw Results'!$AN$41)</x:f>
        <x:v>394</x:v>
      </x:c>
      <x:c r="I159" s="12" t="n">
        <x:f>VALUE('Raw Results'!$AO$41)</x:f>
        <x:v>57</x:v>
      </x:c>
      <x:c r="J159" s="12" t="n">
        <x:f>IF('Raw Results'!$AQ$41="True",1,0)</x:f>
        <x:v>1</x:v>
      </x:c>
      <x:c r="K159" s="12" t="n">
        <x:f>VALUE('Raw Results'!$AT$41)</x:f>
        <x:v>0</x:v>
      </x:c>
      <x:c r="L159" s="12" t="n">
        <x:f>VALUE('Raw Results'!$AU$41)</x:f>
        <x:v>0</x:v>
      </x:c>
      <x:c r="M159" s="10" t="str">
        <x:f>'Raw Results'!$AV$41</x:f>
      </x:c>
      <x:c r="N159" s="16" t="n">
        <x:f>VALUE('Raw Results'!$AW$41)</x:f>
        <x:v>0.017883799970149994</x:v>
      </x:c>
      <x:c r="O159" s="12" t="n">
        <x:f>VALUE('Raw Results'!$AX$41)</x:f>
        <x:v>57</x:v>
      </x:c>
      <x:c r="P159" s="12" t="n">
        <x:f>VALUE('Raw Results'!$AY$41)</x:f>
        <x:v>57</x:v>
      </x:c>
      <x:c r="Q159" s="12" t="n">
        <x:f>IF('Raw Results'!$BA$41="True",1,0)</x:f>
        <x:v>1</x:v>
      </x:c>
      <x:c r="R159" s="12" t="n">
        <x:f>VALUE('Raw Results'!$BC$41)</x:f>
        <x:v>0</x:v>
      </x:c>
      <x:c r="S159" s="12" t="n">
        <x:f>VALUE('Raw Results'!$BD$41)</x:f>
        <x:v>0</x:v>
      </x:c>
      <x:c r="T159" s="16" t="n">
        <x:f>VALUE('Raw Results'!$AP$41)</x:f>
        <x:v>0.8135351999662817</x:v>
      </x:c>
      <x:c r="U159" s="16" t="n">
        <x:f>VALUE('Raw Results'!$AZ$41)</x:f>
        <x:v>0.8314189999364316</x:v>
      </x:c>
      <x:c r="V159" s="18" t="n">
        <x:f>IF(T159=0,0,N159/T159)</x:f>
        <x:v>0.02198282258824353</x:v>
      </x:c>
      <x:c r="W159" s="10" t="n">
        <x:f>IF(AND(G159=1,Q159=1),1,0)</x:f>
        <x:v>1</x:v>
      </x:c>
      <x:c r="X159" s="20" t="n">
        <x:f>IF(W159=1,P159-F159,"")</x:f>
        <x:v>-5</x:v>
      </x:c>
      <x:c r="Y159" s="10" t="str">
        <x:f>IF(W159=0,"excluded",IF(X159&lt;0,"repaired",IF(X159&gt;0,"entropy","tie")))</x:f>
        <x:v>repaired</x:v>
      </x:c>
      <x:c r="Z159" s="10" t="n">
        <x:f>IF(VALUE(L159)&gt;0,1,0)</x:f>
        <x:v>0</x:v>
      </x:c>
      <x:c r="AA159" s="10" t="n">
        <x:f>IF(AND('Raw Results'!$AR$41="True",'Raw Results'!$AS$41="True"),1,0)</x:f>
        <x:v>1</x:v>
      </x:c>
      <x:c r="AB159" s="10" t="n">
        <x:f>IF(AND(J159=0,Q159=1),1,0)</x:f>
        <x:v>0</x:v>
      </x:c>
      <x:c r="AC159" s="20" t="n">
        <x:f>P159-I159</x:f>
        <x:v>0</x:v>
      </x:c>
      <x:c r="AD159" s="10" t="n">
        <x:f>IF(AND(G159=1,J159=0),1,0)</x:f>
        <x:v>0</x:v>
      </x:c>
      <x:c r="AE159" s="10" t="n">
        <x:f>IF(AND(G159=0,Q159=1),1,0)</x:f>
        <x:v>0</x:v>
      </x:c>
    </x:row>
    <x:row r="160">
      <x:c r="A160" s="10" t="str">
        <x:f>"Zoomed Square"</x:f>
        <x:v>Zoomed Square</x:v>
      </x:c>
      <x:c r="B160" s="12" t="n">
        <x:f>VALUE('Raw Results'!$A$41)</x:f>
        <x:v>500</x:v>
      </x:c>
      <x:c r="C160" s="14" t="n">
        <x:f>VALUE('Raw Results'!$B$41)</x:f>
        <x:v>0.3</x:v>
      </x:c>
      <x:c r="D160" s="12" t="n">
        <x:f>VALUE('Raw Results'!$C$41)</x:f>
        <x:v>1</x:v>
      </x:c>
      <x:c r="E160" s="12" t="n">
        <x:f>VALUE('Raw Results'!$D$41)</x:f>
        <x:v>824905171</x:v>
      </x:c>
      <x:c r="F160" s="12" t="n">
        <x:f>VALUE('Raw Results'!$BE$41)</x:f>
        <x:v>63</x:v>
      </x:c>
      <x:c r="G160" s="12" t="n">
        <x:f>IF('Raw Results'!$BG$41="True",1,0)</x:f>
        <x:v>1</x:v>
      </x:c>
      <x:c r="H160" s="12" t="n">
        <x:f>VALUE('Raw Results'!$BJ$41)</x:f>
        <x:v>185</x:v>
      </x:c>
      <x:c r="I160" s="12" t="n">
        <x:f>VALUE('Raw Results'!$BK$41)</x:f>
        <x:v>57</x:v>
      </x:c>
      <x:c r="J160" s="12" t="n">
        <x:f>IF('Raw Results'!$BM$41="True",1,0)</x:f>
        <x:v>1</x:v>
      </x:c>
      <x:c r="K160" s="12" t="n">
        <x:f>VALUE('Raw Results'!$BP$41)</x:f>
        <x:v>0</x:v>
      </x:c>
      <x:c r="L160" s="12" t="n">
        <x:f>VALUE('Raw Results'!$BQ$41)</x:f>
        <x:v>0</x:v>
      </x:c>
      <x:c r="M160" s="10" t="str">
        <x:f>'Raw Results'!$BR$41</x:f>
      </x:c>
      <x:c r="N160" s="16" t="n">
        <x:f>VALUE('Raw Results'!$BS$41)</x:f>
        <x:v>0.01997060002759099</x:v>
      </x:c>
      <x:c r="O160" s="12" t="n">
        <x:f>VALUE('Raw Results'!$BT$41)</x:f>
        <x:v>57</x:v>
      </x:c>
      <x:c r="P160" s="12" t="n">
        <x:f>VALUE('Raw Results'!$BU$41)</x:f>
        <x:v>57</x:v>
      </x:c>
      <x:c r="Q160" s="12" t="n">
        <x:f>IF('Raw Results'!$BW$41="True",1,0)</x:f>
        <x:v>1</x:v>
      </x:c>
      <x:c r="R160" s="12" t="n">
        <x:f>VALUE('Raw Results'!$BY$41)</x:f>
        <x:v>0</x:v>
      </x:c>
      <x:c r="S160" s="12" t="n">
        <x:f>VALUE('Raw Results'!$BZ$41)</x:f>
        <x:v>0</x:v>
      </x:c>
      <x:c r="T160" s="16" t="n">
        <x:f>VALUE('Raw Results'!$BL$41)</x:f>
        <x:v>0.9042363000335172</x:v>
      </x:c>
      <x:c r="U160" s="16" t="n">
        <x:f>VALUE('Raw Results'!$BV$41)</x:f>
        <x:v>0.9242069000611082</x:v>
      </x:c>
      <x:c r="V160" s="18" t="n">
        <x:f>IF(T160=0,0,N160/T160)</x:f>
        <x:v>0.022085598672438547</x:v>
      </x:c>
      <x:c r="W160" s="10" t="n">
        <x:f>IF(AND(G160=1,Q160=1),1,0)</x:f>
        <x:v>1</x:v>
      </x:c>
      <x:c r="X160" s="20" t="n">
        <x:f>IF(W160=1,P160-F160,"")</x:f>
        <x:v>-6</x:v>
      </x:c>
      <x:c r="Y160" s="10" t="str">
        <x:f>IF(W160=0,"excluded",IF(X160&lt;0,"repaired",IF(X160&gt;0,"entropy","tie")))</x:f>
        <x:v>repaired</x:v>
      </x:c>
      <x:c r="Z160" s="10" t="n">
        <x:f>IF(VALUE(L160)&gt;0,1,0)</x:f>
        <x:v>0</x:v>
      </x:c>
      <x:c r="AA160" s="10" t="n">
        <x:f>IF(AND('Raw Results'!$BN$41="True",'Raw Results'!$BO$41="True"),1,0)</x:f>
        <x:v>1</x:v>
      </x:c>
      <x:c r="AB160" s="10" t="n">
        <x:f>IF(AND(J160=0,Q160=1),1,0)</x:f>
        <x:v>0</x:v>
      </x:c>
      <x:c r="AC160" s="20" t="n">
        <x:f>P160-I160</x:f>
        <x:v>0</x:v>
      </x:c>
      <x:c r="AD160" s="10" t="n">
        <x:f>IF(AND(G160=1,J160=0),1,0)</x:f>
        <x:v>0</x:v>
      </x:c>
      <x:c r="AE160" s="10" t="n">
        <x:f>IF(AND(G160=0,Q160=1),1,0)</x:f>
        <x:v>0</x:v>
      </x:c>
    </x:row>
    <x:row r="161">
      <x:c r="A161" s="10" t="str">
        <x:f>"ICH"</x:f>
        <x:v>ICH</x:v>
      </x:c>
      <x:c r="B161" s="12" t="n">
        <x:f>VALUE('Raw Results'!$A$41)</x:f>
        <x:v>500</x:v>
      </x:c>
      <x:c r="C161" s="14" t="n">
        <x:f>VALUE('Raw Results'!$B$41)</x:f>
        <x:v>0.3</x:v>
      </x:c>
      <x:c r="D161" s="12" t="n">
        <x:f>VALUE('Raw Results'!$C$41)</x:f>
        <x:v>1</x:v>
      </x:c>
      <x:c r="E161" s="12" t="n">
        <x:f>VALUE('Raw Results'!$D$41)</x:f>
        <x:v>824905171</x:v>
      </x:c>
      <x:c r="F161" s="12" t="n">
        <x:f>VALUE('Raw Results'!$CA$41)</x:f>
        <x:v>57</x:v>
      </x:c>
      <x:c r="G161" s="12" t="n">
        <x:f>IF('Raw Results'!$CC$41="True",1,0)</x:f>
        <x:v>1</x:v>
      </x:c>
      <x:c r="H161" s="12" t="n">
        <x:f>VALUE('Raw Results'!$CF$41)</x:f>
        <x:v>55</x:v>
      </x:c>
      <x:c r="I161" s="12" t="n">
        <x:f>VALUE('Raw Results'!$CG$41)</x:f>
        <x:v>55</x:v>
      </x:c>
      <x:c r="J161" s="12" t="n">
        <x:f>IF('Raw Results'!$CI$41="True",1,0)</x:f>
        <x:v>1</x:v>
      </x:c>
      <x:c r="K161" s="12" t="n">
        <x:f>VALUE('Raw Results'!$CL$41)</x:f>
        <x:v>0</x:v>
      </x:c>
      <x:c r="L161" s="12" t="n">
        <x:f>VALUE('Raw Results'!$CM$41)</x:f>
        <x:v>0</x:v>
      </x:c>
      <x:c r="M161" s="10" t="str">
        <x:f>'Raw Results'!$CN$41</x:f>
      </x:c>
      <x:c r="N161" s="16" t="n">
        <x:f>VALUE('Raw Results'!$CO$41)</x:f>
        <x:v>0.019710200023837388</x:v>
      </x:c>
      <x:c r="O161" s="12" t="n">
        <x:f>VALUE('Raw Results'!$CP$41)</x:f>
        <x:v>55</x:v>
      </x:c>
      <x:c r="P161" s="12" t="n">
        <x:f>VALUE('Raw Results'!$CQ$41)</x:f>
        <x:v>55</x:v>
      </x:c>
      <x:c r="Q161" s="12" t="n">
        <x:f>IF('Raw Results'!$CS$41="True",1,0)</x:f>
        <x:v>1</x:v>
      </x:c>
      <x:c r="R161" s="12" t="n">
        <x:f>VALUE('Raw Results'!$CU$41)</x:f>
        <x:v>0</x:v>
      </x:c>
      <x:c r="S161" s="12" t="n">
        <x:f>VALUE('Raw Results'!$CV$41)</x:f>
        <x:v>0</x:v>
      </x:c>
      <x:c r="T161" s="16" t="n">
        <x:f>VALUE('Raw Results'!$CH$41)</x:f>
        <x:v>19.214831999968737</x:v>
      </x:c>
      <x:c r="U161" s="16" t="n">
        <x:f>VALUE('Raw Results'!$CR$41)</x:f>
        <x:v>19.234542199992575</x:v>
      </x:c>
      <x:c r="V161" s="18" t="n">
        <x:f>IF(T161=0,0,N161/T161)</x:f>
        <x:v>0.0010257805024717081</x:v>
      </x:c>
      <x:c r="W161" s="10" t="n">
        <x:f>IF(AND(G161=1,Q161=1),1,0)</x:f>
        <x:v>1</x:v>
      </x:c>
      <x:c r="X161" s="20" t="n">
        <x:f>IF(W161=1,P161-F161,"")</x:f>
        <x:v>-2</x:v>
      </x:c>
      <x:c r="Y161" s="10" t="str">
        <x:f>IF(W161=0,"excluded",IF(X161&lt;0,"repaired",IF(X161&gt;0,"entropy","tie")))</x:f>
        <x:v>repaired</x:v>
      </x:c>
      <x:c r="Z161" s="10" t="n">
        <x:f>IF(VALUE(L161)&gt;0,1,0)</x:f>
        <x:v>0</x:v>
      </x:c>
      <x:c r="AA161" s="10" t="n">
        <x:f>IF(AND('Raw Results'!$CJ$41="True",'Raw Results'!$CK$41="True"),1,0)</x:f>
        <x:v>1</x:v>
      </x:c>
      <x:c r="AB161" s="10" t="n">
        <x:f>IF(AND(J161=0,Q161=1),1,0)</x:f>
        <x:v>0</x:v>
      </x:c>
      <x:c r="AC161" s="20" t="n">
        <x:f>P161-I161</x:f>
        <x:v>0</x:v>
      </x:c>
      <x:c r="AD161" s="10" t="n">
        <x:f>IF(AND(G161=1,J161=0),1,0)</x:f>
        <x:v>0</x:v>
      </x:c>
      <x:c r="AE161" s="10" t="n">
        <x:f>IF(AND(G161=0,Q161=1),1,0)</x:f>
        <x:v>0</x:v>
      </x:c>
    </x:row>
    <x:row r="162">
      <x:c r="A162" s="10" t="str">
        <x:f>"Grid"</x:f>
        <x:v>Grid</x:v>
      </x:c>
      <x:c r="B162" s="12" t="n">
        <x:f>VALUE('Raw Results'!$A$42)</x:f>
        <x:v>500</x:v>
      </x:c>
      <x:c r="C162" s="14" t="n">
        <x:f>VALUE('Raw Results'!$B$42)</x:f>
        <x:v>0.3</x:v>
      </x:c>
      <x:c r="D162" s="12" t="n">
        <x:f>VALUE('Raw Results'!$C$42)</x:f>
        <x:v>2</x:v>
      </x:c>
      <x:c r="E162" s="12" t="n">
        <x:f>VALUE('Raw Results'!$D$42)</x:f>
        <x:v>3448118686</x:v>
      </x:c>
      <x:c r="F162" s="12" t="n">
        <x:f>VALUE('Raw Results'!$M$42)</x:f>
        <x:v>55</x:v>
      </x:c>
      <x:c r="G162" s="12" t="n">
        <x:f>IF('Raw Results'!$O$42="True",1,0)</x:f>
        <x:v>1</x:v>
      </x:c>
      <x:c r="H162" s="12" t="n">
        <x:f>VALUE('Raw Results'!$R$42)</x:f>
        <x:v>135</x:v>
      </x:c>
      <x:c r="I162" s="12" t="n">
        <x:f>VALUE('Raw Results'!$S$42)</x:f>
        <x:v>59</x:v>
      </x:c>
      <x:c r="J162" s="12" t="n">
        <x:f>IF('Raw Results'!$U$42="True",1,0)</x:f>
        <x:v>1</x:v>
      </x:c>
      <x:c r="K162" s="12" t="n">
        <x:f>VALUE('Raw Results'!$X$42)</x:f>
        <x:v>0</x:v>
      </x:c>
      <x:c r="L162" s="12" t="n">
        <x:f>VALUE('Raw Results'!$Y$42)</x:f>
        <x:v>0</x:v>
      </x:c>
      <x:c r="M162" s="10" t="str">
        <x:f>'Raw Results'!$Z$42</x:f>
      </x:c>
      <x:c r="N162" s="16" t="n">
        <x:f>VALUE('Raw Results'!$AA$42)</x:f>
        <x:v>0.02060040005017072</x:v>
      </x:c>
      <x:c r="O162" s="12" t="n">
        <x:f>VALUE('Raw Results'!$AB$42)</x:f>
        <x:v>59</x:v>
      </x:c>
      <x:c r="P162" s="12" t="n">
        <x:f>VALUE('Raw Results'!$AC$42)</x:f>
        <x:v>59</x:v>
      </x:c>
      <x:c r="Q162" s="12" t="n">
        <x:f>IF('Raw Results'!$AE$42="True",1,0)</x:f>
        <x:v>1</x:v>
      </x:c>
      <x:c r="R162" s="12" t="n">
        <x:f>VALUE('Raw Results'!$AG$42)</x:f>
        <x:v>0</x:v>
      </x:c>
      <x:c r="S162" s="12" t="n">
        <x:f>VALUE('Raw Results'!$AH$42)</x:f>
        <x:v>0</x:v>
      </x:c>
      <x:c r="T162" s="16" t="n">
        <x:f>VALUE('Raw Results'!$T$42)</x:f>
        <x:v>1.036930299946107</x:v>
      </x:c>
      <x:c r="U162" s="16" t="n">
        <x:f>VALUE('Raw Results'!$AD$42)</x:f>
        <x:v>1.0575306999962777</x:v>
      </x:c>
      <x:c r="V162" s="18" t="n">
        <x:f>IF(T162=0,0,N162/T162)</x:f>
        <x:v>0.019866716259753812</x:v>
      </x:c>
      <x:c r="W162" s="10" t="n">
        <x:f>IF(AND(G162=1,Q162=1),1,0)</x:f>
        <x:v>1</x:v>
      </x:c>
      <x:c r="X162" s="20" t="n">
        <x:f>IF(W162=1,P162-F162,"")</x:f>
        <x:v>4</x:v>
      </x:c>
      <x:c r="Y162" s="10" t="str">
        <x:f>IF(W162=0,"excluded",IF(X162&lt;0,"repaired",IF(X162&gt;0,"entropy","tie")))</x:f>
        <x:v>entropy</x:v>
      </x:c>
      <x:c r="Z162" s="10" t="n">
        <x:f>IF(VALUE(L162)&gt;0,1,0)</x:f>
        <x:v>0</x:v>
      </x:c>
      <x:c r="AA162" s="10" t="n">
        <x:f>IF(AND('Raw Results'!$V$42="True",'Raw Results'!$W$42="True"),1,0)</x:f>
        <x:v>1</x:v>
      </x:c>
      <x:c r="AB162" s="10" t="n">
        <x:f>IF(AND(J162=0,Q162=1),1,0)</x:f>
        <x:v>0</x:v>
      </x:c>
      <x:c r="AC162" s="20" t="n">
        <x:f>P162-I162</x:f>
        <x:v>0</x:v>
      </x:c>
      <x:c r="AD162" s="10" t="n">
        <x:f>IF(AND(G162=1,J162=0),1,0)</x:f>
        <x:v>0</x:v>
      </x:c>
      <x:c r="AE162" s="10" t="n">
        <x:f>IF(AND(G162=0,Q162=1),1,0)</x:f>
        <x:v>0</x:v>
      </x:c>
    </x:row>
    <x:row r="163">
      <x:c r="A163" s="10" t="str">
        <x:f>"Circle"</x:f>
        <x:v>Circle</x:v>
      </x:c>
      <x:c r="B163" s="12" t="n">
        <x:f>VALUE('Raw Results'!$A$42)</x:f>
        <x:v>500</x:v>
      </x:c>
      <x:c r="C163" s="14" t="n">
        <x:f>VALUE('Raw Results'!$B$42)</x:f>
        <x:v>0.3</x:v>
      </x:c>
      <x:c r="D163" s="12" t="n">
        <x:f>VALUE('Raw Results'!$C$42)</x:f>
        <x:v>2</x:v>
      </x:c>
      <x:c r="E163" s="12" t="n">
        <x:f>VALUE('Raw Results'!$D$42)</x:f>
        <x:v>3448118686</x:v>
      </x:c>
      <x:c r="F163" s="12" t="n">
        <x:f>VALUE('Raw Results'!$AI$42)</x:f>
        <x:v>62</x:v>
      </x:c>
      <x:c r="G163" s="12" t="n">
        <x:f>IF('Raw Results'!$AK$42="True",1,0)</x:f>
        <x:v>1</x:v>
      </x:c>
      <x:c r="H163" s="12" t="n">
        <x:f>VALUE('Raw Results'!$AN$42)</x:f>
        <x:v>400</x:v>
      </x:c>
      <x:c r="I163" s="12" t="n">
        <x:f>VALUE('Raw Results'!$AO$42)</x:f>
        <x:v>63</x:v>
      </x:c>
      <x:c r="J163" s="12" t="n">
        <x:f>IF('Raw Results'!$AQ$42="True",1,0)</x:f>
        <x:v>1</x:v>
      </x:c>
      <x:c r="K163" s="12" t="n">
        <x:f>VALUE('Raw Results'!$AT$42)</x:f>
        <x:v>0</x:v>
      </x:c>
      <x:c r="L163" s="12" t="n">
        <x:f>VALUE('Raw Results'!$AU$42)</x:f>
        <x:v>0</x:v>
      </x:c>
      <x:c r="M163" s="10" t="str">
        <x:f>'Raw Results'!$AV$42</x:f>
      </x:c>
      <x:c r="N163" s="16" t="n">
        <x:f>VALUE('Raw Results'!$AW$42)</x:f>
        <x:v>0.02304749994073063</x:v>
      </x:c>
      <x:c r="O163" s="12" t="n">
        <x:f>VALUE('Raw Results'!$AX$42)</x:f>
        <x:v>63</x:v>
      </x:c>
      <x:c r="P163" s="12" t="n">
        <x:f>VALUE('Raw Results'!$AY$42)</x:f>
        <x:v>63</x:v>
      </x:c>
      <x:c r="Q163" s="12" t="n">
        <x:f>IF('Raw Results'!$BA$42="True",1,0)</x:f>
        <x:v>1</x:v>
      </x:c>
      <x:c r="R163" s="12" t="n">
        <x:f>VALUE('Raw Results'!$BC$42)</x:f>
        <x:v>0</x:v>
      </x:c>
      <x:c r="S163" s="12" t="n">
        <x:f>VALUE('Raw Results'!$BD$42)</x:f>
        <x:v>0</x:v>
      </x:c>
      <x:c r="T163" s="16" t="n">
        <x:f>VALUE('Raw Results'!$AP$42)</x:f>
        <x:v>1.1647560000419617</x:v>
      </x:c>
      <x:c r="U163" s="16" t="n">
        <x:f>VALUE('Raw Results'!$AZ$42)</x:f>
        <x:v>1.1878034999826923</x:v>
      </x:c>
      <x:c r="V163" s="18" t="n">
        <x:f>IF(T163=0,0,N163/T163)</x:f>
        <x:v>0.019787406066077633</x:v>
      </x:c>
      <x:c r="W163" s="10" t="n">
        <x:f>IF(AND(G163=1,Q163=1),1,0)</x:f>
        <x:v>1</x:v>
      </x:c>
      <x:c r="X163" s="20" t="n">
        <x:f>IF(W163=1,P163-F163,"")</x:f>
        <x:v>1</x:v>
      </x:c>
      <x:c r="Y163" s="10" t="str">
        <x:f>IF(W163=0,"excluded",IF(X163&lt;0,"repaired",IF(X163&gt;0,"entropy","tie")))</x:f>
        <x:v>entropy</x:v>
      </x:c>
      <x:c r="Z163" s="10" t="n">
        <x:f>IF(VALUE(L163)&gt;0,1,0)</x:f>
        <x:v>0</x:v>
      </x:c>
      <x:c r="AA163" s="10" t="n">
        <x:f>IF(AND('Raw Results'!$AR$42="True",'Raw Results'!$AS$42="True"),1,0)</x:f>
        <x:v>1</x:v>
      </x:c>
      <x:c r="AB163" s="10" t="n">
        <x:f>IF(AND(J163=0,Q163=1),1,0)</x:f>
        <x:v>0</x:v>
      </x:c>
      <x:c r="AC163" s="20" t="n">
        <x:f>P163-I163</x:f>
        <x:v>0</x:v>
      </x:c>
      <x:c r="AD163" s="10" t="n">
        <x:f>IF(AND(G163=1,J163=0),1,0)</x:f>
        <x:v>0</x:v>
      </x:c>
      <x:c r="AE163" s="10" t="n">
        <x:f>IF(AND(G163=0,Q163=1),1,0)</x:f>
        <x:v>0</x:v>
      </x:c>
    </x:row>
    <x:row r="164">
      <x:c r="A164" s="10" t="str">
        <x:f>"Zoomed Square"</x:f>
        <x:v>Zoomed Square</x:v>
      </x:c>
      <x:c r="B164" s="12" t="n">
        <x:f>VALUE('Raw Results'!$A$42)</x:f>
        <x:v>500</x:v>
      </x:c>
      <x:c r="C164" s="14" t="n">
        <x:f>VALUE('Raw Results'!$B$42)</x:f>
        <x:v>0.3</x:v>
      </x:c>
      <x:c r="D164" s="12" t="n">
        <x:f>VALUE('Raw Results'!$C$42)</x:f>
        <x:v>2</x:v>
      </x:c>
      <x:c r="E164" s="12" t="n">
        <x:f>VALUE('Raw Results'!$D$42)</x:f>
        <x:v>3448118686</x:v>
      </x:c>
      <x:c r="F164" s="12" t="n">
        <x:f>VALUE('Raw Results'!$BE$42)</x:f>
        <x:v>57</x:v>
      </x:c>
      <x:c r="G164" s="12" t="n">
        <x:f>IF('Raw Results'!$BG$42="True",1,0)</x:f>
        <x:v>1</x:v>
      </x:c>
      <x:c r="H164" s="12" t="n">
        <x:f>VALUE('Raw Results'!$BJ$42)</x:f>
        <x:v>247</x:v>
      </x:c>
      <x:c r="I164" s="12" t="n">
        <x:f>VALUE('Raw Results'!$BK$42)</x:f>
        <x:v>61</x:v>
      </x:c>
      <x:c r="J164" s="12" t="n">
        <x:f>IF('Raw Results'!$BM$42="True",1,0)</x:f>
        <x:v>1</x:v>
      </x:c>
      <x:c r="K164" s="12" t="n">
        <x:f>VALUE('Raw Results'!$BP$42)</x:f>
        <x:v>0</x:v>
      </x:c>
      <x:c r="L164" s="12" t="n">
        <x:f>VALUE('Raw Results'!$BQ$42)</x:f>
        <x:v>0</x:v>
      </x:c>
      <x:c r="M164" s="10" t="str">
        <x:f>'Raw Results'!$BR$42</x:f>
      </x:c>
      <x:c r="N164" s="16" t="n">
        <x:f>VALUE('Raw Results'!$BS$42)</x:f>
        <x:v>0.02707179996650666</x:v>
      </x:c>
      <x:c r="O164" s="12" t="n">
        <x:f>VALUE('Raw Results'!$BT$42)</x:f>
        <x:v>61</x:v>
      </x:c>
      <x:c r="P164" s="12" t="n">
        <x:f>VALUE('Raw Results'!$BU$42)</x:f>
        <x:v>61</x:v>
      </x:c>
      <x:c r="Q164" s="12" t="n">
        <x:f>IF('Raw Results'!$BW$42="True",1,0)</x:f>
        <x:v>1</x:v>
      </x:c>
      <x:c r="R164" s="12" t="n">
        <x:f>VALUE('Raw Results'!$BY$42)</x:f>
        <x:v>0</x:v>
      </x:c>
      <x:c r="S164" s="12" t="n">
        <x:f>VALUE('Raw Results'!$BZ$42)</x:f>
        <x:v>0</x:v>
      </x:c>
      <x:c r="T164" s="16" t="n">
        <x:f>VALUE('Raw Results'!$BL$42)</x:f>
        <x:v>1.379039999912493</x:v>
      </x:c>
      <x:c r="U164" s="16" t="n">
        <x:f>VALUE('Raw Results'!$BV$42)</x:f>
        <x:v>1.4061117998789996</x:v>
      </x:c>
      <x:c r="V164" s="18" t="n">
        <x:f>IF(T164=0,0,N164/T164)</x:f>
        <x:v>0.019630902633879004</x:v>
      </x:c>
      <x:c r="W164" s="10" t="n">
        <x:f>IF(AND(G164=1,Q164=1),1,0)</x:f>
        <x:v>1</x:v>
      </x:c>
      <x:c r="X164" s="20" t="n">
        <x:f>IF(W164=1,P164-F164,"")</x:f>
        <x:v>4</x:v>
      </x:c>
      <x:c r="Y164" s="10" t="str">
        <x:f>IF(W164=0,"excluded",IF(X164&lt;0,"repaired",IF(X164&gt;0,"entropy","tie")))</x:f>
        <x:v>entropy</x:v>
      </x:c>
      <x:c r="Z164" s="10" t="n">
        <x:f>IF(VALUE(L164)&gt;0,1,0)</x:f>
        <x:v>0</x:v>
      </x:c>
      <x:c r="AA164" s="10" t="n">
        <x:f>IF(AND('Raw Results'!$BN$42="True",'Raw Results'!$BO$42="True"),1,0)</x:f>
        <x:v>1</x:v>
      </x:c>
      <x:c r="AB164" s="10" t="n">
        <x:f>IF(AND(J164=0,Q164=1),1,0)</x:f>
        <x:v>0</x:v>
      </x:c>
      <x:c r="AC164" s="20" t="n">
        <x:f>P164-I164</x:f>
        <x:v>0</x:v>
      </x:c>
      <x:c r="AD164" s="10" t="n">
        <x:f>IF(AND(G164=1,J164=0),1,0)</x:f>
        <x:v>0</x:v>
      </x:c>
      <x:c r="AE164" s="10" t="n">
        <x:f>IF(AND(G164=0,Q164=1),1,0)</x:f>
        <x:v>0</x:v>
      </x:c>
    </x:row>
    <x:row r="165">
      <x:c r="A165" s="10" t="str">
        <x:f>"ICH"</x:f>
        <x:v>ICH</x:v>
      </x:c>
      <x:c r="B165" s="12" t="n">
        <x:f>VALUE('Raw Results'!$A$42)</x:f>
        <x:v>500</x:v>
      </x:c>
      <x:c r="C165" s="14" t="n">
        <x:f>VALUE('Raw Results'!$B$42)</x:f>
        <x:v>0.3</x:v>
      </x:c>
      <x:c r="D165" s="12" t="n">
        <x:f>VALUE('Raw Results'!$C$42)</x:f>
        <x:v>2</x:v>
      </x:c>
      <x:c r="E165" s="12" t="n">
        <x:f>VALUE('Raw Results'!$D$42)</x:f>
        <x:v>3448118686</x:v>
      </x:c>
      <x:c r="F165" s="12" t="n">
        <x:f>VALUE('Raw Results'!$CA$42)</x:f>
        <x:v>54</x:v>
      </x:c>
      <x:c r="G165" s="12" t="n">
        <x:f>IF('Raw Results'!$CC$42="True",1,0)</x:f>
        <x:v>1</x:v>
      </x:c>
      <x:c r="H165" s="12" t="n">
        <x:f>VALUE('Raw Results'!$CF$42)</x:f>
        <x:v>57</x:v>
      </x:c>
      <x:c r="I165" s="12" t="n">
        <x:f>VALUE('Raw Results'!$CG$42)</x:f>
        <x:v>57</x:v>
      </x:c>
      <x:c r="J165" s="12" t="n">
        <x:f>IF('Raw Results'!$CI$42="True",1,0)</x:f>
        <x:v>1</x:v>
      </x:c>
      <x:c r="K165" s="12" t="n">
        <x:f>VALUE('Raw Results'!$CL$42)</x:f>
        <x:v>0</x:v>
      </x:c>
      <x:c r="L165" s="12" t="n">
        <x:f>VALUE('Raw Results'!$CM$42)</x:f>
        <x:v>0</x:v>
      </x:c>
      <x:c r="M165" s="10" t="str">
        <x:f>'Raw Results'!$CN$42</x:f>
      </x:c>
      <x:c r="N165" s="16" t="n">
        <x:f>VALUE('Raw Results'!$CO$42)</x:f>
        <x:v>0.019972299924120307</x:v>
      </x:c>
      <x:c r="O165" s="12" t="n">
        <x:f>VALUE('Raw Results'!$CP$42)</x:f>
        <x:v>57</x:v>
      </x:c>
      <x:c r="P165" s="12" t="n">
        <x:f>VALUE('Raw Results'!$CQ$42)</x:f>
        <x:v>57</x:v>
      </x:c>
      <x:c r="Q165" s="12" t="n">
        <x:f>IF('Raw Results'!$CS$42="True",1,0)</x:f>
        <x:v>1</x:v>
      </x:c>
      <x:c r="R165" s="12" t="n">
        <x:f>VALUE('Raw Results'!$CU$42)</x:f>
        <x:v>0</x:v>
      </x:c>
      <x:c r="S165" s="12" t="n">
        <x:f>VALUE('Raw Results'!$CV$42)</x:f>
        <x:v>0</x:v>
      </x:c>
      <x:c r="T165" s="16" t="n">
        <x:f>VALUE('Raw Results'!$CH$42)</x:f>
        <x:v>19.357958799926564</x:v>
      </x:c>
      <x:c r="U165" s="16" t="n">
        <x:f>VALUE('Raw Results'!$CR$42)</x:f>
        <x:v>19.377931099850684</x:v>
      </x:c>
      <x:c r="V165" s="18" t="n">
        <x:f>IF(T165=0,0,N165/T165)</x:f>
        <x:v>0.001031735842117614</x:v>
      </x:c>
      <x:c r="W165" s="10" t="n">
        <x:f>IF(AND(G165=1,Q165=1),1,0)</x:f>
        <x:v>1</x:v>
      </x:c>
      <x:c r="X165" s="20" t="n">
        <x:f>IF(W165=1,P165-F165,"")</x:f>
        <x:v>3</x:v>
      </x:c>
      <x:c r="Y165" s="10" t="str">
        <x:f>IF(W165=0,"excluded",IF(X165&lt;0,"repaired",IF(X165&gt;0,"entropy","tie")))</x:f>
        <x:v>entropy</x:v>
      </x:c>
      <x:c r="Z165" s="10" t="n">
        <x:f>IF(VALUE(L165)&gt;0,1,0)</x:f>
        <x:v>0</x:v>
      </x:c>
      <x:c r="AA165" s="10" t="n">
        <x:f>IF(AND('Raw Results'!$CJ$42="True",'Raw Results'!$CK$42="True"),1,0)</x:f>
        <x:v>1</x:v>
      </x:c>
      <x:c r="AB165" s="10" t="n">
        <x:f>IF(AND(J165=0,Q165=1),1,0)</x:f>
        <x:v>0</x:v>
      </x:c>
      <x:c r="AC165" s="20" t="n">
        <x:f>P165-I165</x:f>
        <x:v>0</x:v>
      </x:c>
      <x:c r="AD165" s="10" t="n">
        <x:f>IF(AND(G165=1,J165=0),1,0)</x:f>
        <x:v>0</x:v>
      </x:c>
      <x:c r="AE165" s="10" t="n">
        <x:f>IF(AND(G165=0,Q165=1),1,0)</x:f>
        <x:v>0</x:v>
      </x:c>
    </x:row>
    <x:row r="166">
      <x:c r="A166" s="10" t="str">
        <x:f>"Grid"</x:f>
        <x:v>Grid</x:v>
      </x:c>
      <x:c r="B166" s="12" t="n">
        <x:f>VALUE('Raw Results'!$A$43)</x:f>
        <x:v>500</x:v>
      </x:c>
      <x:c r="C166" s="14" t="n">
        <x:f>VALUE('Raw Results'!$B$43)</x:f>
        <x:v>0.3</x:v>
      </x:c>
      <x:c r="D166" s="12" t="n">
        <x:f>VALUE('Raw Results'!$C$43)</x:f>
        <x:v>3</x:v>
      </x:c>
      <x:c r="E166" s="12" t="n">
        <x:f>VALUE('Raw Results'!$D$43)</x:f>
        <x:v>2826867522</x:v>
      </x:c>
      <x:c r="F166" s="12" t="n">
        <x:f>VALUE('Raw Results'!$M$43)</x:f>
        <x:v>65</x:v>
      </x:c>
      <x:c r="G166" s="12" t="n">
        <x:f>IF('Raw Results'!$O$43="True",1,0)</x:f>
        <x:v>1</x:v>
      </x:c>
      <x:c r="H166" s="12" t="n">
        <x:f>VALUE('Raw Results'!$R$43)</x:f>
        <x:v>132</x:v>
      </x:c>
      <x:c r="I166" s="12" t="n">
        <x:f>VALUE('Raw Results'!$S$43)</x:f>
        <x:v>67</x:v>
      </x:c>
      <x:c r="J166" s="12" t="n">
        <x:f>IF('Raw Results'!$U$43="True",1,0)</x:f>
        <x:v>1</x:v>
      </x:c>
      <x:c r="K166" s="12" t="n">
        <x:f>VALUE('Raw Results'!$X$43)</x:f>
        <x:v>0</x:v>
      </x:c>
      <x:c r="L166" s="12" t="n">
        <x:f>VALUE('Raw Results'!$Y$43)</x:f>
        <x:v>0</x:v>
      </x:c>
      <x:c r="M166" s="10" t="str">
        <x:f>'Raw Results'!$Z$43</x:f>
      </x:c>
      <x:c r="N166" s="16" t="n">
        <x:f>VALUE('Raw Results'!$AA$43)</x:f>
        <x:v>0.03180339990649372</x:v>
      </x:c>
      <x:c r="O166" s="12" t="n">
        <x:f>VALUE('Raw Results'!$AB$43)</x:f>
        <x:v>67</x:v>
      </x:c>
      <x:c r="P166" s="12" t="n">
        <x:f>VALUE('Raw Results'!$AC$43)</x:f>
        <x:v>67</x:v>
      </x:c>
      <x:c r="Q166" s="12" t="n">
        <x:f>IF('Raw Results'!$AE$43="True",1,0)</x:f>
        <x:v>1</x:v>
      </x:c>
      <x:c r="R166" s="12" t="n">
        <x:f>VALUE('Raw Results'!$AG$43)</x:f>
        <x:v>0</x:v>
      </x:c>
      <x:c r="S166" s="12" t="n">
        <x:f>VALUE('Raw Results'!$AH$43)</x:f>
        <x:v>0</x:v>
      </x:c>
      <x:c r="T166" s="16" t="n">
        <x:f>VALUE('Raw Results'!$T$43)</x:f>
        <x:v>1.0461113000055775</x:v>
      </x:c>
      <x:c r="U166" s="16" t="n">
        <x:f>VALUE('Raw Results'!$AD$43)</x:f>
        <x:v>1.0779146999120712</x:v>
      </x:c>
      <x:c r="V166" s="18" t="n">
        <x:f>IF(T166=0,0,N166/T166)</x:f>
        <x:v>0.0304015451380022</x:v>
      </x:c>
      <x:c r="W166" s="10" t="n">
        <x:f>IF(AND(G166=1,Q166=1),1,0)</x:f>
        <x:v>1</x:v>
      </x:c>
      <x:c r="X166" s="20" t="n">
        <x:f>IF(W166=1,P166-F166,"")</x:f>
        <x:v>2</x:v>
      </x:c>
      <x:c r="Y166" s="10" t="str">
        <x:f>IF(W166=0,"excluded",IF(X166&lt;0,"repaired",IF(X166&gt;0,"entropy","tie")))</x:f>
        <x:v>entropy</x:v>
      </x:c>
      <x:c r="Z166" s="10" t="n">
        <x:f>IF(VALUE(L166)&gt;0,1,0)</x:f>
        <x:v>0</x:v>
      </x:c>
      <x:c r="AA166" s="10" t="n">
        <x:f>IF(AND('Raw Results'!$V$43="True",'Raw Results'!$W$43="True"),1,0)</x:f>
        <x:v>1</x:v>
      </x:c>
      <x:c r="AB166" s="10" t="n">
        <x:f>IF(AND(J166=0,Q166=1),1,0)</x:f>
        <x:v>0</x:v>
      </x:c>
      <x:c r="AC166" s="20" t="n">
        <x:f>P166-I166</x:f>
        <x:v>0</x:v>
      </x:c>
      <x:c r="AD166" s="10" t="n">
        <x:f>IF(AND(G166=1,J166=0),1,0)</x:f>
        <x:v>0</x:v>
      </x:c>
      <x:c r="AE166" s="10" t="n">
        <x:f>IF(AND(G166=0,Q166=1),1,0)</x:f>
        <x:v>0</x:v>
      </x:c>
    </x:row>
    <x:row r="167">
      <x:c r="A167" s="10" t="str">
        <x:f>"Circle"</x:f>
        <x:v>Circle</x:v>
      </x:c>
      <x:c r="B167" s="12" t="n">
        <x:f>VALUE('Raw Results'!$A$43)</x:f>
        <x:v>500</x:v>
      </x:c>
      <x:c r="C167" s="14" t="n">
        <x:f>VALUE('Raw Results'!$B$43)</x:f>
        <x:v>0.3</x:v>
      </x:c>
      <x:c r="D167" s="12" t="n">
        <x:f>VALUE('Raw Results'!$C$43)</x:f>
        <x:v>3</x:v>
      </x:c>
      <x:c r="E167" s="12" t="n">
        <x:f>VALUE('Raw Results'!$D$43)</x:f>
        <x:v>2826867522</x:v>
      </x:c>
      <x:c r="F167" s="12" t="n">
        <x:f>VALUE('Raw Results'!$AI$43)</x:f>
        <x:v>69</x:v>
      </x:c>
      <x:c r="G167" s="12" t="n">
        <x:f>IF('Raw Results'!$AK$43="True",1,0)</x:f>
        <x:v>1</x:v>
      </x:c>
      <x:c r="H167" s="12" t="n">
        <x:f>VALUE('Raw Results'!$AN$43)</x:f>
        <x:v>431</x:v>
      </x:c>
      <x:c r="I167" s="12" t="n">
        <x:f>VALUE('Raw Results'!$AO$43)</x:f>
        <x:v>72</x:v>
      </x:c>
      <x:c r="J167" s="12" t="n">
        <x:f>IF('Raw Results'!$AQ$43="True",1,0)</x:f>
        <x:v>1</x:v>
      </x:c>
      <x:c r="K167" s="12" t="n">
        <x:f>VALUE('Raw Results'!$AT$43)</x:f>
        <x:v>0</x:v>
      </x:c>
      <x:c r="L167" s="12" t="n">
        <x:f>VALUE('Raw Results'!$AU$43)</x:f>
        <x:v>0</x:v>
      </x:c>
      <x:c r="M167" s="10" t="str">
        <x:f>'Raw Results'!$AV$43</x:f>
      </x:c>
      <x:c r="N167" s="16" t="n">
        <x:f>VALUE('Raw Results'!$AW$43)</x:f>
        <x:v>0.020775599987246096</x:v>
      </x:c>
      <x:c r="O167" s="12" t="n">
        <x:f>VALUE('Raw Results'!$AX$43)</x:f>
        <x:v>72</x:v>
      </x:c>
      <x:c r="P167" s="12" t="n">
        <x:f>VALUE('Raw Results'!$AY$43)</x:f>
        <x:v>72</x:v>
      </x:c>
      <x:c r="Q167" s="12" t="n">
        <x:f>IF('Raw Results'!$BA$43="True",1,0)</x:f>
        <x:v>1</x:v>
      </x:c>
      <x:c r="R167" s="12" t="n">
        <x:f>VALUE('Raw Results'!$BC$43)</x:f>
        <x:v>0</x:v>
      </x:c>
      <x:c r="S167" s="12" t="n">
        <x:f>VALUE('Raw Results'!$BD$43)</x:f>
        <x:v>0</x:v>
      </x:c>
      <x:c r="T167" s="16" t="n">
        <x:f>VALUE('Raw Results'!$AP$43)</x:f>
        <x:v>1.0342629000078887</x:v>
      </x:c>
      <x:c r="U167" s="16" t="n">
        <x:f>VALUE('Raw Results'!$AZ$43)</x:f>
        <x:v>1.0550384999951348</x:v>
      </x:c>
      <x:c r="V167" s="18" t="n">
        <x:f>IF(T167=0,0,N167/T167)</x:f>
        <x:v>0.020087349151833286</x:v>
      </x:c>
      <x:c r="W167" s="10" t="n">
        <x:f>IF(AND(G167=1,Q167=1),1,0)</x:f>
        <x:v>1</x:v>
      </x:c>
      <x:c r="X167" s="20" t="n">
        <x:f>IF(W167=1,P167-F167,"")</x:f>
        <x:v>3</x:v>
      </x:c>
      <x:c r="Y167" s="10" t="str">
        <x:f>IF(W167=0,"excluded",IF(X167&lt;0,"repaired",IF(X167&gt;0,"entropy","tie")))</x:f>
        <x:v>entropy</x:v>
      </x:c>
      <x:c r="Z167" s="10" t="n">
        <x:f>IF(VALUE(L167)&gt;0,1,0)</x:f>
        <x:v>0</x:v>
      </x:c>
      <x:c r="AA167" s="10" t="n">
        <x:f>IF(AND('Raw Results'!$AR$43="True",'Raw Results'!$AS$43="True"),1,0)</x:f>
        <x:v>1</x:v>
      </x:c>
      <x:c r="AB167" s="10" t="n">
        <x:f>IF(AND(J167=0,Q167=1),1,0)</x:f>
        <x:v>0</x:v>
      </x:c>
      <x:c r="AC167" s="20" t="n">
        <x:f>P167-I167</x:f>
        <x:v>0</x:v>
      </x:c>
      <x:c r="AD167" s="10" t="n">
        <x:f>IF(AND(G167=1,J167=0),1,0)</x:f>
        <x:v>0</x:v>
      </x:c>
      <x:c r="AE167" s="10" t="n">
        <x:f>IF(AND(G167=0,Q167=1),1,0)</x:f>
        <x:v>0</x:v>
      </x:c>
    </x:row>
    <x:row r="168">
      <x:c r="A168" s="10" t="str">
        <x:f>"Zoomed Square"</x:f>
        <x:v>Zoomed Square</x:v>
      </x:c>
      <x:c r="B168" s="12" t="n">
        <x:f>VALUE('Raw Results'!$A$43)</x:f>
        <x:v>500</x:v>
      </x:c>
      <x:c r="C168" s="14" t="n">
        <x:f>VALUE('Raw Results'!$B$43)</x:f>
        <x:v>0.3</x:v>
      </x:c>
      <x:c r="D168" s="12" t="n">
        <x:f>VALUE('Raw Results'!$C$43)</x:f>
        <x:v>3</x:v>
      </x:c>
      <x:c r="E168" s="12" t="n">
        <x:f>VALUE('Raw Results'!$D$43)</x:f>
        <x:v>2826867522</x:v>
      </x:c>
      <x:c r="F168" s="12" t="n">
        <x:f>VALUE('Raw Results'!$BE$43)</x:f>
        <x:v>67</x:v>
      </x:c>
      <x:c r="G168" s="12" t="n">
        <x:f>IF('Raw Results'!$BG$43="True",1,0)</x:f>
        <x:v>1</x:v>
      </x:c>
      <x:c r="H168" s="12" t="n">
        <x:f>VALUE('Raw Results'!$BJ$43)</x:f>
        <x:v>244</x:v>
      </x:c>
      <x:c r="I168" s="12" t="n">
        <x:f>VALUE('Raw Results'!$BK$43)</x:f>
        <x:v>66</x:v>
      </x:c>
      <x:c r="J168" s="12" t="n">
        <x:f>IF('Raw Results'!$BM$43="True",1,0)</x:f>
        <x:v>1</x:v>
      </x:c>
      <x:c r="K168" s="12" t="n">
        <x:f>VALUE('Raw Results'!$BP$43)</x:f>
        <x:v>0</x:v>
      </x:c>
      <x:c r="L168" s="12" t="n">
        <x:f>VALUE('Raw Results'!$BQ$43)</x:f>
        <x:v>0</x:v>
      </x:c>
      <x:c r="M168" s="10" t="str">
        <x:f>'Raw Results'!$BR$43</x:f>
      </x:c>
      <x:c r="N168" s="16" t="n">
        <x:f>VALUE('Raw Results'!$BS$43)</x:f>
        <x:v>0.019617400015704334</x:v>
      </x:c>
      <x:c r="O168" s="12" t="n">
        <x:f>VALUE('Raw Results'!$BT$43)</x:f>
        <x:v>66</x:v>
      </x:c>
      <x:c r="P168" s="12" t="n">
        <x:f>VALUE('Raw Results'!$BU$43)</x:f>
        <x:v>66</x:v>
      </x:c>
      <x:c r="Q168" s="12" t="n">
        <x:f>IF('Raw Results'!$BW$43="True",1,0)</x:f>
        <x:v>1</x:v>
      </x:c>
      <x:c r="R168" s="12" t="n">
        <x:f>VALUE('Raw Results'!$BY$43)</x:f>
        <x:v>0</x:v>
      </x:c>
      <x:c r="S168" s="12" t="n">
        <x:f>VALUE('Raw Results'!$BZ$43)</x:f>
        <x:v>0</x:v>
      </x:c>
      <x:c r="T168" s="16" t="n">
        <x:f>VALUE('Raw Results'!$BL$43)</x:f>
        <x:v>1.0067734000040218</x:v>
      </x:c>
      <x:c r="U168" s="16" t="n">
        <x:f>VALUE('Raw Results'!$BV$43)</x:f>
        <x:v>1.0263908000197262</x:v>
      </x:c>
      <x:c r="V168" s="18" t="n">
        <x:f>IF(T168=0,0,N168/T168)</x:f>
        <x:v>0.01948541748880728</x:v>
      </x:c>
      <x:c r="W168" s="10" t="n">
        <x:f>IF(AND(G168=1,Q168=1),1,0)</x:f>
        <x:v>1</x:v>
      </x:c>
      <x:c r="X168" s="20" t="n">
        <x:f>IF(W168=1,P168-F168,"")</x:f>
        <x:v>-1</x:v>
      </x:c>
      <x:c r="Y168" s="10" t="str">
        <x:f>IF(W168=0,"excluded",IF(X168&lt;0,"repaired",IF(X168&gt;0,"entropy","tie")))</x:f>
        <x:v>repaired</x:v>
      </x:c>
      <x:c r="Z168" s="10" t="n">
        <x:f>IF(VALUE(L168)&gt;0,1,0)</x:f>
        <x:v>0</x:v>
      </x:c>
      <x:c r="AA168" s="10" t="n">
        <x:f>IF(AND('Raw Results'!$BN$43="True",'Raw Results'!$BO$43="True"),1,0)</x:f>
        <x:v>1</x:v>
      </x:c>
      <x:c r="AB168" s="10" t="n">
        <x:f>IF(AND(J168=0,Q168=1),1,0)</x:f>
        <x:v>0</x:v>
      </x:c>
      <x:c r="AC168" s="20" t="n">
        <x:f>P168-I168</x:f>
        <x:v>0</x:v>
      </x:c>
      <x:c r="AD168" s="10" t="n">
        <x:f>IF(AND(G168=1,J168=0),1,0)</x:f>
        <x:v>0</x:v>
      </x:c>
      <x:c r="AE168" s="10" t="n">
        <x:f>IF(AND(G168=0,Q168=1),1,0)</x:f>
        <x:v>0</x:v>
      </x:c>
    </x:row>
    <x:row r="169">
      <x:c r="A169" s="10" t="str">
        <x:f>"ICH"</x:f>
        <x:v>ICH</x:v>
      </x:c>
      <x:c r="B169" s="12" t="n">
        <x:f>VALUE('Raw Results'!$A$43)</x:f>
        <x:v>500</x:v>
      </x:c>
      <x:c r="C169" s="14" t="n">
        <x:f>VALUE('Raw Results'!$B$43)</x:f>
        <x:v>0.3</x:v>
      </x:c>
      <x:c r="D169" s="12" t="n">
        <x:f>VALUE('Raw Results'!$C$43)</x:f>
        <x:v>3</x:v>
      </x:c>
      <x:c r="E169" s="12" t="n">
        <x:f>VALUE('Raw Results'!$D$43)</x:f>
        <x:v>2826867522</x:v>
      </x:c>
      <x:c r="F169" s="12" t="n">
        <x:f>VALUE('Raw Results'!$CA$43)</x:f>
        <x:v>62</x:v>
      </x:c>
      <x:c r="G169" s="12" t="n">
        <x:f>IF('Raw Results'!$CC$43="True",1,0)</x:f>
        <x:v>1</x:v>
      </x:c>
      <x:c r="H169" s="12" t="n">
        <x:f>VALUE('Raw Results'!$CF$43)</x:f>
        <x:v>60</x:v>
      </x:c>
      <x:c r="I169" s="12" t="n">
        <x:f>VALUE('Raw Results'!$CG$43)</x:f>
        <x:v>60</x:v>
      </x:c>
      <x:c r="J169" s="12" t="n">
        <x:f>IF('Raw Results'!$CI$43="True",1,0)</x:f>
        <x:v>1</x:v>
      </x:c>
      <x:c r="K169" s="12" t="n">
        <x:f>VALUE('Raw Results'!$CL$43)</x:f>
        <x:v>0</x:v>
      </x:c>
      <x:c r="L169" s="12" t="n">
        <x:f>VALUE('Raw Results'!$CM$43)</x:f>
        <x:v>0</x:v>
      </x:c>
      <x:c r="M169" s="10" t="str">
        <x:f>'Raw Results'!$CN$43</x:f>
      </x:c>
      <x:c r="N169" s="16" t="n">
        <x:f>VALUE('Raw Results'!$CO$43)</x:f>
        <x:v>0.021497300011105835</x:v>
      </x:c>
      <x:c r="O169" s="12" t="n">
        <x:f>VALUE('Raw Results'!$CP$43)</x:f>
        <x:v>60</x:v>
      </x:c>
      <x:c r="P169" s="12" t="n">
        <x:f>VALUE('Raw Results'!$CQ$43)</x:f>
        <x:v>60</x:v>
      </x:c>
      <x:c r="Q169" s="12" t="n">
        <x:f>IF('Raw Results'!$CS$43="True",1,0)</x:f>
        <x:v>1</x:v>
      </x:c>
      <x:c r="R169" s="12" t="n">
        <x:f>VALUE('Raw Results'!$CU$43)</x:f>
        <x:v>0</x:v>
      </x:c>
      <x:c r="S169" s="12" t="n">
        <x:f>VALUE('Raw Results'!$CV$43)</x:f>
        <x:v>0</x:v>
      </x:c>
      <x:c r="T169" s="16" t="n">
        <x:f>VALUE('Raw Results'!$CH$43)</x:f>
        <x:v>18.02867479994893</x:v>
      </x:c>
      <x:c r="U169" s="16" t="n">
        <x:f>VALUE('Raw Results'!$CR$43)</x:f>
        <x:v>18.050172099960037</x:v>
      </x:c>
      <x:c r="V169" s="18" t="n">
        <x:f>IF(T169=0,0,N169/T169)</x:f>
        <x:v>0.0011923949069826657</x:v>
      </x:c>
      <x:c r="W169" s="10" t="n">
        <x:f>IF(AND(G169=1,Q169=1),1,0)</x:f>
        <x:v>1</x:v>
      </x:c>
      <x:c r="X169" s="20" t="n">
        <x:f>IF(W169=1,P169-F169,"")</x:f>
        <x:v>-2</x:v>
      </x:c>
      <x:c r="Y169" s="10" t="str">
        <x:f>IF(W169=0,"excluded",IF(X169&lt;0,"repaired",IF(X169&gt;0,"entropy","tie")))</x:f>
        <x:v>repaired</x:v>
      </x:c>
      <x:c r="Z169" s="10" t="n">
        <x:f>IF(VALUE(L169)&gt;0,1,0)</x:f>
        <x:v>0</x:v>
      </x:c>
      <x:c r="AA169" s="10" t="n">
        <x:f>IF(AND('Raw Results'!$CJ$43="True",'Raw Results'!$CK$43="True"),1,0)</x:f>
        <x:v>1</x:v>
      </x:c>
      <x:c r="AB169" s="10" t="n">
        <x:f>IF(AND(J169=0,Q169=1),1,0)</x:f>
        <x:v>0</x:v>
      </x:c>
      <x:c r="AC169" s="20" t="n">
        <x:f>P169-I169</x:f>
        <x:v>0</x:v>
      </x:c>
      <x:c r="AD169" s="10" t="n">
        <x:f>IF(AND(G169=1,J169=0),1,0)</x:f>
        <x:v>0</x:v>
      </x:c>
      <x:c r="AE169" s="10" t="n">
        <x:f>IF(AND(G169=0,Q169=1),1,0)</x:f>
        <x:v>0</x:v>
      </x:c>
    </x:row>
    <x:row r="170">
      <x:c r="A170" s="10" t="str">
        <x:f>"Grid"</x:f>
        <x:v>Grid</x:v>
      </x:c>
      <x:c r="B170" s="12" t="n">
        <x:f>VALUE('Raw Results'!$A$44)</x:f>
        <x:v>500</x:v>
      </x:c>
      <x:c r="C170" s="14" t="n">
        <x:f>VALUE('Raw Results'!$B$44)</x:f>
        <x:v>0.5</x:v>
      </x:c>
      <x:c r="D170" s="12" t="n">
        <x:f>VALUE('Raw Results'!$C$44)</x:f>
        <x:v>1</x:v>
      </x:c>
      <x:c r="E170" s="12" t="n">
        <x:f>VALUE('Raw Results'!$D$44)</x:f>
        <x:v>1879133715</x:v>
      </x:c>
      <x:c r="F170" s="12" t="n">
        <x:f>VALUE('Raw Results'!$M$44)</x:f>
        <x:v>91</x:v>
      </x:c>
      <x:c r="G170" s="12" t="n">
        <x:f>IF('Raw Results'!$O$44="True",1,0)</x:f>
        <x:v>1</x:v>
      </x:c>
      <x:c r="H170" s="12" t="n">
        <x:f>VALUE('Raw Results'!$R$44)</x:f>
        <x:v>78</x:v>
      </x:c>
      <x:c r="I170" s="12" t="n">
        <x:f>VALUE('Raw Results'!$S$44)</x:f>
        <x:v>74</x:v>
      </x:c>
      <x:c r="J170" s="12" t="n">
        <x:f>IF('Raw Results'!$U$44="True",1,0)</x:f>
        <x:v>1</x:v>
      </x:c>
      <x:c r="K170" s="12" t="n">
        <x:f>VALUE('Raw Results'!$X$44)</x:f>
        <x:v>0</x:v>
      </x:c>
      <x:c r="L170" s="12" t="n">
        <x:f>VALUE('Raw Results'!$Y$44)</x:f>
        <x:v>0</x:v>
      </x:c>
      <x:c r="M170" s="10" t="str">
        <x:f>'Raw Results'!$Z$44</x:f>
      </x:c>
      <x:c r="N170" s="16" t="n">
        <x:f>VALUE('Raw Results'!$AA$44)</x:f>
        <x:v>0.02294600009918213</x:v>
      </x:c>
      <x:c r="O170" s="12" t="n">
        <x:f>VALUE('Raw Results'!$AB$44)</x:f>
        <x:v>74</x:v>
      </x:c>
      <x:c r="P170" s="12" t="n">
        <x:f>VALUE('Raw Results'!$AC$44)</x:f>
        <x:v>74</x:v>
      </x:c>
      <x:c r="Q170" s="12" t="n">
        <x:f>IF('Raw Results'!$AE$44="True",1,0)</x:f>
        <x:v>1</x:v>
      </x:c>
      <x:c r="R170" s="12" t="n">
        <x:f>VALUE('Raw Results'!$AG$44)</x:f>
        <x:v>0</x:v>
      </x:c>
      <x:c r="S170" s="12" t="n">
        <x:f>VALUE('Raw Results'!$AH$44)</x:f>
        <x:v>0</x:v>
      </x:c>
      <x:c r="T170" s="16" t="n">
        <x:f>VALUE('Raw Results'!$T$44)</x:f>
        <x:v>7.540375699987635</x:v>
      </x:c>
      <x:c r="U170" s="16" t="n">
        <x:f>VALUE('Raw Results'!$AD$44)</x:f>
        <x:v>7.563321700086817</x:v>
      </x:c>
      <x:c r="V170" s="18" t="n">
        <x:f>IF(T170=0,0,N170/T170)</x:f>
        <x:v>0.0030430844578765164</x:v>
      </x:c>
      <x:c r="W170" s="10" t="n">
        <x:f>IF(AND(G170=1,Q170=1),1,0)</x:f>
        <x:v>1</x:v>
      </x:c>
      <x:c r="X170" s="20" t="n">
        <x:f>IF(W170=1,P170-F170,"")</x:f>
        <x:v>-17</x:v>
      </x:c>
      <x:c r="Y170" s="10" t="str">
        <x:f>IF(W170=0,"excluded",IF(X170&lt;0,"repaired",IF(X170&gt;0,"entropy","tie")))</x:f>
        <x:v>repaired</x:v>
      </x:c>
      <x:c r="Z170" s="10" t="n">
        <x:f>IF(VALUE(L170)&gt;0,1,0)</x:f>
        <x:v>0</x:v>
      </x:c>
      <x:c r="AA170" s="10" t="n">
        <x:f>IF(AND('Raw Results'!$V$44="True",'Raw Results'!$W$44="True"),1,0)</x:f>
        <x:v>1</x:v>
      </x:c>
      <x:c r="AB170" s="10" t="n">
        <x:f>IF(AND(J170=0,Q170=1),1,0)</x:f>
        <x:v>0</x:v>
      </x:c>
      <x:c r="AC170" s="20" t="n">
        <x:f>P170-I170</x:f>
        <x:v>0</x:v>
      </x:c>
      <x:c r="AD170" s="10" t="n">
        <x:f>IF(AND(G170=1,J170=0),1,0)</x:f>
        <x:v>0</x:v>
      </x:c>
      <x:c r="AE170" s="10" t="n">
        <x:f>IF(AND(G170=0,Q170=1),1,0)</x:f>
        <x:v>0</x:v>
      </x:c>
    </x:row>
    <x:row r="171">
      <x:c r="A171" s="10" t="str">
        <x:f>"Circle"</x:f>
        <x:v>Circle</x:v>
      </x:c>
      <x:c r="B171" s="12" t="n">
        <x:f>VALUE('Raw Results'!$A$44)</x:f>
        <x:v>500</x:v>
      </x:c>
      <x:c r="C171" s="14" t="n">
        <x:f>VALUE('Raw Results'!$B$44)</x:f>
        <x:v>0.5</x:v>
      </x:c>
      <x:c r="D171" s="12" t="n">
        <x:f>VALUE('Raw Results'!$C$44)</x:f>
        <x:v>1</x:v>
      </x:c>
      <x:c r="E171" s="12" t="n">
        <x:f>VALUE('Raw Results'!$D$44)</x:f>
        <x:v>1879133715</x:v>
      </x:c>
      <x:c r="F171" s="12" t="n">
        <x:f>VALUE('Raw Results'!$AI$44)</x:f>
        <x:v>90</x:v>
      </x:c>
      <x:c r="G171" s="12" t="n">
        <x:f>IF('Raw Results'!$AK$44="True",1,0)</x:f>
        <x:v>1</x:v>
      </x:c>
      <x:c r="H171" s="12" t="n">
        <x:f>VALUE('Raw Results'!$AN$44)</x:f>
        <x:v>451</x:v>
      </x:c>
      <x:c r="I171" s="12" t="n">
        <x:f>VALUE('Raw Results'!$AO$44)</x:f>
        <x:v>91</x:v>
      </x:c>
      <x:c r="J171" s="12" t="n">
        <x:f>IF('Raw Results'!$AQ$44="True",1,0)</x:f>
        <x:v>1</x:v>
      </x:c>
      <x:c r="K171" s="12" t="n">
        <x:f>VALUE('Raw Results'!$AT$44)</x:f>
        <x:v>0</x:v>
      </x:c>
      <x:c r="L171" s="12" t="n">
        <x:f>VALUE('Raw Results'!$AU$44)</x:f>
        <x:v>0</x:v>
      </x:c>
      <x:c r="M171" s="10" t="str">
        <x:f>'Raw Results'!$AV$44</x:f>
      </x:c>
      <x:c r="N171" s="16" t="n">
        <x:f>VALUE('Raw Results'!$AW$44)</x:f>
        <x:v>0.02709119999781251</x:v>
      </x:c>
      <x:c r="O171" s="12" t="n">
        <x:f>VALUE('Raw Results'!$AX$44)</x:f>
        <x:v>91</x:v>
      </x:c>
      <x:c r="P171" s="12" t="n">
        <x:f>VALUE('Raw Results'!$AY$44)</x:f>
        <x:v>91</x:v>
      </x:c>
      <x:c r="Q171" s="12" t="n">
        <x:f>IF('Raw Results'!$BA$44="True",1,0)</x:f>
        <x:v>1</x:v>
      </x:c>
      <x:c r="R171" s="12" t="n">
        <x:f>VALUE('Raw Results'!$BC$44)</x:f>
        <x:v>0</x:v>
      </x:c>
      <x:c r="S171" s="12" t="n">
        <x:f>VALUE('Raw Results'!$BD$44)</x:f>
        <x:v>0</x:v>
      </x:c>
      <x:c r="T171" s="16" t="n">
        <x:f>VALUE('Raw Results'!$AP$44)</x:f>
        <x:v>3.3513152000959963</x:v>
      </x:c>
      <x:c r="U171" s="16" t="n">
        <x:f>VALUE('Raw Results'!$AZ$44)</x:f>
        <x:v>3.3784064000938088</x:v>
      </x:c>
      <x:c r="V171" s="18" t="n">
        <x:f>IF(T171=0,0,N171/T171)</x:f>
        <x:v>0.008083751715456815</x:v>
      </x:c>
      <x:c r="W171" s="10" t="n">
        <x:f>IF(AND(G171=1,Q171=1),1,0)</x:f>
        <x:v>1</x:v>
      </x:c>
      <x:c r="X171" s="20" t="n">
        <x:f>IF(W171=1,P171-F171,"")</x:f>
        <x:v>1</x:v>
      </x:c>
      <x:c r="Y171" s="10" t="str">
        <x:f>IF(W171=0,"excluded",IF(X171&lt;0,"repaired",IF(X171&gt;0,"entropy","tie")))</x:f>
        <x:v>entropy</x:v>
      </x:c>
      <x:c r="Z171" s="10" t="n">
        <x:f>IF(VALUE(L171)&gt;0,1,0)</x:f>
        <x:v>0</x:v>
      </x:c>
      <x:c r="AA171" s="10" t="n">
        <x:f>IF(AND('Raw Results'!$AR$44="True",'Raw Results'!$AS$44="True"),1,0)</x:f>
        <x:v>1</x:v>
      </x:c>
      <x:c r="AB171" s="10" t="n">
        <x:f>IF(AND(J171=0,Q171=1),1,0)</x:f>
        <x:v>0</x:v>
      </x:c>
      <x:c r="AC171" s="20" t="n">
        <x:f>P171-I171</x:f>
        <x:v>0</x:v>
      </x:c>
      <x:c r="AD171" s="10" t="n">
        <x:f>IF(AND(G171=1,J171=0),1,0)</x:f>
        <x:v>0</x:v>
      </x:c>
      <x:c r="AE171" s="10" t="n">
        <x:f>IF(AND(G171=0,Q171=1),1,0)</x:f>
        <x:v>0</x:v>
      </x:c>
    </x:row>
    <x:row r="172">
      <x:c r="A172" s="10" t="str">
        <x:f>"Zoomed Square"</x:f>
        <x:v>Zoomed Square</x:v>
      </x:c>
      <x:c r="B172" s="12" t="n">
        <x:f>VALUE('Raw Results'!$A$44)</x:f>
        <x:v>500</x:v>
      </x:c>
      <x:c r="C172" s="14" t="n">
        <x:f>VALUE('Raw Results'!$B$44)</x:f>
        <x:v>0.5</x:v>
      </x:c>
      <x:c r="D172" s="12" t="n">
        <x:f>VALUE('Raw Results'!$C$44)</x:f>
        <x:v>1</x:v>
      </x:c>
      <x:c r="E172" s="12" t="n">
        <x:f>VALUE('Raw Results'!$D$44)</x:f>
        <x:v>1879133715</x:v>
      </x:c>
      <x:c r="F172" s="12" t="n">
        <x:f>VALUE('Raw Results'!$BE$44)</x:f>
        <x:v>86</x:v>
      </x:c>
      <x:c r="G172" s="12" t="n">
        <x:f>IF('Raw Results'!$BG$44="True",1,0)</x:f>
        <x:v>1</x:v>
      </x:c>
      <x:c r="H172" s="12" t="n">
        <x:f>VALUE('Raw Results'!$BJ$44)</x:f>
        <x:v>177</x:v>
      </x:c>
      <x:c r="I172" s="12" t="n">
        <x:f>VALUE('Raw Results'!$BK$44)</x:f>
        <x:v>86</x:v>
      </x:c>
      <x:c r="J172" s="12" t="n">
        <x:f>IF('Raw Results'!$BM$44="True",1,0)</x:f>
        <x:v>1</x:v>
      </x:c>
      <x:c r="K172" s="12" t="n">
        <x:f>VALUE('Raw Results'!$BP$44)</x:f>
        <x:v>0</x:v>
      </x:c>
      <x:c r="L172" s="12" t="n">
        <x:f>VALUE('Raw Results'!$BQ$44)</x:f>
        <x:v>0</x:v>
      </x:c>
      <x:c r="M172" s="10" t="str">
        <x:f>'Raw Results'!$BR$44</x:f>
      </x:c>
      <x:c r="N172" s="16" t="n">
        <x:f>VALUE('Raw Results'!$BS$44)</x:f>
        <x:v>0.023574099992401898</x:v>
      </x:c>
      <x:c r="O172" s="12" t="n">
        <x:f>VALUE('Raw Results'!$BT$44)</x:f>
        <x:v>86</x:v>
      </x:c>
      <x:c r="P172" s="12" t="n">
        <x:f>VALUE('Raw Results'!$BU$44)</x:f>
        <x:v>86</x:v>
      </x:c>
      <x:c r="Q172" s="12" t="n">
        <x:f>IF('Raw Results'!$BW$44="True",1,0)</x:f>
        <x:v>1</x:v>
      </x:c>
      <x:c r="R172" s="12" t="n">
        <x:f>VALUE('Raw Results'!$BY$44)</x:f>
        <x:v>0</x:v>
      </x:c>
      <x:c r="S172" s="12" t="n">
        <x:f>VALUE('Raw Results'!$BZ$44)</x:f>
        <x:v>0</x:v>
      </x:c>
      <x:c r="T172" s="16" t="n">
        <x:f>VALUE('Raw Results'!$BL$44)</x:f>
        <x:v>3.9400068999966606</x:v>
      </x:c>
      <x:c r="U172" s="16" t="n">
        <x:f>VALUE('Raw Results'!$BV$44)</x:f>
        <x:v>3.9635809999890625</x:v>
      </x:c>
      <x:c r="V172" s="18" t="n">
        <x:f>IF(T172=0,0,N172/T172)</x:f>
        <x:v>0.005983263631447417</x:v>
      </x:c>
      <x:c r="W172" s="10" t="n">
        <x:f>IF(AND(G172=1,Q172=1),1,0)</x:f>
        <x:v>1</x:v>
      </x:c>
      <x:c r="X172" s="20" t="n">
        <x:f>IF(W172=1,P172-F172,"")</x:f>
        <x:v>0</x:v>
      </x:c>
      <x:c r="Y172" s="10" t="str">
        <x:f>IF(W172=0,"excluded",IF(X172&lt;0,"repaired",IF(X172&gt;0,"entropy","tie")))</x:f>
        <x:v>tie</x:v>
      </x:c>
      <x:c r="Z172" s="10" t="n">
        <x:f>IF(VALUE(L172)&gt;0,1,0)</x:f>
        <x:v>0</x:v>
      </x:c>
      <x:c r="AA172" s="10" t="n">
        <x:f>IF(AND('Raw Results'!$BN$44="True",'Raw Results'!$BO$44="True"),1,0)</x:f>
        <x:v>1</x:v>
      </x:c>
      <x:c r="AB172" s="10" t="n">
        <x:f>IF(AND(J172=0,Q172=1),1,0)</x:f>
        <x:v>0</x:v>
      </x:c>
      <x:c r="AC172" s="20" t="n">
        <x:f>P172-I172</x:f>
        <x:v>0</x:v>
      </x:c>
      <x:c r="AD172" s="10" t="n">
        <x:f>IF(AND(G172=1,J172=0),1,0)</x:f>
        <x:v>0</x:v>
      </x:c>
      <x:c r="AE172" s="10" t="n">
        <x:f>IF(AND(G172=0,Q172=1),1,0)</x:f>
        <x:v>0</x:v>
      </x:c>
    </x:row>
    <x:row r="173">
      <x:c r="A173" s="10" t="str">
        <x:f>"ICH"</x:f>
        <x:v>ICH</x:v>
      </x:c>
      <x:c r="B173" s="12" t="n">
        <x:f>VALUE('Raw Results'!$A$44)</x:f>
        <x:v>500</x:v>
      </x:c>
      <x:c r="C173" s="14" t="n">
        <x:f>VALUE('Raw Results'!$B$44)</x:f>
        <x:v>0.5</x:v>
      </x:c>
      <x:c r="D173" s="12" t="n">
        <x:f>VALUE('Raw Results'!$C$44)</x:f>
        <x:v>1</x:v>
      </x:c>
      <x:c r="E173" s="12" t="n">
        <x:f>VALUE('Raw Results'!$D$44)</x:f>
        <x:v>1879133715</x:v>
      </x:c>
      <x:c r="F173" s="12" t="n">
        <x:f>VALUE('Raw Results'!$CA$44)</x:f>
        <x:v>79</x:v>
      </x:c>
      <x:c r="G173" s="12" t="n">
        <x:f>IF('Raw Results'!$CC$44="True",1,0)</x:f>
        <x:v>1</x:v>
      </x:c>
      <x:c r="H173" s="12" t="n">
        <x:f>VALUE('Raw Results'!$CF$44)</x:f>
        <x:v>79</x:v>
      </x:c>
      <x:c r="I173" s="12" t="n">
        <x:f>VALUE('Raw Results'!$CG$44)</x:f>
        <x:v>79</x:v>
      </x:c>
      <x:c r="J173" s="12" t="n">
        <x:f>IF('Raw Results'!$CI$44="True",1,0)</x:f>
        <x:v>1</x:v>
      </x:c>
      <x:c r="K173" s="12" t="n">
        <x:f>VALUE('Raw Results'!$CL$44)</x:f>
        <x:v>0</x:v>
      </x:c>
      <x:c r="L173" s="12" t="n">
        <x:f>VALUE('Raw Results'!$CM$44)</x:f>
        <x:v>0</x:v>
      </x:c>
      <x:c r="M173" s="10" t="str">
        <x:f>'Raw Results'!$CN$44</x:f>
      </x:c>
      <x:c r="N173" s="16" t="n">
        <x:f>VALUE('Raw Results'!$CO$44)</x:f>
        <x:v>0.023314799997024238</x:v>
      </x:c>
      <x:c r="O173" s="12" t="n">
        <x:f>VALUE('Raw Results'!$CP$44)</x:f>
        <x:v>79</x:v>
      </x:c>
      <x:c r="P173" s="12" t="n">
        <x:f>VALUE('Raw Results'!$CQ$44)</x:f>
        <x:v>79</x:v>
      </x:c>
      <x:c r="Q173" s="12" t="n">
        <x:f>IF('Raw Results'!$CS$44="True",1,0)</x:f>
        <x:v>1</x:v>
      </x:c>
      <x:c r="R173" s="12" t="n">
        <x:f>VALUE('Raw Results'!$CU$44)</x:f>
        <x:v>0</x:v>
      </x:c>
      <x:c r="S173" s="12" t="n">
        <x:f>VALUE('Raw Results'!$CV$44)</x:f>
        <x:v>0</x:v>
      </x:c>
      <x:c r="T173" s="16" t="n">
        <x:f>VALUE('Raw Results'!$CH$44)</x:f>
        <x:v>19.250944899977185</x:v>
      </x:c>
      <x:c r="U173" s="16" t="n">
        <x:f>VALUE('Raw Results'!$CR$44)</x:f>
        <x:v>19.27425969997421</x:v>
      </x:c>
      <x:c r="V173" s="18" t="n">
        <x:f>IF(T173=0,0,N173/T173)</x:f>
        <x:v>0.0012110989937461133</x:v>
      </x:c>
      <x:c r="W173" s="10" t="n">
        <x:f>IF(AND(G173=1,Q173=1),1,0)</x:f>
        <x:v>1</x:v>
      </x:c>
      <x:c r="X173" s="20" t="n">
        <x:f>IF(W173=1,P173-F173,"")</x:f>
        <x:v>0</x:v>
      </x:c>
      <x:c r="Y173" s="10" t="str">
        <x:f>IF(W173=0,"excluded",IF(X173&lt;0,"repaired",IF(X173&gt;0,"entropy","tie")))</x:f>
        <x:v>tie</x:v>
      </x:c>
      <x:c r="Z173" s="10" t="n">
        <x:f>IF(VALUE(L173)&gt;0,1,0)</x:f>
        <x:v>0</x:v>
      </x:c>
      <x:c r="AA173" s="10" t="n">
        <x:f>IF(AND('Raw Results'!$CJ$44="True",'Raw Results'!$CK$44="True"),1,0)</x:f>
        <x:v>1</x:v>
      </x:c>
      <x:c r="AB173" s="10" t="n">
        <x:f>IF(AND(J173=0,Q173=1),1,0)</x:f>
        <x:v>0</x:v>
      </x:c>
      <x:c r="AC173" s="20" t="n">
        <x:f>P173-I173</x:f>
        <x:v>0</x:v>
      </x:c>
      <x:c r="AD173" s="10" t="n">
        <x:f>IF(AND(G173=1,J173=0),1,0)</x:f>
        <x:v>0</x:v>
      </x:c>
      <x:c r="AE173" s="10" t="n">
        <x:f>IF(AND(G173=0,Q173=1),1,0)</x:f>
        <x:v>0</x:v>
      </x:c>
    </x:row>
    <x:row r="174">
      <x:c r="A174" s="10" t="str">
        <x:f>"Grid"</x:f>
        <x:v>Grid</x:v>
      </x:c>
      <x:c r="B174" s="12" t="n">
        <x:f>VALUE('Raw Results'!$A$45)</x:f>
        <x:v>500</x:v>
      </x:c>
      <x:c r="C174" s="14" t="n">
        <x:f>VALUE('Raw Results'!$B$45)</x:f>
        <x:v>0.5</x:v>
      </x:c>
      <x:c r="D174" s="12" t="n">
        <x:f>VALUE('Raw Results'!$C$45)</x:f>
        <x:v>2</x:v>
      </x:c>
      <x:c r="E174" s="12" t="n">
        <x:f>VALUE('Raw Results'!$D$45)</x:f>
        <x:v>1473547513</x:v>
      </x:c>
      <x:c r="F174" s="12" t="n">
        <x:f>VALUE('Raw Results'!$M$45)</x:f>
        <x:v>87</x:v>
      </x:c>
      <x:c r="G174" s="12" t="n">
        <x:f>IF('Raw Results'!$O$45="True",1,0)</x:f>
        <x:v>1</x:v>
      </x:c>
      <x:c r="H174" s="12" t="n">
        <x:f>VALUE('Raw Results'!$R$45)</x:f>
        <x:v>74</x:v>
      </x:c>
      <x:c r="I174" s="12" t="n">
        <x:f>VALUE('Raw Results'!$S$45)</x:f>
        <x:v>72</x:v>
      </x:c>
      <x:c r="J174" s="12" t="n">
        <x:f>IF('Raw Results'!$U$45="True",1,0)</x:f>
        <x:v>1</x:v>
      </x:c>
      <x:c r="K174" s="12" t="n">
        <x:f>VALUE('Raw Results'!$X$45)</x:f>
        <x:v>0</x:v>
      </x:c>
      <x:c r="L174" s="12" t="n">
        <x:f>VALUE('Raw Results'!$Y$45)</x:f>
        <x:v>0</x:v>
      </x:c>
      <x:c r="M174" s="10" t="str">
        <x:f>'Raw Results'!$Z$45</x:f>
      </x:c>
      <x:c r="N174" s="16" t="n">
        <x:f>VALUE('Raw Results'!$AA$45)</x:f>
        <x:v>0.021371799986809492</x:v>
      </x:c>
      <x:c r="O174" s="12" t="n">
        <x:f>VALUE('Raw Results'!$AB$45)</x:f>
        <x:v>72</x:v>
      </x:c>
      <x:c r="P174" s="12" t="n">
        <x:f>VALUE('Raw Results'!$AC$45)</x:f>
        <x:v>72</x:v>
      </x:c>
      <x:c r="Q174" s="12" t="n">
        <x:f>IF('Raw Results'!$AE$45="True",1,0)</x:f>
        <x:v>1</x:v>
      </x:c>
      <x:c r="R174" s="12" t="n">
        <x:f>VALUE('Raw Results'!$AG$45)</x:f>
        <x:v>0</x:v>
      </x:c>
      <x:c r="S174" s="12" t="n">
        <x:f>VALUE('Raw Results'!$AH$45)</x:f>
        <x:v>0</x:v>
      </x:c>
      <x:c r="T174" s="16" t="n">
        <x:f>VALUE('Raw Results'!$T$45)</x:f>
        <x:v>7.117834400036372</x:v>
      </x:c>
      <x:c r="U174" s="16" t="n">
        <x:f>VALUE('Raw Results'!$AD$45)</x:f>
        <x:v>7.139206200023182</x:v>
      </x:c>
      <x:c r="V174" s="18" t="n">
        <x:f>IF(T174=0,0,N174/T174)</x:f>
        <x:v>0.0030025705552661187</x:v>
      </x:c>
      <x:c r="W174" s="10" t="n">
        <x:f>IF(AND(G174=1,Q174=1),1,0)</x:f>
        <x:v>1</x:v>
      </x:c>
      <x:c r="X174" s="20" t="n">
        <x:f>IF(W174=1,P174-F174,"")</x:f>
        <x:v>-15</x:v>
      </x:c>
      <x:c r="Y174" s="10" t="str">
        <x:f>IF(W174=0,"excluded",IF(X174&lt;0,"repaired",IF(X174&gt;0,"entropy","tie")))</x:f>
        <x:v>repaired</x:v>
      </x:c>
      <x:c r="Z174" s="10" t="n">
        <x:f>IF(VALUE(L174)&gt;0,1,0)</x:f>
        <x:v>0</x:v>
      </x:c>
      <x:c r="AA174" s="10" t="n">
        <x:f>IF(AND('Raw Results'!$V$45="True",'Raw Results'!$W$45="True"),1,0)</x:f>
        <x:v>1</x:v>
      </x:c>
      <x:c r="AB174" s="10" t="n">
        <x:f>IF(AND(J174=0,Q174=1),1,0)</x:f>
        <x:v>0</x:v>
      </x:c>
      <x:c r="AC174" s="20" t="n">
        <x:f>P174-I174</x:f>
        <x:v>0</x:v>
      </x:c>
      <x:c r="AD174" s="10" t="n">
        <x:f>IF(AND(G174=1,J174=0),1,0)</x:f>
        <x:v>0</x:v>
      </x:c>
      <x:c r="AE174" s="10" t="n">
        <x:f>IF(AND(G174=0,Q174=1),1,0)</x:f>
        <x:v>0</x:v>
      </x:c>
    </x:row>
    <x:row r="175">
      <x:c r="A175" s="10" t="str">
        <x:f>"Circle"</x:f>
        <x:v>Circle</x:v>
      </x:c>
      <x:c r="B175" s="12" t="n">
        <x:f>VALUE('Raw Results'!$A$45)</x:f>
        <x:v>500</x:v>
      </x:c>
      <x:c r="C175" s="14" t="n">
        <x:f>VALUE('Raw Results'!$B$45)</x:f>
        <x:v>0.5</x:v>
      </x:c>
      <x:c r="D175" s="12" t="n">
        <x:f>VALUE('Raw Results'!$C$45)</x:f>
        <x:v>2</x:v>
      </x:c>
      <x:c r="E175" s="12" t="n">
        <x:f>VALUE('Raw Results'!$D$45)</x:f>
        <x:v>1473547513</x:v>
      </x:c>
      <x:c r="F175" s="12" t="n">
        <x:f>VALUE('Raw Results'!$AI$45)</x:f>
        <x:v>83</x:v>
      </x:c>
      <x:c r="G175" s="12" t="n">
        <x:f>IF('Raw Results'!$AK$45="True",1,0)</x:f>
        <x:v>1</x:v>
      </x:c>
      <x:c r="H175" s="12" t="n">
        <x:f>VALUE('Raw Results'!$AN$45)</x:f>
        <x:v>466</x:v>
      </x:c>
      <x:c r="I175" s="12" t="n">
        <x:f>VALUE('Raw Results'!$AO$45)</x:f>
        <x:v>86</x:v>
      </x:c>
      <x:c r="J175" s="12" t="n">
        <x:f>IF('Raw Results'!$AQ$45="True",1,0)</x:f>
        <x:v>1</x:v>
      </x:c>
      <x:c r="K175" s="12" t="n">
        <x:f>VALUE('Raw Results'!$AT$45)</x:f>
        <x:v>0</x:v>
      </x:c>
      <x:c r="L175" s="12" t="n">
        <x:f>VALUE('Raw Results'!$AU$45)</x:f>
        <x:v>0</x:v>
      </x:c>
      <x:c r="M175" s="10" t="str">
        <x:f>'Raw Results'!$AV$45</x:f>
      </x:c>
      <x:c r="N175" s="16" t="n">
        <x:f>VALUE('Raw Results'!$AW$45)</x:f>
        <x:v>0.03570080001372844</x:v>
      </x:c>
      <x:c r="O175" s="12" t="n">
        <x:f>VALUE('Raw Results'!$AX$45)</x:f>
        <x:v>86</x:v>
      </x:c>
      <x:c r="P175" s="12" t="n">
        <x:f>VALUE('Raw Results'!$AY$45)</x:f>
        <x:v>86</x:v>
      </x:c>
      <x:c r="Q175" s="12" t="n">
        <x:f>IF('Raw Results'!$BA$45="True",1,0)</x:f>
        <x:v>1</x:v>
      </x:c>
      <x:c r="R175" s="12" t="n">
        <x:f>VALUE('Raw Results'!$BC$45)</x:f>
        <x:v>0</x:v>
      </x:c>
      <x:c r="S175" s="12" t="n">
        <x:f>VALUE('Raw Results'!$BD$45)</x:f>
        <x:v>0</x:v>
      </x:c>
      <x:c r="T175" s="16" t="n">
        <x:f>VALUE('Raw Results'!$AP$45)</x:f>
        <x:v>1.2540463000768796</x:v>
      </x:c>
      <x:c r="U175" s="16" t="n">
        <x:f>VALUE('Raw Results'!$AZ$45)</x:f>
        <x:v>1.289747100090608</x:v>
      </x:c>
      <x:c r="V175" s="18" t="n">
        <x:f>IF(T175=0,0,N175/T175)</x:f>
        <x:v>0.028468486380080062</x:v>
      </x:c>
      <x:c r="W175" s="10" t="n">
        <x:f>IF(AND(G175=1,Q175=1),1,0)</x:f>
        <x:v>1</x:v>
      </x:c>
      <x:c r="X175" s="20" t="n">
        <x:f>IF(W175=1,P175-F175,"")</x:f>
        <x:v>3</x:v>
      </x:c>
      <x:c r="Y175" s="10" t="str">
        <x:f>IF(W175=0,"excluded",IF(X175&lt;0,"repaired",IF(X175&gt;0,"entropy","tie")))</x:f>
        <x:v>entropy</x:v>
      </x:c>
      <x:c r="Z175" s="10" t="n">
        <x:f>IF(VALUE(L175)&gt;0,1,0)</x:f>
        <x:v>0</x:v>
      </x:c>
      <x:c r="AA175" s="10" t="n">
        <x:f>IF(AND('Raw Results'!$AR$45="True",'Raw Results'!$AS$45="True"),1,0)</x:f>
        <x:v>1</x:v>
      </x:c>
      <x:c r="AB175" s="10" t="n">
        <x:f>IF(AND(J175=0,Q175=1),1,0)</x:f>
        <x:v>0</x:v>
      </x:c>
      <x:c r="AC175" s="20" t="n">
        <x:f>P175-I175</x:f>
        <x:v>0</x:v>
      </x:c>
      <x:c r="AD175" s="10" t="n">
        <x:f>IF(AND(G175=1,J175=0),1,0)</x:f>
        <x:v>0</x:v>
      </x:c>
      <x:c r="AE175" s="10" t="n">
        <x:f>IF(AND(G175=0,Q175=1),1,0)</x:f>
        <x:v>0</x:v>
      </x:c>
    </x:row>
    <x:row r="176">
      <x:c r="A176" s="10" t="str">
        <x:f>"Zoomed Square"</x:f>
        <x:v>Zoomed Square</x:v>
      </x:c>
      <x:c r="B176" s="12" t="n">
        <x:f>VALUE('Raw Results'!$A$45)</x:f>
        <x:v>500</x:v>
      </x:c>
      <x:c r="C176" s="14" t="n">
        <x:f>VALUE('Raw Results'!$B$45)</x:f>
        <x:v>0.5</x:v>
      </x:c>
      <x:c r="D176" s="12" t="n">
        <x:f>VALUE('Raw Results'!$C$45)</x:f>
        <x:v>2</x:v>
      </x:c>
      <x:c r="E176" s="12" t="n">
        <x:f>VALUE('Raw Results'!$D$45)</x:f>
        <x:v>1473547513</x:v>
      </x:c>
      <x:c r="F176" s="12" t="n">
        <x:f>VALUE('Raw Results'!$BE$45)</x:f>
        <x:v>86</x:v>
      </x:c>
      <x:c r="G176" s="12" t="n">
        <x:f>IF('Raw Results'!$BG$45="True",1,0)</x:f>
        <x:v>1</x:v>
      </x:c>
      <x:c r="H176" s="12" t="n">
        <x:f>VALUE('Raw Results'!$BJ$45)</x:f>
        <x:v>243</x:v>
      </x:c>
      <x:c r="I176" s="12" t="n">
        <x:f>VALUE('Raw Results'!$BK$45)</x:f>
        <x:v>89</x:v>
      </x:c>
      <x:c r="J176" s="12" t="n">
        <x:f>IF('Raw Results'!$BM$45="True",1,0)</x:f>
        <x:v>1</x:v>
      </x:c>
      <x:c r="K176" s="12" t="n">
        <x:f>VALUE('Raw Results'!$BP$45)</x:f>
        <x:v>0</x:v>
      </x:c>
      <x:c r="L176" s="12" t="n">
        <x:f>VALUE('Raw Results'!$BQ$45)</x:f>
        <x:v>0</x:v>
      </x:c>
      <x:c r="M176" s="10" t="str">
        <x:f>'Raw Results'!$BR$45</x:f>
      </x:c>
      <x:c r="N176" s="16" t="n">
        <x:f>VALUE('Raw Results'!$BS$45)</x:f>
        <x:v>0.02316749992314726</x:v>
      </x:c>
      <x:c r="O176" s="12" t="n">
        <x:f>VALUE('Raw Results'!$BT$45)</x:f>
        <x:v>89</x:v>
      </x:c>
      <x:c r="P176" s="12" t="n">
        <x:f>VALUE('Raw Results'!$BU$45)</x:f>
        <x:v>89</x:v>
      </x:c>
      <x:c r="Q176" s="12" t="n">
        <x:f>IF('Raw Results'!$BW$45="True",1,0)</x:f>
        <x:v>1</x:v>
      </x:c>
      <x:c r="R176" s="12" t="n">
        <x:f>VALUE('Raw Results'!$BY$45)</x:f>
        <x:v>0</x:v>
      </x:c>
      <x:c r="S176" s="12" t="n">
        <x:f>VALUE('Raw Results'!$BZ$45)</x:f>
        <x:v>0</x:v>
      </x:c>
      <x:c r="T176" s="16" t="n">
        <x:f>VALUE('Raw Results'!$BL$45)</x:f>
        <x:v>2.7864682000363246</x:v>
      </x:c>
      <x:c r="U176" s="16" t="n">
        <x:f>VALUE('Raw Results'!$BV$45)</x:f>
        <x:v>2.809635699959472</x:v>
      </x:c>
      <x:c r="V176" s="18" t="n">
        <x:f>IF(T176=0,0,N176/T176)</x:f>
        <x:v>0.008314288288969258</x:v>
      </x:c>
      <x:c r="W176" s="10" t="n">
        <x:f>IF(AND(G176=1,Q176=1),1,0)</x:f>
        <x:v>1</x:v>
      </x:c>
      <x:c r="X176" s="20" t="n">
        <x:f>IF(W176=1,P176-F176,"")</x:f>
        <x:v>3</x:v>
      </x:c>
      <x:c r="Y176" s="10" t="str">
        <x:f>IF(W176=0,"excluded",IF(X176&lt;0,"repaired",IF(X176&gt;0,"entropy","tie")))</x:f>
        <x:v>entropy</x:v>
      </x:c>
      <x:c r="Z176" s="10" t="n">
        <x:f>IF(VALUE(L176)&gt;0,1,0)</x:f>
        <x:v>0</x:v>
      </x:c>
      <x:c r="AA176" s="10" t="n">
        <x:f>IF(AND('Raw Results'!$BN$45="True",'Raw Results'!$BO$45="True"),1,0)</x:f>
        <x:v>1</x:v>
      </x:c>
      <x:c r="AB176" s="10" t="n">
        <x:f>IF(AND(J176=0,Q176=1),1,0)</x:f>
        <x:v>0</x:v>
      </x:c>
      <x:c r="AC176" s="20" t="n">
        <x:f>P176-I176</x:f>
        <x:v>0</x:v>
      </x:c>
      <x:c r="AD176" s="10" t="n">
        <x:f>IF(AND(G176=1,J176=0),1,0)</x:f>
        <x:v>0</x:v>
      </x:c>
      <x:c r="AE176" s="10" t="n">
        <x:f>IF(AND(G176=0,Q176=1),1,0)</x:f>
        <x:v>0</x:v>
      </x:c>
    </x:row>
    <x:row r="177">
      <x:c r="A177" s="10" t="str">
        <x:f>"ICH"</x:f>
        <x:v>ICH</x:v>
      </x:c>
      <x:c r="B177" s="12" t="n">
        <x:f>VALUE('Raw Results'!$A$45)</x:f>
        <x:v>500</x:v>
      </x:c>
      <x:c r="C177" s="14" t="n">
        <x:f>VALUE('Raw Results'!$B$45)</x:f>
        <x:v>0.5</x:v>
      </x:c>
      <x:c r="D177" s="12" t="n">
        <x:f>VALUE('Raw Results'!$C$45)</x:f>
        <x:v>2</x:v>
      </x:c>
      <x:c r="E177" s="12" t="n">
        <x:f>VALUE('Raw Results'!$D$45)</x:f>
        <x:v>1473547513</x:v>
      </x:c>
      <x:c r="F177" s="12" t="n">
        <x:f>VALUE('Raw Results'!$CA$45)</x:f>
        <x:v>76</x:v>
      </x:c>
      <x:c r="G177" s="12" t="n">
        <x:f>IF('Raw Results'!$CC$45="True",1,0)</x:f>
        <x:v>1</x:v>
      </x:c>
      <x:c r="H177" s="12" t="n">
        <x:f>VALUE('Raw Results'!$CF$45)</x:f>
        <x:v>73</x:v>
      </x:c>
      <x:c r="I177" s="12" t="n">
        <x:f>VALUE('Raw Results'!$CG$45)</x:f>
        <x:v>73</x:v>
      </x:c>
      <x:c r="J177" s="12" t="n">
        <x:f>IF('Raw Results'!$CI$45="True",1,0)</x:f>
        <x:v>1</x:v>
      </x:c>
      <x:c r="K177" s="12" t="n">
        <x:f>VALUE('Raw Results'!$CL$45)</x:f>
        <x:v>0</x:v>
      </x:c>
      <x:c r="L177" s="12" t="n">
        <x:f>VALUE('Raw Results'!$CM$45)</x:f>
        <x:v>0</x:v>
      </x:c>
      <x:c r="M177" s="10" t="str">
        <x:f>'Raw Results'!$CN$45</x:f>
      </x:c>
      <x:c r="N177" s="16" t="n">
        <x:f>VALUE('Raw Results'!$CO$45)</x:f>
        <x:v>0.025656500016339123</x:v>
      </x:c>
      <x:c r="O177" s="12" t="n">
        <x:f>VALUE('Raw Results'!$CP$45)</x:f>
        <x:v>73</x:v>
      </x:c>
      <x:c r="P177" s="12" t="n">
        <x:f>VALUE('Raw Results'!$CQ$45)</x:f>
        <x:v>73</x:v>
      </x:c>
      <x:c r="Q177" s="12" t="n">
        <x:f>IF('Raw Results'!$CS$45="True",1,0)</x:f>
        <x:v>1</x:v>
      </x:c>
      <x:c r="R177" s="12" t="n">
        <x:f>VALUE('Raw Results'!$CU$45)</x:f>
        <x:v>0</x:v>
      </x:c>
      <x:c r="S177" s="12" t="n">
        <x:f>VALUE('Raw Results'!$CV$45)</x:f>
        <x:v>0</x:v>
      </x:c>
      <x:c r="T177" s="16" t="n">
        <x:f>VALUE('Raw Results'!$CH$45)</x:f>
        <x:v>18.957186099956743</x:v>
      </x:c>
      <x:c r="U177" s="16" t="n">
        <x:f>VALUE('Raw Results'!$CR$45)</x:f>
        <x:v>18.982842599973083</x:v>
      </x:c>
      <x:c r="V177" s="18" t="n">
        <x:f>IF(T177=0,0,N177/T177)</x:f>
        <x:v>0.0013533917893224494</x:v>
      </x:c>
      <x:c r="W177" s="10" t="n">
        <x:f>IF(AND(G177=1,Q177=1),1,0)</x:f>
        <x:v>1</x:v>
      </x:c>
      <x:c r="X177" s="20" t="n">
        <x:f>IF(W177=1,P177-F177,"")</x:f>
        <x:v>-3</x:v>
      </x:c>
      <x:c r="Y177" s="10" t="str">
        <x:f>IF(W177=0,"excluded",IF(X177&lt;0,"repaired",IF(X177&gt;0,"entropy","tie")))</x:f>
        <x:v>repaired</x:v>
      </x:c>
      <x:c r="Z177" s="10" t="n">
        <x:f>IF(VALUE(L177)&gt;0,1,0)</x:f>
        <x:v>0</x:v>
      </x:c>
      <x:c r="AA177" s="10" t="n">
        <x:f>IF(AND('Raw Results'!$CJ$45="True",'Raw Results'!$CK$45="True"),1,0)</x:f>
        <x:v>1</x:v>
      </x:c>
      <x:c r="AB177" s="10" t="n">
        <x:f>IF(AND(J177=0,Q177=1),1,0)</x:f>
        <x:v>0</x:v>
      </x:c>
      <x:c r="AC177" s="20" t="n">
        <x:f>P177-I177</x:f>
        <x:v>0</x:v>
      </x:c>
      <x:c r="AD177" s="10" t="n">
        <x:f>IF(AND(G177=1,J177=0),1,0)</x:f>
        <x:v>0</x:v>
      </x:c>
      <x:c r="AE177" s="10" t="n">
        <x:f>IF(AND(G177=0,Q177=1),1,0)</x:f>
        <x:v>0</x:v>
      </x:c>
    </x:row>
    <x:row r="178">
      <x:c r="A178" s="10" t="str">
        <x:f>"Grid"</x:f>
        <x:v>Grid</x:v>
      </x:c>
      <x:c r="B178" s="12" t="n">
        <x:f>VALUE('Raw Results'!$A$46)</x:f>
        <x:v>500</x:v>
      </x:c>
      <x:c r="C178" s="14" t="n">
        <x:f>VALUE('Raw Results'!$B$46)</x:f>
        <x:v>0.5</x:v>
      </x:c>
      <x:c r="D178" s="12" t="n">
        <x:f>VALUE('Raw Results'!$C$46)</x:f>
        <x:v>3</x:v>
      </x:c>
      <x:c r="E178" s="12" t="n">
        <x:f>VALUE('Raw Results'!$D$46)</x:f>
        <x:v>1909608427</x:v>
      </x:c>
      <x:c r="F178" s="12" t="n">
        <x:f>VALUE('Raw Results'!$M$46)</x:f>
        <x:v>96</x:v>
      </x:c>
      <x:c r="G178" s="12" t="n">
        <x:f>IF('Raw Results'!$O$46="True",1,0)</x:f>
        <x:v>1</x:v>
      </x:c>
      <x:c r="H178" s="12" t="n">
        <x:f>VALUE('Raw Results'!$R$46)</x:f>
        <x:v>79</x:v>
      </x:c>
      <x:c r="I178" s="12" t="n">
        <x:f>VALUE('Raw Results'!$S$46)</x:f>
        <x:v>78</x:v>
      </x:c>
      <x:c r="J178" s="12" t="n">
        <x:f>IF('Raw Results'!$U$46="True",1,0)</x:f>
        <x:v>1</x:v>
      </x:c>
      <x:c r="K178" s="12" t="n">
        <x:f>VALUE('Raw Results'!$X$46)</x:f>
        <x:v>0</x:v>
      </x:c>
      <x:c r="L178" s="12" t="n">
        <x:f>VALUE('Raw Results'!$Y$46)</x:f>
        <x:v>0</x:v>
      </x:c>
      <x:c r="M178" s="10" t="str">
        <x:f>'Raw Results'!$Z$46</x:f>
      </x:c>
      <x:c r="N178" s="16" t="n">
        <x:f>VALUE('Raw Results'!$AA$46)</x:f>
        <x:v>0.020397800020873547</x:v>
      </x:c>
      <x:c r="O178" s="12" t="n">
        <x:f>VALUE('Raw Results'!$AB$46)</x:f>
        <x:v>78</x:v>
      </x:c>
      <x:c r="P178" s="12" t="n">
        <x:f>VALUE('Raw Results'!$AC$46)</x:f>
        <x:v>78</x:v>
      </x:c>
      <x:c r="Q178" s="12" t="n">
        <x:f>IF('Raw Results'!$AE$46="True",1,0)</x:f>
        <x:v>1</x:v>
      </x:c>
      <x:c r="R178" s="12" t="n">
        <x:f>VALUE('Raw Results'!$AG$46)</x:f>
        <x:v>0</x:v>
      </x:c>
      <x:c r="S178" s="12" t="n">
        <x:f>VALUE('Raw Results'!$AH$46)</x:f>
        <x:v>0</x:v>
      </x:c>
      <x:c r="T178" s="16" t="n">
        <x:f>VALUE('Raw Results'!$T$46)</x:f>
        <x:v>7.644569199997932</x:v>
      </x:c>
      <x:c r="U178" s="16" t="n">
        <x:f>VALUE('Raw Results'!$AD$46)</x:f>
        <x:v>7.664967000018805</x:v>
      </x:c>
      <x:c r="V178" s="18" t="n">
        <x:f>IF(T178=0,0,N178/T178)</x:f>
        <x:v>0.002668273317596375</x:v>
      </x:c>
      <x:c r="W178" s="10" t="n">
        <x:f>IF(AND(G178=1,Q178=1),1,0)</x:f>
        <x:v>1</x:v>
      </x:c>
      <x:c r="X178" s="20" t="n">
        <x:f>IF(W178=1,P178-F178,"")</x:f>
        <x:v>-18</x:v>
      </x:c>
      <x:c r="Y178" s="10" t="str">
        <x:f>IF(W178=0,"excluded",IF(X178&lt;0,"repaired",IF(X178&gt;0,"entropy","tie")))</x:f>
        <x:v>repaired</x:v>
      </x:c>
      <x:c r="Z178" s="10" t="n">
        <x:f>IF(VALUE(L178)&gt;0,1,0)</x:f>
        <x:v>0</x:v>
      </x:c>
      <x:c r="AA178" s="10" t="n">
        <x:f>IF(AND('Raw Results'!$V$46="True",'Raw Results'!$W$46="True"),1,0)</x:f>
        <x:v>1</x:v>
      </x:c>
      <x:c r="AB178" s="10" t="n">
        <x:f>IF(AND(J178=0,Q178=1),1,0)</x:f>
        <x:v>0</x:v>
      </x:c>
      <x:c r="AC178" s="20" t="n">
        <x:f>P178-I178</x:f>
        <x:v>0</x:v>
      </x:c>
      <x:c r="AD178" s="10" t="n">
        <x:f>IF(AND(G178=1,J178=0),1,0)</x:f>
        <x:v>0</x:v>
      </x:c>
      <x:c r="AE178" s="10" t="n">
        <x:f>IF(AND(G178=0,Q178=1),1,0)</x:f>
        <x:v>0</x:v>
      </x:c>
    </x:row>
    <x:row r="179">
      <x:c r="A179" s="10" t="str">
        <x:f>"Circle"</x:f>
        <x:v>Circle</x:v>
      </x:c>
      <x:c r="B179" s="12" t="n">
        <x:f>VALUE('Raw Results'!$A$46)</x:f>
        <x:v>500</x:v>
      </x:c>
      <x:c r="C179" s="14" t="n">
        <x:f>VALUE('Raw Results'!$B$46)</x:f>
        <x:v>0.5</x:v>
      </x:c>
      <x:c r="D179" s="12" t="n">
        <x:f>VALUE('Raw Results'!$C$46)</x:f>
        <x:v>3</x:v>
      </x:c>
      <x:c r="E179" s="12" t="n">
        <x:f>VALUE('Raw Results'!$D$46)</x:f>
        <x:v>1909608427</x:v>
      </x:c>
      <x:c r="F179" s="12" t="n">
        <x:f>VALUE('Raw Results'!$AI$46)</x:f>
        <x:v>93</x:v>
      </x:c>
      <x:c r="G179" s="12" t="n">
        <x:f>IF('Raw Results'!$AK$46="True",1,0)</x:f>
        <x:v>1</x:v>
      </x:c>
      <x:c r="H179" s="12" t="n">
        <x:f>VALUE('Raw Results'!$AN$46)</x:f>
        <x:v>476</x:v>
      </x:c>
      <x:c r="I179" s="12" t="n">
        <x:f>VALUE('Raw Results'!$AO$46)</x:f>
        <x:v>93</x:v>
      </x:c>
      <x:c r="J179" s="12" t="n">
        <x:f>IF('Raw Results'!$AQ$46="True",1,0)</x:f>
        <x:v>1</x:v>
      </x:c>
      <x:c r="K179" s="12" t="n">
        <x:f>VALUE('Raw Results'!$AT$46)</x:f>
        <x:v>0</x:v>
      </x:c>
      <x:c r="L179" s="12" t="n">
        <x:f>VALUE('Raw Results'!$AU$46)</x:f>
        <x:v>0</x:v>
      </x:c>
      <x:c r="M179" s="10" t="str">
        <x:f>'Raw Results'!$AV$46</x:f>
      </x:c>
      <x:c r="N179" s="16" t="n">
        <x:f>VALUE('Raw Results'!$AW$46)</x:f>
        <x:v>0.02603790001012385</x:v>
      </x:c>
      <x:c r="O179" s="12" t="n">
        <x:f>VALUE('Raw Results'!$AX$46)</x:f>
        <x:v>93</x:v>
      </x:c>
      <x:c r="P179" s="12" t="n">
        <x:f>VALUE('Raw Results'!$AY$46)</x:f>
        <x:v>93</x:v>
      </x:c>
      <x:c r="Q179" s="12" t="n">
        <x:f>IF('Raw Results'!$BA$46="True",1,0)</x:f>
        <x:v>1</x:v>
      </x:c>
      <x:c r="R179" s="12" t="n">
        <x:f>VALUE('Raw Results'!$BC$46)</x:f>
        <x:v>0</x:v>
      </x:c>
      <x:c r="S179" s="12" t="n">
        <x:f>VALUE('Raw Results'!$BD$46)</x:f>
        <x:v>0</x:v>
      </x:c>
      <x:c r="T179" s="16" t="n">
        <x:f>VALUE('Raw Results'!$AP$46)</x:f>
        <x:v>2.5312977000139654</x:v>
      </x:c>
      <x:c r="U179" s="16" t="n">
        <x:f>VALUE('Raw Results'!$AZ$46)</x:f>
        <x:v>2.557335600024089</x:v>
      </x:c>
      <x:c r="V179" s="18" t="n">
        <x:f>IF(T179=0,0,N179/T179)</x:f>
        <x:v>0.010286383940529869</x:v>
      </x:c>
      <x:c r="W179" s="10" t="n">
        <x:f>IF(AND(G179=1,Q179=1),1,0)</x:f>
        <x:v>1</x:v>
      </x:c>
      <x:c r="X179" s="20" t="n">
        <x:f>IF(W179=1,P179-F179,"")</x:f>
        <x:v>0</x:v>
      </x:c>
      <x:c r="Y179" s="10" t="str">
        <x:f>IF(W179=0,"excluded",IF(X179&lt;0,"repaired",IF(X179&gt;0,"entropy","tie")))</x:f>
        <x:v>tie</x:v>
      </x:c>
      <x:c r="Z179" s="10" t="n">
        <x:f>IF(VALUE(L179)&gt;0,1,0)</x:f>
        <x:v>0</x:v>
      </x:c>
      <x:c r="AA179" s="10" t="n">
        <x:f>IF(AND('Raw Results'!$AR$46="True",'Raw Results'!$AS$46="True"),1,0)</x:f>
        <x:v>1</x:v>
      </x:c>
      <x:c r="AB179" s="10" t="n">
        <x:f>IF(AND(J179=0,Q179=1),1,0)</x:f>
        <x:v>0</x:v>
      </x:c>
      <x:c r="AC179" s="20" t="n">
        <x:f>P179-I179</x:f>
        <x:v>0</x:v>
      </x:c>
      <x:c r="AD179" s="10" t="n">
        <x:f>IF(AND(G179=1,J179=0),1,0)</x:f>
        <x:v>0</x:v>
      </x:c>
      <x:c r="AE179" s="10" t="n">
        <x:f>IF(AND(G179=0,Q179=1),1,0)</x:f>
        <x:v>0</x:v>
      </x:c>
    </x:row>
    <x:row r="180">
      <x:c r="A180" s="10" t="str">
        <x:f>"Zoomed Square"</x:f>
        <x:v>Zoomed Square</x:v>
      </x:c>
      <x:c r="B180" s="12" t="n">
        <x:f>VALUE('Raw Results'!$A$46)</x:f>
        <x:v>500</x:v>
      </x:c>
      <x:c r="C180" s="14" t="n">
        <x:f>VALUE('Raw Results'!$B$46)</x:f>
        <x:v>0.5</x:v>
      </x:c>
      <x:c r="D180" s="12" t="n">
        <x:f>VALUE('Raw Results'!$C$46)</x:f>
        <x:v>3</x:v>
      </x:c>
      <x:c r="E180" s="12" t="n">
        <x:f>VALUE('Raw Results'!$D$46)</x:f>
        <x:v>1909608427</x:v>
      </x:c>
      <x:c r="F180" s="12" t="n">
        <x:f>VALUE('Raw Results'!$BE$46)</x:f>
        <x:v>90</x:v>
      </x:c>
      <x:c r="G180" s="12" t="n">
        <x:f>IF('Raw Results'!$BG$46="True",1,0)</x:f>
        <x:v>1</x:v>
      </x:c>
      <x:c r="H180" s="12" t="n">
        <x:f>VALUE('Raw Results'!$BJ$46)</x:f>
        <x:v>218</x:v>
      </x:c>
      <x:c r="I180" s="12" t="n">
        <x:f>VALUE('Raw Results'!$BK$46)</x:f>
        <x:v>92</x:v>
      </x:c>
      <x:c r="J180" s="12" t="n">
        <x:f>IF('Raw Results'!$BM$46="True",1,0)</x:f>
        <x:v>1</x:v>
      </x:c>
      <x:c r="K180" s="12" t="n">
        <x:f>VALUE('Raw Results'!$BP$46)</x:f>
        <x:v>0</x:v>
      </x:c>
      <x:c r="L180" s="12" t="n">
        <x:f>VALUE('Raw Results'!$BQ$46)</x:f>
        <x:v>0</x:v>
      </x:c>
      <x:c r="M180" s="10" t="str">
        <x:f>'Raw Results'!$BR$46</x:f>
      </x:c>
      <x:c r="N180" s="16" t="n">
        <x:f>VALUE('Raw Results'!$BS$46)</x:f>
        <x:v>0.028907899977639318</x:v>
      </x:c>
      <x:c r="O180" s="12" t="n">
        <x:f>VALUE('Raw Results'!$BT$46)</x:f>
        <x:v>92</x:v>
      </x:c>
      <x:c r="P180" s="12" t="n">
        <x:f>VALUE('Raw Results'!$BU$46)</x:f>
        <x:v>92</x:v>
      </x:c>
      <x:c r="Q180" s="12" t="n">
        <x:f>IF('Raw Results'!$BW$46="True",1,0)</x:f>
        <x:v>1</x:v>
      </x:c>
      <x:c r="R180" s="12" t="n">
        <x:f>VALUE('Raw Results'!$BY$46)</x:f>
        <x:v>0</x:v>
      </x:c>
      <x:c r="S180" s="12" t="n">
        <x:f>VALUE('Raw Results'!$BZ$46)</x:f>
        <x:v>0</x:v>
      </x:c>
      <x:c r="T180" s="16" t="n">
        <x:f>VALUE('Raw Results'!$BL$46)</x:f>
        <x:v>2.9143025999655947</x:v>
      </x:c>
      <x:c r="U180" s="16" t="n">
        <x:f>VALUE('Raw Results'!$BV$46)</x:f>
        <x:v>2.943210499943234</x:v>
      </x:c>
      <x:c r="V180" s="18" t="n">
        <x:f>IF(T180=0,0,N180/T180)</x:f>
        <x:v>0.00991931996971783</x:v>
      </x:c>
      <x:c r="W180" s="10" t="n">
        <x:f>IF(AND(G180=1,Q180=1),1,0)</x:f>
        <x:v>1</x:v>
      </x:c>
      <x:c r="X180" s="20" t="n">
        <x:f>IF(W180=1,P180-F180,"")</x:f>
        <x:v>2</x:v>
      </x:c>
      <x:c r="Y180" s="10" t="str">
        <x:f>IF(W180=0,"excluded",IF(X180&lt;0,"repaired",IF(X180&gt;0,"entropy","tie")))</x:f>
        <x:v>entropy</x:v>
      </x:c>
      <x:c r="Z180" s="10" t="n">
        <x:f>IF(VALUE(L180)&gt;0,1,0)</x:f>
        <x:v>0</x:v>
      </x:c>
      <x:c r="AA180" s="10" t="n">
        <x:f>IF(AND('Raw Results'!$BN$46="True",'Raw Results'!$BO$46="True"),1,0)</x:f>
        <x:v>1</x:v>
      </x:c>
      <x:c r="AB180" s="10" t="n">
        <x:f>IF(AND(J180=0,Q180=1),1,0)</x:f>
        <x:v>0</x:v>
      </x:c>
      <x:c r="AC180" s="20" t="n">
        <x:f>P180-I180</x:f>
        <x:v>0</x:v>
      </x:c>
      <x:c r="AD180" s="10" t="n">
        <x:f>IF(AND(G180=1,J180=0),1,0)</x:f>
        <x:v>0</x:v>
      </x:c>
      <x:c r="AE180" s="10" t="n">
        <x:f>IF(AND(G180=0,Q180=1),1,0)</x:f>
        <x:v>0</x:v>
      </x:c>
    </x:row>
    <x:row r="181">
      <x:c r="A181" s="10" t="str">
        <x:f>"ICH"</x:f>
        <x:v>ICH</x:v>
      </x:c>
      <x:c r="B181" s="12" t="n">
        <x:f>VALUE('Raw Results'!$A$46)</x:f>
        <x:v>500</x:v>
      </x:c>
      <x:c r="C181" s="14" t="n">
        <x:f>VALUE('Raw Results'!$B$46)</x:f>
        <x:v>0.5</x:v>
      </x:c>
      <x:c r="D181" s="12" t="n">
        <x:f>VALUE('Raw Results'!$C$46)</x:f>
        <x:v>3</x:v>
      </x:c>
      <x:c r="E181" s="12" t="n">
        <x:f>VALUE('Raw Results'!$D$46)</x:f>
        <x:v>1909608427</x:v>
      </x:c>
      <x:c r="F181" s="12" t="n">
        <x:f>VALUE('Raw Results'!$CA$46)</x:f>
        <x:v>82</x:v>
      </x:c>
      <x:c r="G181" s="12" t="n">
        <x:f>IF('Raw Results'!$CC$46="True",1,0)</x:f>
        <x:v>1</x:v>
      </x:c>
      <x:c r="H181" s="12" t="n">
        <x:f>VALUE('Raw Results'!$CF$46)</x:f>
        <x:v>81</x:v>
      </x:c>
      <x:c r="I181" s="12" t="n">
        <x:f>VALUE('Raw Results'!$CG$46)</x:f>
        <x:v>81</x:v>
      </x:c>
      <x:c r="J181" s="12" t="n">
        <x:f>IF('Raw Results'!$CI$46="True",1,0)</x:f>
        <x:v>1</x:v>
      </x:c>
      <x:c r="K181" s="12" t="n">
        <x:f>VALUE('Raw Results'!$CL$46)</x:f>
        <x:v>0</x:v>
      </x:c>
      <x:c r="L181" s="12" t="n">
        <x:f>VALUE('Raw Results'!$CM$46)</x:f>
        <x:v>0</x:v>
      </x:c>
      <x:c r="M181" s="10" t="str">
        <x:f>'Raw Results'!$CN$46</x:f>
      </x:c>
      <x:c r="N181" s="16" t="n">
        <x:f>VALUE('Raw Results'!$CO$46)</x:f>
        <x:v>0.02266250003594905</x:v>
      </x:c>
      <x:c r="O181" s="12" t="n">
        <x:f>VALUE('Raw Results'!$CP$46)</x:f>
        <x:v>81</x:v>
      </x:c>
      <x:c r="P181" s="12" t="n">
        <x:f>VALUE('Raw Results'!$CQ$46)</x:f>
        <x:v>81</x:v>
      </x:c>
      <x:c r="Q181" s="12" t="n">
        <x:f>IF('Raw Results'!$CS$46="True",1,0)</x:f>
        <x:v>1</x:v>
      </x:c>
      <x:c r="R181" s="12" t="n">
        <x:f>VALUE('Raw Results'!$CU$46)</x:f>
        <x:v>0</x:v>
      </x:c>
      <x:c r="S181" s="12" t="n">
        <x:f>VALUE('Raw Results'!$CV$46)</x:f>
        <x:v>0</x:v>
      </x:c>
      <x:c r="T181" s="16" t="n">
        <x:f>VALUE('Raw Results'!$CH$46)</x:f>
        <x:v>19.026843899977393</x:v>
      </x:c>
      <x:c r="U181" s="16" t="n">
        <x:f>VALUE('Raw Results'!$CR$46)</x:f>
        <x:v>19.049506400013342</x:v>
      </x:c>
      <x:c r="V181" s="18" t="n">
        <x:f>IF(T181=0,0,N181/T181)</x:f>
        <x:v>0.0011910803575771165</x:v>
      </x:c>
      <x:c r="W181" s="10" t="n">
        <x:f>IF(AND(G181=1,Q181=1),1,0)</x:f>
        <x:v>1</x:v>
      </x:c>
      <x:c r="X181" s="20" t="n">
        <x:f>IF(W181=1,P181-F181,"")</x:f>
        <x:v>-1</x:v>
      </x:c>
      <x:c r="Y181" s="10" t="str">
        <x:f>IF(W181=0,"excluded",IF(X181&lt;0,"repaired",IF(X181&gt;0,"entropy","tie")))</x:f>
        <x:v>repaired</x:v>
      </x:c>
      <x:c r="Z181" s="10" t="n">
        <x:f>IF(VALUE(L181)&gt;0,1,0)</x:f>
        <x:v>0</x:v>
      </x:c>
      <x:c r="AA181" s="10" t="n">
        <x:f>IF(AND('Raw Results'!$CJ$46="True",'Raw Results'!$CK$46="True"),1,0)</x:f>
        <x:v>1</x:v>
      </x:c>
      <x:c r="AB181" s="10" t="n">
        <x:f>IF(AND(J181=0,Q181=1),1,0)</x:f>
        <x:v>0</x:v>
      </x:c>
      <x:c r="AC181" s="20" t="n">
        <x:f>P181-I181</x:f>
        <x:v>0</x:v>
      </x:c>
      <x:c r="AD181" s="10" t="n">
        <x:f>IF(AND(G181=1,J181=0),1,0)</x:f>
        <x:v>0</x:v>
      </x:c>
      <x:c r="AE181" s="10" t="n">
        <x:f>IF(AND(G181=0,Q181=1),1,0)</x:f>
        <x:v>0</x:v>
      </x:c>
    </x:row>
    <x:row r="182">
      <x:c r="A182" s="10" t="str">
        <x:f>"Grid"</x:f>
        <x:v>Grid</x:v>
      </x:c>
      <x:c r="B182" s="12" t="n">
        <x:f>VALUE('Raw Results'!$A$47)</x:f>
        <x:v>500</x:v>
      </x:c>
      <x:c r="C182" s="14" t="n">
        <x:f>VALUE('Raw Results'!$B$47)</x:f>
        <x:v>0.7</x:v>
      </x:c>
      <x:c r="D182" s="12" t="n">
        <x:f>VALUE('Raw Results'!$C$47)</x:f>
        <x:v>1</x:v>
      </x:c>
      <x:c r="E182" s="12" t="n">
        <x:f>VALUE('Raw Results'!$D$47)</x:f>
        <x:v>4260616327</x:v>
      </x:c>
      <x:c r="F182" s="12" t="n">
        <x:f>VALUE('Raw Results'!$M$47)</x:f>
        <x:v>112</x:v>
      </x:c>
      <x:c r="G182" s="12" t="n">
        <x:f>IF('Raw Results'!$O$47="True",1,0)</x:f>
        <x:v>1</x:v>
      </x:c>
      <x:c r="H182" s="12" t="n">
        <x:f>VALUE('Raw Results'!$R$47)</x:f>
        <x:v>100</x:v>
      </x:c>
      <x:c r="I182" s="12" t="n">
        <x:f>VALUE('Raw Results'!$S$47)</x:f>
        <x:v>97</x:v>
      </x:c>
      <x:c r="J182" s="12" t="n">
        <x:f>IF('Raw Results'!$U$47="True",1,0)</x:f>
        <x:v>1</x:v>
      </x:c>
      <x:c r="K182" s="12" t="n">
        <x:f>VALUE('Raw Results'!$X$47)</x:f>
        <x:v>0</x:v>
      </x:c>
      <x:c r="L182" s="12" t="n">
        <x:f>VALUE('Raw Results'!$Y$47)</x:f>
        <x:v>0</x:v>
      </x:c>
      <x:c r="M182" s="10" t="str">
        <x:f>'Raw Results'!$Z$47</x:f>
      </x:c>
      <x:c r="N182" s="16" t="n">
        <x:f>VALUE('Raw Results'!$AA$47)</x:f>
        <x:v>0.02857850003056228</x:v>
      </x:c>
      <x:c r="O182" s="12" t="n">
        <x:f>VALUE('Raw Results'!$AB$47)</x:f>
        <x:v>97</x:v>
      </x:c>
      <x:c r="P182" s="12" t="n">
        <x:f>VALUE('Raw Results'!$AC$47)</x:f>
        <x:v>97</x:v>
      </x:c>
      <x:c r="Q182" s="12" t="n">
        <x:f>IF('Raw Results'!$AE$47="True",1,0)</x:f>
        <x:v>1</x:v>
      </x:c>
      <x:c r="R182" s="12" t="n">
        <x:f>VALUE('Raw Results'!$AG$47)</x:f>
        <x:v>0</x:v>
      </x:c>
      <x:c r="S182" s="12" t="n">
        <x:f>VALUE('Raw Results'!$AH$47)</x:f>
        <x:v>0</x:v>
      </x:c>
      <x:c r="T182" s="16" t="n">
        <x:f>VALUE('Raw Results'!$T$47)</x:f>
        <x:v>9.263589999987744</x:v>
      </x:c>
      <x:c r="U182" s="16" t="n">
        <x:f>VALUE('Raw Results'!$AD$47)</x:f>
        <x:v>9.292168500018306</x:v>
      </x:c>
      <x:c r="V182" s="18" t="n">
        <x:f>IF(T182=0,0,N182/T182)</x:f>
        <x:v>0.0030850350707015413</x:v>
      </x:c>
      <x:c r="W182" s="10" t="n">
        <x:f>IF(AND(G182=1,Q182=1),1,0)</x:f>
        <x:v>1</x:v>
      </x:c>
      <x:c r="X182" s="20" t="n">
        <x:f>IF(W182=1,P182-F182,"")</x:f>
        <x:v>-15</x:v>
      </x:c>
      <x:c r="Y182" s="10" t="str">
        <x:f>IF(W182=0,"excluded",IF(X182&lt;0,"repaired",IF(X182&gt;0,"entropy","tie")))</x:f>
        <x:v>repaired</x:v>
      </x:c>
      <x:c r="Z182" s="10" t="n">
        <x:f>IF(VALUE(L182)&gt;0,1,0)</x:f>
        <x:v>0</x:v>
      </x:c>
      <x:c r="AA182" s="10" t="n">
        <x:f>IF(AND('Raw Results'!$V$47="True",'Raw Results'!$W$47="True"),1,0)</x:f>
        <x:v>1</x:v>
      </x:c>
      <x:c r="AB182" s="10" t="n">
        <x:f>IF(AND(J182=0,Q182=1),1,0)</x:f>
        <x:v>0</x:v>
      </x:c>
      <x:c r="AC182" s="20" t="n">
        <x:f>P182-I182</x:f>
        <x:v>0</x:v>
      </x:c>
      <x:c r="AD182" s="10" t="n">
        <x:f>IF(AND(G182=1,J182=0),1,0)</x:f>
        <x:v>0</x:v>
      </x:c>
      <x:c r="AE182" s="10" t="n">
        <x:f>IF(AND(G182=0,Q182=1),1,0)</x:f>
        <x:v>0</x:v>
      </x:c>
    </x:row>
    <x:row r="183">
      <x:c r="A183" s="10" t="str">
        <x:f>"Circle"</x:f>
        <x:v>Circle</x:v>
      </x:c>
      <x:c r="B183" s="12" t="n">
        <x:f>VALUE('Raw Results'!$A$47)</x:f>
        <x:v>500</x:v>
      </x:c>
      <x:c r="C183" s="14" t="n">
        <x:f>VALUE('Raw Results'!$B$47)</x:f>
        <x:v>0.7</x:v>
      </x:c>
      <x:c r="D183" s="12" t="n">
        <x:f>VALUE('Raw Results'!$C$47)</x:f>
        <x:v>1</x:v>
      </x:c>
      <x:c r="E183" s="12" t="n">
        <x:f>VALUE('Raw Results'!$D$47)</x:f>
        <x:v>4260616327</x:v>
      </x:c>
      <x:c r="F183" s="12" t="n">
        <x:f>VALUE('Raw Results'!$AI$47)</x:f>
        <x:v>120</x:v>
      </x:c>
      <x:c r="G183" s="12" t="n">
        <x:f>IF('Raw Results'!$AK$47="True",1,0)</x:f>
        <x:v>1</x:v>
      </x:c>
      <x:c r="H183" s="12" t="n">
        <x:f>VALUE('Raw Results'!$AN$47)</x:f>
        <x:v>466</x:v>
      </x:c>
      <x:c r="I183" s="12" t="n">
        <x:f>VALUE('Raw Results'!$AO$47)</x:f>
        <x:v>120</x:v>
      </x:c>
      <x:c r="J183" s="12" t="n">
        <x:f>IF('Raw Results'!$AQ$47="True",1,0)</x:f>
        <x:v>1</x:v>
      </x:c>
      <x:c r="K183" s="12" t="n">
        <x:f>VALUE('Raw Results'!$AT$47)</x:f>
        <x:v>0</x:v>
      </x:c>
      <x:c r="L183" s="12" t="n">
        <x:f>VALUE('Raw Results'!$AU$47)</x:f>
        <x:v>0</x:v>
      </x:c>
      <x:c r="M183" s="10" t="str">
        <x:f>'Raw Results'!$AV$47</x:f>
      </x:c>
      <x:c r="N183" s="16" t="n">
        <x:f>VALUE('Raw Results'!$AW$47)</x:f>
        <x:v>0.030382900033146143</x:v>
      </x:c>
      <x:c r="O183" s="12" t="n">
        <x:f>VALUE('Raw Results'!$AX$47)</x:f>
        <x:v>120</x:v>
      </x:c>
      <x:c r="P183" s="12" t="n">
        <x:f>VALUE('Raw Results'!$AY$47)</x:f>
        <x:v>120</x:v>
      </x:c>
      <x:c r="Q183" s="12" t="n">
        <x:f>IF('Raw Results'!$BA$47="True",1,0)</x:f>
        <x:v>1</x:v>
      </x:c>
      <x:c r="R183" s="12" t="n">
        <x:f>VALUE('Raw Results'!$BC$47)</x:f>
        <x:v>0</x:v>
      </x:c>
      <x:c r="S183" s="12" t="n">
        <x:f>VALUE('Raw Results'!$BD$47)</x:f>
        <x:v>0</x:v>
      </x:c>
      <x:c r="T183" s="16" t="n">
        <x:f>VALUE('Raw Results'!$AP$47)</x:f>
        <x:v>2.701156900031492</x:v>
      </x:c>
      <x:c r="U183" s="16" t="n">
        <x:f>VALUE('Raw Results'!$AZ$47)</x:f>
        <x:v>2.7315398000646383</x:v>
      </x:c>
      <x:c r="V183" s="18" t="n">
        <x:f>IF(T183=0,0,N183/T183)</x:f>
        <x:v>0.011248106332805739</x:v>
      </x:c>
      <x:c r="W183" s="10" t="n">
        <x:f>IF(AND(G183=1,Q183=1),1,0)</x:f>
        <x:v>1</x:v>
      </x:c>
      <x:c r="X183" s="20" t="n">
        <x:f>IF(W183=1,P183-F183,"")</x:f>
        <x:v>0</x:v>
      </x:c>
      <x:c r="Y183" s="10" t="str">
        <x:f>IF(W183=0,"excluded",IF(X183&lt;0,"repaired",IF(X183&gt;0,"entropy","tie")))</x:f>
        <x:v>tie</x:v>
      </x:c>
      <x:c r="Z183" s="10" t="n">
        <x:f>IF(VALUE(L183)&gt;0,1,0)</x:f>
        <x:v>0</x:v>
      </x:c>
      <x:c r="AA183" s="10" t="n">
        <x:f>IF(AND('Raw Results'!$AR$47="True",'Raw Results'!$AS$47="True"),1,0)</x:f>
        <x:v>1</x:v>
      </x:c>
      <x:c r="AB183" s="10" t="n">
        <x:f>IF(AND(J183=0,Q183=1),1,0)</x:f>
        <x:v>0</x:v>
      </x:c>
      <x:c r="AC183" s="20" t="n">
        <x:f>P183-I183</x:f>
        <x:v>0</x:v>
      </x:c>
      <x:c r="AD183" s="10" t="n">
        <x:f>IF(AND(G183=1,J183=0),1,0)</x:f>
        <x:v>0</x:v>
      </x:c>
      <x:c r="AE183" s="10" t="n">
        <x:f>IF(AND(G183=0,Q183=1),1,0)</x:f>
        <x:v>0</x:v>
      </x:c>
    </x:row>
    <x:row r="184">
      <x:c r="A184" s="10" t="str">
        <x:f>"Zoomed Square"</x:f>
        <x:v>Zoomed Square</x:v>
      </x:c>
      <x:c r="B184" s="12" t="n">
        <x:f>VALUE('Raw Results'!$A$47)</x:f>
        <x:v>500</x:v>
      </x:c>
      <x:c r="C184" s="14" t="n">
        <x:f>VALUE('Raw Results'!$B$47)</x:f>
        <x:v>0.7</x:v>
      </x:c>
      <x:c r="D184" s="12" t="n">
        <x:f>VALUE('Raw Results'!$C$47)</x:f>
        <x:v>1</x:v>
      </x:c>
      <x:c r="E184" s="12" t="n">
        <x:f>VALUE('Raw Results'!$D$47)</x:f>
        <x:v>4260616327</x:v>
      </x:c>
      <x:c r="F184" s="12" t="n">
        <x:f>VALUE('Raw Results'!$BE$47)</x:f>
        <x:v>126</x:v>
      </x:c>
      <x:c r="G184" s="12" t="n">
        <x:f>IF('Raw Results'!$BG$47="True",1,0)</x:f>
        <x:v>1</x:v>
      </x:c>
      <x:c r="H184" s="12" t="n">
        <x:f>VALUE('Raw Results'!$BJ$47)</x:f>
        <x:v>246</x:v>
      </x:c>
      <x:c r="I184" s="12" t="n">
        <x:f>VALUE('Raw Results'!$BK$47)</x:f>
        <x:v>246</x:v>
      </x:c>
      <x:c r="J184" s="12" t="n">
        <x:f>IF('Raw Results'!$BM$47="True",1,0)</x:f>
        <x:v>0</x:v>
      </x:c>
      <x:c r="K184" s="12" t="n">
        <x:f>VALUE('Raw Results'!$BP$47)</x:f>
        <x:v>1</x:v>
      </x:c>
      <x:c r="L184" s="12" t="n">
        <x:f>VALUE('Raw Results'!$BQ$47)</x:f>
        <x:v>1</x:v>
      </x:c>
      <x:c r="M184" s="10" t="str">
        <x:f>'Raw Results'!$BR$47</x:f>
        <x:v>1</x:v>
      </x:c>
      <x:c r="N184" s="16" t="n">
        <x:f>VALUE('Raw Results'!$BS$47)</x:f>
        <x:v>1.0473935999907553</x:v>
      </x:c>
      <x:c r="O184" s="12" t="n">
        <x:f>VALUE('Raw Results'!$BT$47)</x:f>
        <x:v>247</x:v>
      </x:c>
      <x:c r="P184" s="12" t="n">
        <x:f>VALUE('Raw Results'!$BU$47)</x:f>
        <x:v>108</x:v>
      </x:c>
      <x:c r="Q184" s="12" t="n">
        <x:f>IF('Raw Results'!$BW$47="True",1,0)</x:f>
        <x:v>1</x:v>
      </x:c>
      <x:c r="R184" s="12" t="n">
        <x:f>VALUE('Raw Results'!$BY$47)</x:f>
        <x:v>139</x:v>
      </x:c>
      <x:c r="S184" s="12" t="n">
        <x:f>VALUE('Raw Results'!$BZ$47)</x:f>
        <x:v>-138</x:v>
      </x:c>
      <x:c r="T184" s="16" t="n">
        <x:f>VALUE('Raw Results'!$BL$47)</x:f>
        <x:v>6.635951100033708</x:v>
      </x:c>
      <x:c r="U184" s="16" t="n">
        <x:f>VALUE('Raw Results'!$BV$47)</x:f>
        <x:v>7.683344700024463</x:v>
      </x:c>
      <x:c r="V184" s="18" t="n">
        <x:f>IF(T184=0,0,N184/T184)</x:f>
        <x:v>0.15783624445114355</x:v>
      </x:c>
      <x:c r="W184" s="10" t="n">
        <x:f>IF(AND(G184=1,Q184=1),1,0)</x:f>
        <x:v>1</x:v>
      </x:c>
      <x:c r="X184" s="20" t="n">
        <x:f>IF(W184=1,P184-F184,"")</x:f>
        <x:v>-18</x:v>
      </x:c>
      <x:c r="Y184" s="10" t="str">
        <x:f>IF(W184=0,"excluded",IF(X184&lt;0,"repaired",IF(X184&gt;0,"entropy","tie")))</x:f>
        <x:v>repaired</x:v>
      </x:c>
      <x:c r="Z184" s="10" t="n">
        <x:f>IF(VALUE(L184)&gt;0,1,0)</x:f>
        <x:v>1</x:v>
      </x:c>
      <x:c r="AA184" s="10" t="n">
        <x:f>IF(AND('Raw Results'!$BN$47="True",'Raw Results'!$BO$47="True"),1,0)</x:f>
        <x:v>1</x:v>
      </x:c>
      <x:c r="AB184" s="10" t="n">
        <x:f>IF(AND(J184=0,Q184=1),1,0)</x:f>
        <x:v>1</x:v>
      </x:c>
      <x:c r="AC184" s="20" t="n">
        <x:f>P184-I184</x:f>
        <x:v>-138</x:v>
      </x:c>
      <x:c r="AD184" s="10" t="n">
        <x:f>IF(AND(G184=1,J184=0),1,0)</x:f>
        <x:v>1</x:v>
      </x:c>
      <x:c r="AE184" s="10" t="n">
        <x:f>IF(AND(G184=0,Q184=1),1,0)</x:f>
        <x:v>0</x:v>
      </x:c>
    </x:row>
    <x:row r="185">
      <x:c r="A185" s="10" t="str">
        <x:f>"ICH"</x:f>
        <x:v>ICH</x:v>
      </x:c>
      <x:c r="B185" s="12" t="n">
        <x:f>VALUE('Raw Results'!$A$47)</x:f>
        <x:v>500</x:v>
      </x:c>
      <x:c r="C185" s="14" t="n">
        <x:f>VALUE('Raw Results'!$B$47)</x:f>
        <x:v>0.7</x:v>
      </x:c>
      <x:c r="D185" s="12" t="n">
        <x:f>VALUE('Raw Results'!$C$47)</x:f>
        <x:v>1</x:v>
      </x:c>
      <x:c r="E185" s="12" t="n">
        <x:f>VALUE('Raw Results'!$D$47)</x:f>
        <x:v>4260616327</x:v>
      </x:c>
      <x:c r="F185" s="12" t="n">
        <x:f>VALUE('Raw Results'!$CA$47)</x:f>
        <x:v>100</x:v>
      </x:c>
      <x:c r="G185" s="12" t="n">
        <x:f>IF('Raw Results'!$CC$47="True",1,0)</x:f>
        <x:v>1</x:v>
      </x:c>
      <x:c r="H185" s="12" t="n">
        <x:f>VALUE('Raw Results'!$CF$47)</x:f>
        <x:v>99</x:v>
      </x:c>
      <x:c r="I185" s="12" t="n">
        <x:f>VALUE('Raw Results'!$CG$47)</x:f>
        <x:v>99</x:v>
      </x:c>
      <x:c r="J185" s="12" t="n">
        <x:f>IF('Raw Results'!$CI$47="True",1,0)</x:f>
        <x:v>1</x:v>
      </x:c>
      <x:c r="K185" s="12" t="n">
        <x:f>VALUE('Raw Results'!$CL$47)</x:f>
        <x:v>0</x:v>
      </x:c>
      <x:c r="L185" s="12" t="n">
        <x:f>VALUE('Raw Results'!$CM$47)</x:f>
        <x:v>0</x:v>
      </x:c>
      <x:c r="M185" s="10" t="str">
        <x:f>'Raw Results'!$CN$47</x:f>
      </x:c>
      <x:c r="N185" s="16" t="n">
        <x:f>VALUE('Raw Results'!$CO$47)</x:f>
        <x:v>0.02790470002219081</x:v>
      </x:c>
      <x:c r="O185" s="12" t="n">
        <x:f>VALUE('Raw Results'!$CP$47)</x:f>
        <x:v>99</x:v>
      </x:c>
      <x:c r="P185" s="12" t="n">
        <x:f>VALUE('Raw Results'!$CQ$47)</x:f>
        <x:v>99</x:v>
      </x:c>
      <x:c r="Q185" s="12" t="n">
        <x:f>IF('Raw Results'!$CS$47="True",1,0)</x:f>
        <x:v>1</x:v>
      </x:c>
      <x:c r="R185" s="12" t="n">
        <x:f>VALUE('Raw Results'!$CU$47)</x:f>
        <x:v>0</x:v>
      </x:c>
      <x:c r="S185" s="12" t="n">
        <x:f>VALUE('Raw Results'!$CV$47)</x:f>
        <x:v>0</x:v>
      </x:c>
      <x:c r="T185" s="16" t="n">
        <x:f>VALUE('Raw Results'!$CH$47)</x:f>
        <x:v>20.98659400001634</x:v>
      </x:c>
      <x:c r="U185" s="16" t="n">
        <x:f>VALUE('Raw Results'!$CR$47)</x:f>
        <x:v>21.01449870003853</x:v>
      </x:c>
      <x:c r="V185" s="18" t="n">
        <x:f>IF(T185=0,0,N185/T185)</x:f>
        <x:v>0.00132964405859136</x:v>
      </x:c>
      <x:c r="W185" s="10" t="n">
        <x:f>IF(AND(G185=1,Q185=1),1,0)</x:f>
        <x:v>1</x:v>
      </x:c>
      <x:c r="X185" s="20" t="n">
        <x:f>IF(W185=1,P185-F185,"")</x:f>
        <x:v>-1</x:v>
      </x:c>
      <x:c r="Y185" s="10" t="str">
        <x:f>IF(W185=0,"excluded",IF(X185&lt;0,"repaired",IF(X185&gt;0,"entropy","tie")))</x:f>
        <x:v>repaired</x:v>
      </x:c>
      <x:c r="Z185" s="10" t="n">
        <x:f>IF(VALUE(L185)&gt;0,1,0)</x:f>
        <x:v>0</x:v>
      </x:c>
      <x:c r="AA185" s="10" t="n">
        <x:f>IF(AND('Raw Results'!$CJ$47="True",'Raw Results'!$CK$47="True"),1,0)</x:f>
        <x:v>1</x:v>
      </x:c>
      <x:c r="AB185" s="10" t="n">
        <x:f>IF(AND(J185=0,Q185=1),1,0)</x:f>
        <x:v>0</x:v>
      </x:c>
      <x:c r="AC185" s="20" t="n">
        <x:f>P185-I185</x:f>
        <x:v>0</x:v>
      </x:c>
      <x:c r="AD185" s="10" t="n">
        <x:f>IF(AND(G185=1,J185=0),1,0)</x:f>
        <x:v>0</x:v>
      </x:c>
      <x:c r="AE185" s="10" t="n">
        <x:f>IF(AND(G185=0,Q185=1),1,0)</x:f>
        <x:v>0</x:v>
      </x:c>
    </x:row>
    <x:row r="186">
      <x:c r="A186" s="10" t="str">
        <x:f>"Grid"</x:f>
        <x:v>Grid</x:v>
      </x:c>
      <x:c r="B186" s="12" t="n">
        <x:f>VALUE('Raw Results'!$A$48)</x:f>
        <x:v>500</x:v>
      </x:c>
      <x:c r="C186" s="14" t="n">
        <x:f>VALUE('Raw Results'!$B$48)</x:f>
        <x:v>0.7</x:v>
      </x:c>
      <x:c r="D186" s="12" t="n">
        <x:f>VALUE('Raw Results'!$C$48)</x:f>
        <x:v>2</x:v>
      </x:c>
      <x:c r="E186" s="12" t="n">
        <x:f>VALUE('Raw Results'!$D$48)</x:f>
        <x:v>896421585</x:v>
      </x:c>
      <x:c r="F186" s="12" t="n">
        <x:f>VALUE('Raw Results'!$M$48)</x:f>
        <x:v>117</x:v>
      </x:c>
      <x:c r="G186" s="12" t="n">
        <x:f>IF('Raw Results'!$O$48="True",1,0)</x:f>
        <x:v>1</x:v>
      </x:c>
      <x:c r="H186" s="12" t="n">
        <x:f>VALUE('Raw Results'!$R$48)</x:f>
        <x:v>99</x:v>
      </x:c>
      <x:c r="I186" s="12" t="n">
        <x:f>VALUE('Raw Results'!$S$48)</x:f>
        <x:v>97</x:v>
      </x:c>
      <x:c r="J186" s="12" t="n">
        <x:f>IF('Raw Results'!$U$48="True",1,0)</x:f>
        <x:v>1</x:v>
      </x:c>
      <x:c r="K186" s="12" t="n">
        <x:f>VALUE('Raw Results'!$X$48)</x:f>
        <x:v>0</x:v>
      </x:c>
      <x:c r="L186" s="12" t="n">
        <x:f>VALUE('Raw Results'!$Y$48)</x:f>
        <x:v>0</x:v>
      </x:c>
      <x:c r="M186" s="10" t="str">
        <x:f>'Raw Results'!$Z$48</x:f>
      </x:c>
      <x:c r="N186" s="16" t="n">
        <x:f>VALUE('Raw Results'!$AA$48)</x:f>
        <x:v>0.03243999998085201</x:v>
      </x:c>
      <x:c r="O186" s="12" t="n">
        <x:f>VALUE('Raw Results'!$AB$48)</x:f>
        <x:v>97</x:v>
      </x:c>
      <x:c r="P186" s="12" t="n">
        <x:f>VALUE('Raw Results'!$AC$48)</x:f>
        <x:v>97</x:v>
      </x:c>
      <x:c r="Q186" s="12" t="n">
        <x:f>IF('Raw Results'!$AE$48="True",1,0)</x:f>
        <x:v>1</x:v>
      </x:c>
      <x:c r="R186" s="12" t="n">
        <x:f>VALUE('Raw Results'!$AG$48)</x:f>
        <x:v>0</x:v>
      </x:c>
      <x:c r="S186" s="12" t="n">
        <x:f>VALUE('Raw Results'!$AH$48)</x:f>
        <x:v>0</x:v>
      </x:c>
      <x:c r="T186" s="16" t="n">
        <x:f>VALUE('Raw Results'!$T$48)</x:f>
        <x:v>9.050842500058934</x:v>
      </x:c>
      <x:c r="U186" s="16" t="n">
        <x:f>VALUE('Raw Results'!$AD$48)</x:f>
        <x:v>9.083282500039786</x:v>
      </x:c>
      <x:c r="V186" s="18" t="n">
        <x:f>IF(T186=0,0,N186/T186)</x:f>
        <x:v>0.0035841967176691867</x:v>
      </x:c>
      <x:c r="W186" s="10" t="n">
        <x:f>IF(AND(G186=1,Q186=1),1,0)</x:f>
        <x:v>1</x:v>
      </x:c>
      <x:c r="X186" s="20" t="n">
        <x:f>IF(W186=1,P186-F186,"")</x:f>
        <x:v>-20</x:v>
      </x:c>
      <x:c r="Y186" s="10" t="str">
        <x:f>IF(W186=0,"excluded",IF(X186&lt;0,"repaired",IF(X186&gt;0,"entropy","tie")))</x:f>
        <x:v>repaired</x:v>
      </x:c>
      <x:c r="Z186" s="10" t="n">
        <x:f>IF(VALUE(L186)&gt;0,1,0)</x:f>
        <x:v>0</x:v>
      </x:c>
      <x:c r="AA186" s="10" t="n">
        <x:f>IF(AND('Raw Results'!$V$48="True",'Raw Results'!$W$48="True"),1,0)</x:f>
        <x:v>1</x:v>
      </x:c>
      <x:c r="AB186" s="10" t="n">
        <x:f>IF(AND(J186=0,Q186=1),1,0)</x:f>
        <x:v>0</x:v>
      </x:c>
      <x:c r="AC186" s="20" t="n">
        <x:f>P186-I186</x:f>
        <x:v>0</x:v>
      </x:c>
      <x:c r="AD186" s="10" t="n">
        <x:f>IF(AND(G186=1,J186=0),1,0)</x:f>
        <x:v>0</x:v>
      </x:c>
      <x:c r="AE186" s="10" t="n">
        <x:f>IF(AND(G186=0,Q186=1),1,0)</x:f>
        <x:v>0</x:v>
      </x:c>
    </x:row>
    <x:row r="187">
      <x:c r="A187" s="10" t="str">
        <x:f>"Circle"</x:f>
        <x:v>Circle</x:v>
      </x:c>
      <x:c r="B187" s="12" t="n">
        <x:f>VALUE('Raw Results'!$A$48)</x:f>
        <x:v>500</x:v>
      </x:c>
      <x:c r="C187" s="14" t="n">
        <x:f>VALUE('Raw Results'!$B$48)</x:f>
        <x:v>0.7</x:v>
      </x:c>
      <x:c r="D187" s="12" t="n">
        <x:f>VALUE('Raw Results'!$C$48)</x:f>
        <x:v>2</x:v>
      </x:c>
      <x:c r="E187" s="12" t="n">
        <x:f>VALUE('Raw Results'!$D$48)</x:f>
        <x:v>896421585</x:v>
      </x:c>
      <x:c r="F187" s="12" t="n">
        <x:f>VALUE('Raw Results'!$AI$48)</x:f>
        <x:v>144</x:v>
      </x:c>
      <x:c r="G187" s="12" t="n">
        <x:f>IF('Raw Results'!$AK$48="True",1,0)</x:f>
        <x:v>1</x:v>
      </x:c>
      <x:c r="H187" s="12" t="n">
        <x:f>VALUE('Raw Results'!$AN$48)</x:f>
        <x:v>440</x:v>
      </x:c>
      <x:c r="I187" s="12" t="n">
        <x:f>VALUE('Raw Results'!$AO$48)</x:f>
        <x:v>144</x:v>
      </x:c>
      <x:c r="J187" s="12" t="n">
        <x:f>IF('Raw Results'!$AQ$48="True",1,0)</x:f>
        <x:v>1</x:v>
      </x:c>
      <x:c r="K187" s="12" t="n">
        <x:f>VALUE('Raw Results'!$AT$48)</x:f>
        <x:v>0</x:v>
      </x:c>
      <x:c r="L187" s="12" t="n">
        <x:f>VALUE('Raw Results'!$AU$48)</x:f>
        <x:v>0</x:v>
      </x:c>
      <x:c r="M187" s="10" t="str">
        <x:f>'Raw Results'!$AV$48</x:f>
      </x:c>
      <x:c r="N187" s="16" t="n">
        <x:f>VALUE('Raw Results'!$AW$48)</x:f>
        <x:v>0.03704920003656298</x:v>
      </x:c>
      <x:c r="O187" s="12" t="n">
        <x:f>VALUE('Raw Results'!$AX$48)</x:f>
        <x:v>144</x:v>
      </x:c>
      <x:c r="P187" s="12" t="n">
        <x:f>VALUE('Raw Results'!$AY$48)</x:f>
        <x:v>144</x:v>
      </x:c>
      <x:c r="Q187" s="12" t="n">
        <x:f>IF('Raw Results'!$BA$48="True",1,0)</x:f>
        <x:v>1</x:v>
      </x:c>
      <x:c r="R187" s="12" t="n">
        <x:f>VALUE('Raw Results'!$BC$48)</x:f>
        <x:v>0</x:v>
      </x:c>
      <x:c r="S187" s="12" t="n">
        <x:f>VALUE('Raw Results'!$BD$48)</x:f>
        <x:v>0</x:v>
      </x:c>
      <x:c r="T187" s="16" t="n">
        <x:f>VALUE('Raw Results'!$AP$48)</x:f>
        <x:v>3.021812599967234</x:v>
      </x:c>
      <x:c r="U187" s="16" t="n">
        <x:f>VALUE('Raw Results'!$AZ$48)</x:f>
        <x:v>3.058861800003797</x:v>
      </x:c>
      <x:c r="V187" s="18" t="n">
        <x:f>IF(T187=0,0,N187/T187)</x:f>
        <x:v>0.012260588243283091</x:v>
      </x:c>
      <x:c r="W187" s="10" t="n">
        <x:f>IF(AND(G187=1,Q187=1),1,0)</x:f>
        <x:v>1</x:v>
      </x:c>
      <x:c r="X187" s="20" t="n">
        <x:f>IF(W187=1,P187-F187,"")</x:f>
        <x:v>0</x:v>
      </x:c>
      <x:c r="Y187" s="10" t="str">
        <x:f>IF(W187=0,"excluded",IF(X187&lt;0,"repaired",IF(X187&gt;0,"entropy","tie")))</x:f>
        <x:v>tie</x:v>
      </x:c>
      <x:c r="Z187" s="10" t="n">
        <x:f>IF(VALUE(L187)&gt;0,1,0)</x:f>
        <x:v>0</x:v>
      </x:c>
      <x:c r="AA187" s="10" t="n">
        <x:f>IF(AND('Raw Results'!$AR$48="True",'Raw Results'!$AS$48="True"),1,0)</x:f>
        <x:v>1</x:v>
      </x:c>
      <x:c r="AB187" s="10" t="n">
        <x:f>IF(AND(J187=0,Q187=1),1,0)</x:f>
        <x:v>0</x:v>
      </x:c>
      <x:c r="AC187" s="20" t="n">
        <x:f>P187-I187</x:f>
        <x:v>0</x:v>
      </x:c>
      <x:c r="AD187" s="10" t="n">
        <x:f>IF(AND(G187=1,J187=0),1,0)</x:f>
        <x:v>0</x:v>
      </x:c>
      <x:c r="AE187" s="10" t="n">
        <x:f>IF(AND(G187=0,Q187=1),1,0)</x:f>
        <x:v>0</x:v>
      </x:c>
    </x:row>
    <x:row r="188">
      <x:c r="A188" s="10" t="str">
        <x:f>"Zoomed Square"</x:f>
        <x:v>Zoomed Square</x:v>
      </x:c>
      <x:c r="B188" s="12" t="n">
        <x:f>VALUE('Raw Results'!$A$48)</x:f>
        <x:v>500</x:v>
      </x:c>
      <x:c r="C188" s="14" t="n">
        <x:f>VALUE('Raw Results'!$B$48)</x:f>
        <x:v>0.7</x:v>
      </x:c>
      <x:c r="D188" s="12" t="n">
        <x:f>VALUE('Raw Results'!$C$48)</x:f>
        <x:v>2</x:v>
      </x:c>
      <x:c r="E188" s="12" t="n">
        <x:f>VALUE('Raw Results'!$D$48)</x:f>
        <x:v>896421585</x:v>
      </x:c>
      <x:c r="F188" s="12" t="n">
        <x:f>VALUE('Raw Results'!$BE$48)</x:f>
        <x:v>142</x:v>
      </x:c>
      <x:c r="G188" s="12" t="n">
        <x:f>IF('Raw Results'!$BG$48="True",1,0)</x:f>
        <x:v>1</x:v>
      </x:c>
      <x:c r="H188" s="12" t="n">
        <x:f>VALUE('Raw Results'!$BJ$48)</x:f>
        <x:v>275</x:v>
      </x:c>
      <x:c r="I188" s="12" t="n">
        <x:f>VALUE('Raw Results'!$BK$48)</x:f>
        <x:v>112</x:v>
      </x:c>
      <x:c r="J188" s="12" t="n">
        <x:f>IF('Raw Results'!$BM$48="True",1,0)</x:f>
        <x:v>1</x:v>
      </x:c>
      <x:c r="K188" s="12" t="n">
        <x:f>VALUE('Raw Results'!$BP$48)</x:f>
        <x:v>0</x:v>
      </x:c>
      <x:c r="L188" s="12" t="n">
        <x:f>VALUE('Raw Results'!$BQ$48)</x:f>
        <x:v>0</x:v>
      </x:c>
      <x:c r="M188" s="10" t="str">
        <x:f>'Raw Results'!$BR$48</x:f>
      </x:c>
      <x:c r="N188" s="16" t="n">
        <x:f>VALUE('Raw Results'!$BS$48)</x:f>
        <x:v>0.03055949998088181</x:v>
      </x:c>
      <x:c r="O188" s="12" t="n">
        <x:f>VALUE('Raw Results'!$BT$48)</x:f>
        <x:v>112</x:v>
      </x:c>
      <x:c r="P188" s="12" t="n">
        <x:f>VALUE('Raw Results'!$BU$48)</x:f>
        <x:v>112</x:v>
      </x:c>
      <x:c r="Q188" s="12" t="n">
        <x:f>IF('Raw Results'!$BW$48="True",1,0)</x:f>
        <x:v>1</x:v>
      </x:c>
      <x:c r="R188" s="12" t="n">
        <x:f>VALUE('Raw Results'!$BY$48)</x:f>
        <x:v>0</x:v>
      </x:c>
      <x:c r="S188" s="12" t="n">
        <x:f>VALUE('Raw Results'!$BZ$48)</x:f>
        <x:v>0</x:v>
      </x:c>
      <x:c r="T188" s="16" t="n">
        <x:f>VALUE('Raw Results'!$BL$48)</x:f>
        <x:v>6.5719569000648335</x:v>
      </x:c>
      <x:c r="U188" s="16" t="n">
        <x:f>VALUE('Raw Results'!$BV$48)</x:f>
        <x:v>6.602516400045715</x:v>
      </x:c>
      <x:c r="V188" s="18" t="n">
        <x:f>IF(T188=0,0,N188/T188)</x:f>
        <x:v>0.004649984844024211</x:v>
      </x:c>
      <x:c r="W188" s="10" t="n">
        <x:f>IF(AND(G188=1,Q188=1),1,0)</x:f>
        <x:v>1</x:v>
      </x:c>
      <x:c r="X188" s="20" t="n">
        <x:f>IF(W188=1,P188-F188,"")</x:f>
        <x:v>-30</x:v>
      </x:c>
      <x:c r="Y188" s="10" t="str">
        <x:f>IF(W188=0,"excluded",IF(X188&lt;0,"repaired",IF(X188&gt;0,"entropy","tie")))</x:f>
        <x:v>repaired</x:v>
      </x:c>
      <x:c r="Z188" s="10" t="n">
        <x:f>IF(VALUE(L188)&gt;0,1,0)</x:f>
        <x:v>0</x:v>
      </x:c>
      <x:c r="AA188" s="10" t="n">
        <x:f>IF(AND('Raw Results'!$BN$48="True",'Raw Results'!$BO$48="True"),1,0)</x:f>
        <x:v>1</x:v>
      </x:c>
      <x:c r="AB188" s="10" t="n">
        <x:f>IF(AND(J188=0,Q188=1),1,0)</x:f>
        <x:v>0</x:v>
      </x:c>
      <x:c r="AC188" s="20" t="n">
        <x:f>P188-I188</x:f>
        <x:v>0</x:v>
      </x:c>
      <x:c r="AD188" s="10" t="n">
        <x:f>IF(AND(G188=1,J188=0),1,0)</x:f>
        <x:v>0</x:v>
      </x:c>
      <x:c r="AE188" s="10" t="n">
        <x:f>IF(AND(G188=0,Q188=1),1,0)</x:f>
        <x:v>0</x:v>
      </x:c>
    </x:row>
    <x:row r="189">
      <x:c r="A189" s="10" t="str">
        <x:f>"ICH"</x:f>
        <x:v>ICH</x:v>
      </x:c>
      <x:c r="B189" s="12" t="n">
        <x:f>VALUE('Raw Results'!$A$48)</x:f>
        <x:v>500</x:v>
      </x:c>
      <x:c r="C189" s="14" t="n">
        <x:f>VALUE('Raw Results'!$B$48)</x:f>
        <x:v>0.7</x:v>
      </x:c>
      <x:c r="D189" s="12" t="n">
        <x:f>VALUE('Raw Results'!$C$48)</x:f>
        <x:v>2</x:v>
      </x:c>
      <x:c r="E189" s="12" t="n">
        <x:f>VALUE('Raw Results'!$D$48)</x:f>
        <x:v>896421585</x:v>
      </x:c>
      <x:c r="F189" s="12" t="n">
        <x:f>VALUE('Raw Results'!$CA$48)</x:f>
        <x:v>99</x:v>
      </x:c>
      <x:c r="G189" s="12" t="n">
        <x:f>IF('Raw Results'!$CC$48="True",1,0)</x:f>
        <x:v>1</x:v>
      </x:c>
      <x:c r="H189" s="12" t="n">
        <x:f>VALUE('Raw Results'!$CF$48)</x:f>
        <x:v>101</x:v>
      </x:c>
      <x:c r="I189" s="12" t="n">
        <x:f>VALUE('Raw Results'!$CG$48)</x:f>
        <x:v>101</x:v>
      </x:c>
      <x:c r="J189" s="12" t="n">
        <x:f>IF('Raw Results'!$CI$48="True",1,0)</x:f>
        <x:v>1</x:v>
      </x:c>
      <x:c r="K189" s="12" t="n">
        <x:f>VALUE('Raw Results'!$CL$48)</x:f>
        <x:v>0</x:v>
      </x:c>
      <x:c r="L189" s="12" t="n">
        <x:f>VALUE('Raw Results'!$CM$48)</x:f>
        <x:v>0</x:v>
      </x:c>
      <x:c r="M189" s="10" t="str">
        <x:f>'Raw Results'!$CN$48</x:f>
      </x:c>
      <x:c r="N189" s="16" t="n">
        <x:f>VALUE('Raw Results'!$CO$48)</x:f>
        <x:v>0.03175919991917908</x:v>
      </x:c>
      <x:c r="O189" s="12" t="n">
        <x:f>VALUE('Raw Results'!$CP$48)</x:f>
        <x:v>101</x:v>
      </x:c>
      <x:c r="P189" s="12" t="n">
        <x:f>VALUE('Raw Results'!$CQ$48)</x:f>
        <x:v>101</x:v>
      </x:c>
      <x:c r="Q189" s="12" t="n">
        <x:f>IF('Raw Results'!$CS$48="True",1,0)</x:f>
        <x:v>1</x:v>
      </x:c>
      <x:c r="R189" s="12" t="n">
        <x:f>VALUE('Raw Results'!$CU$48)</x:f>
        <x:v>0</x:v>
      </x:c>
      <x:c r="S189" s="12" t="n">
        <x:f>VALUE('Raw Results'!$CV$48)</x:f>
        <x:v>0</x:v>
      </x:c>
      <x:c r="T189" s="16" t="n">
        <x:f>VALUE('Raw Results'!$CH$48)</x:f>
        <x:v>21.1569011999527</x:v>
      </x:c>
      <x:c r="U189" s="16" t="n">
        <x:f>VALUE('Raw Results'!$CR$48)</x:f>
        <x:v>21.18866039987188</x:v>
      </x:c>
      <x:c r="V189" s="18" t="n">
        <x:f>IF(T189=0,0,N189/T189)</x:f>
        <x:v>0.0015011272028462319</x:v>
      </x:c>
      <x:c r="W189" s="10" t="n">
        <x:f>IF(AND(G189=1,Q189=1),1,0)</x:f>
        <x:v>1</x:v>
      </x:c>
      <x:c r="X189" s="20" t="n">
        <x:f>IF(W189=1,P189-F189,"")</x:f>
        <x:v>2</x:v>
      </x:c>
      <x:c r="Y189" s="10" t="str">
        <x:f>IF(W189=0,"excluded",IF(X189&lt;0,"repaired",IF(X189&gt;0,"entropy","tie")))</x:f>
        <x:v>entropy</x:v>
      </x:c>
      <x:c r="Z189" s="10" t="n">
        <x:f>IF(VALUE(L189)&gt;0,1,0)</x:f>
        <x:v>0</x:v>
      </x:c>
      <x:c r="AA189" s="10" t="n">
        <x:f>IF(AND('Raw Results'!$CJ$48="True",'Raw Results'!$CK$48="True"),1,0)</x:f>
        <x:v>1</x:v>
      </x:c>
      <x:c r="AB189" s="10" t="n">
        <x:f>IF(AND(J189=0,Q189=1),1,0)</x:f>
        <x:v>0</x:v>
      </x:c>
      <x:c r="AC189" s="20" t="n">
        <x:f>P189-I189</x:f>
        <x:v>0</x:v>
      </x:c>
      <x:c r="AD189" s="10" t="n">
        <x:f>IF(AND(G189=1,J189=0),1,0)</x:f>
        <x:v>0</x:v>
      </x:c>
      <x:c r="AE189" s="10" t="n">
        <x:f>IF(AND(G189=0,Q189=1),1,0)</x:f>
        <x:v>0</x:v>
      </x:c>
    </x:row>
    <x:row r="190">
      <x:c r="A190" s="10" t="str">
        <x:f>"Grid"</x:f>
        <x:v>Grid</x:v>
      </x:c>
      <x:c r="B190" s="12" t="n">
        <x:f>VALUE('Raw Results'!$A$49)</x:f>
        <x:v>500</x:v>
      </x:c>
      <x:c r="C190" s="14" t="n">
        <x:f>VALUE('Raw Results'!$B$49)</x:f>
        <x:v>0.7</x:v>
      </x:c>
      <x:c r="D190" s="12" t="n">
        <x:f>VALUE('Raw Results'!$C$49)</x:f>
        <x:v>3</x:v>
      </x:c>
      <x:c r="E190" s="12" t="n">
        <x:f>VALUE('Raw Results'!$D$49)</x:f>
        <x:v>1929132124</x:v>
      </x:c>
      <x:c r="F190" s="12" t="n">
        <x:f>VALUE('Raw Results'!$M$49)</x:f>
        <x:v>111</x:v>
      </x:c>
      <x:c r="G190" s="12" t="n">
        <x:f>IF('Raw Results'!$O$49="True",1,0)</x:f>
        <x:v>1</x:v>
      </x:c>
      <x:c r="H190" s="12" t="n">
        <x:f>VALUE('Raw Results'!$R$49)</x:f>
        <x:v>99</x:v>
      </x:c>
      <x:c r="I190" s="12" t="n">
        <x:f>VALUE('Raw Results'!$S$49)</x:f>
        <x:v>94</x:v>
      </x:c>
      <x:c r="J190" s="12" t="n">
        <x:f>IF('Raw Results'!$U$49="True",1,0)</x:f>
        <x:v>1</x:v>
      </x:c>
      <x:c r="K190" s="12" t="n">
        <x:f>VALUE('Raw Results'!$X$49)</x:f>
        <x:v>0</x:v>
      </x:c>
      <x:c r="L190" s="12" t="n">
        <x:f>VALUE('Raw Results'!$Y$49)</x:f>
        <x:v>0</x:v>
      </x:c>
      <x:c r="M190" s="10" t="n">
        <x:f>'Raw Results'!$Z$49</x:f>
        <x:v>0</x:v>
      </x:c>
      <x:c r="N190" s="16" t="n">
        <x:f>VALUE('Raw Results'!$AA$49)</x:f>
        <x:v>0.02600499999243766</x:v>
      </x:c>
      <x:c r="O190" s="12" t="n">
        <x:f>VALUE('Raw Results'!$AB$49)</x:f>
        <x:v>94</x:v>
      </x:c>
      <x:c r="P190" s="12" t="n">
        <x:f>VALUE('Raw Results'!$AC$49)</x:f>
        <x:v>94</x:v>
      </x:c>
      <x:c r="Q190" s="12" t="n">
        <x:f>IF('Raw Results'!$AE$49="True",1,0)</x:f>
        <x:v>1</x:v>
      </x:c>
      <x:c r="R190" s="12" t="n">
        <x:f>VALUE('Raw Results'!$AG$49)</x:f>
        <x:v>0</x:v>
      </x:c>
      <x:c r="S190" s="12" t="n">
        <x:f>VALUE('Raw Results'!$AH$49)</x:f>
        <x:v>0</x:v>
      </x:c>
      <x:c r="T190" s="16" t="n">
        <x:f>VALUE('Raw Results'!$T$49)</x:f>
        <x:v>10.176588600035757</x:v>
      </x:c>
      <x:c r="U190" s="16" t="n">
        <x:f>VALUE('Raw Results'!$AD$49)</x:f>
        <x:v>10.202593600028194</x:v>
      </x:c>
      <x:c r="V190" s="18" t="n">
        <x:f>IF(T190=0,0,N190/T190)</x:f>
        <x:v>0.0025553749900380455</x:v>
      </x:c>
      <x:c r="W190" s="10" t="n">
        <x:f>IF(AND(G190=1,Q190=1),1,0)</x:f>
        <x:v>1</x:v>
      </x:c>
      <x:c r="X190" s="20" t="n">
        <x:f>IF(W190=1,P190-F190,"")</x:f>
        <x:v>-17</x:v>
      </x:c>
      <x:c r="Y190" s="10" t="str">
        <x:f>IF(W190=0,"excluded",IF(X190&lt;0,"repaired",IF(X190&gt;0,"entropy","tie")))</x:f>
        <x:v>repaired</x:v>
      </x:c>
      <x:c r="Z190" s="10" t="n">
        <x:f>IF(VALUE(L190)&gt;0,1,0)</x:f>
        <x:v>0</x:v>
      </x:c>
      <x:c r="AA190" s="10" t="n">
        <x:f>IF(AND('Raw Results'!$V$49="True",'Raw Results'!$W$49="True"),1,0)</x:f>
        <x:v>1</x:v>
      </x:c>
      <x:c r="AB190" s="10" t="n">
        <x:f>IF(AND(J190=0,Q190=1),1,0)</x:f>
        <x:v>0</x:v>
      </x:c>
      <x:c r="AC190" s="20" t="n">
        <x:f>P190-I190</x:f>
        <x:v>0</x:v>
      </x:c>
      <x:c r="AD190" s="10" t="n">
        <x:f>IF(AND(G190=1,J190=0),1,0)</x:f>
        <x:v>0</x:v>
      </x:c>
      <x:c r="AE190" s="10" t="n">
        <x:f>IF(AND(G190=0,Q190=1),1,0)</x:f>
        <x:v>0</x:v>
      </x:c>
    </x:row>
    <x:row r="191">
      <x:c r="A191" s="10" t="str">
        <x:f>"Circle"</x:f>
        <x:v>Circle</x:v>
      </x:c>
      <x:c r="B191" s="12" t="n">
        <x:f>VALUE('Raw Results'!$A$49)</x:f>
        <x:v>500</x:v>
      </x:c>
      <x:c r="C191" s="14" t="n">
        <x:f>VALUE('Raw Results'!$B$49)</x:f>
        <x:v>0.7</x:v>
      </x:c>
      <x:c r="D191" s="12" t="n">
        <x:f>VALUE('Raw Results'!$C$49)</x:f>
        <x:v>3</x:v>
      </x:c>
      <x:c r="E191" s="12" t="n">
        <x:f>VALUE('Raw Results'!$D$49)</x:f>
        <x:v>1929132124</x:v>
      </x:c>
      <x:c r="F191" s="12" t="n">
        <x:f>VALUE('Raw Results'!$AI$49)</x:f>
        <x:v>147</x:v>
      </x:c>
      <x:c r="G191" s="12" t="n">
        <x:f>IF('Raw Results'!$AK$49="True",1,0)</x:f>
        <x:v>1</x:v>
      </x:c>
      <x:c r="H191" s="12" t="n">
        <x:f>VALUE('Raw Results'!$AN$49)</x:f>
        <x:v>309</x:v>
      </x:c>
      <x:c r="I191" s="12" t="n">
        <x:f>VALUE('Raw Results'!$AO$49)</x:f>
        <x:v>153</x:v>
      </x:c>
      <x:c r="J191" s="12" t="n">
        <x:f>IF('Raw Results'!$AQ$49="True",1,0)</x:f>
        <x:v>1</x:v>
      </x:c>
      <x:c r="K191" s="12" t="n">
        <x:f>VALUE('Raw Results'!$AT$49)</x:f>
        <x:v>0</x:v>
      </x:c>
      <x:c r="L191" s="12" t="n">
        <x:f>VALUE('Raw Results'!$AU$49)</x:f>
        <x:v>0</x:v>
      </x:c>
      <x:c r="M191" s="10" t="n">
        <x:f>'Raw Results'!$AV$49</x:f>
        <x:v>0</x:v>
      </x:c>
      <x:c r="N191" s="16" t="n">
        <x:f>VALUE('Raw Results'!$AW$49)</x:f>
        <x:v>0.04561400006059557</x:v>
      </x:c>
      <x:c r="O191" s="12" t="n">
        <x:f>VALUE('Raw Results'!$AX$49)</x:f>
        <x:v>153</x:v>
      </x:c>
      <x:c r="P191" s="12" t="n">
        <x:f>VALUE('Raw Results'!$AY$49)</x:f>
        <x:v>153</x:v>
      </x:c>
      <x:c r="Q191" s="12" t="n">
        <x:f>IF('Raw Results'!$BA$49="True",1,0)</x:f>
        <x:v>1</x:v>
      </x:c>
      <x:c r="R191" s="12" t="n">
        <x:f>VALUE('Raw Results'!$BC$49)</x:f>
        <x:v>0</x:v>
      </x:c>
      <x:c r="S191" s="12" t="n">
        <x:f>VALUE('Raw Results'!$BD$49)</x:f>
        <x:v>0</x:v>
      </x:c>
      <x:c r="T191" s="16" t="n">
        <x:f>VALUE('Raw Results'!$AP$49)</x:f>
        <x:v>3.3637101999484003</x:v>
      </x:c>
      <x:c r="U191" s="16" t="n">
        <x:f>VALUE('Raw Results'!$AZ$49)</x:f>
        <x:v>3.409324200008996</x:v>
      </x:c>
      <x:c r="V191" s="18" t="n">
        <x:f>IF(T191=0,0,N191/T191)</x:f>
        <x:v>0.013560621263179954</x:v>
      </x:c>
      <x:c r="W191" s="10" t="n">
        <x:f>IF(AND(G191=1,Q191=1),1,0)</x:f>
        <x:v>1</x:v>
      </x:c>
      <x:c r="X191" s="20" t="n">
        <x:f>IF(W191=1,P191-F191,"")</x:f>
        <x:v>6</x:v>
      </x:c>
      <x:c r="Y191" s="10" t="str">
        <x:f>IF(W191=0,"excluded",IF(X191&lt;0,"repaired",IF(X191&gt;0,"entropy","tie")))</x:f>
        <x:v>entropy</x:v>
      </x:c>
      <x:c r="Z191" s="10" t="n">
        <x:f>IF(VALUE(L191)&gt;0,1,0)</x:f>
        <x:v>0</x:v>
      </x:c>
      <x:c r="AA191" s="10" t="n">
        <x:f>IF(AND('Raw Results'!$AR$49="True",'Raw Results'!$AS$49="True"),1,0)</x:f>
        <x:v>1</x:v>
      </x:c>
      <x:c r="AB191" s="10" t="n">
        <x:f>IF(AND(J191=0,Q191=1),1,0)</x:f>
        <x:v>0</x:v>
      </x:c>
      <x:c r="AC191" s="20" t="n">
        <x:f>P191-I191</x:f>
        <x:v>0</x:v>
      </x:c>
      <x:c r="AD191" s="10" t="n">
        <x:f>IF(AND(G191=1,J191=0),1,0)</x:f>
        <x:v>0</x:v>
      </x:c>
      <x:c r="AE191" s="10" t="n">
        <x:f>IF(AND(G191=0,Q191=1),1,0)</x:f>
        <x:v>0</x:v>
      </x:c>
    </x:row>
    <x:row r="192">
      <x:c r="A192" s="10" t="str">
        <x:f>"Zoomed Square"</x:f>
        <x:v>Zoomed Square</x:v>
      </x:c>
      <x:c r="B192" s="12" t="n">
        <x:f>VALUE('Raw Results'!$A$49)</x:f>
        <x:v>500</x:v>
      </x:c>
      <x:c r="C192" s="14" t="n">
        <x:f>VALUE('Raw Results'!$B$49)</x:f>
        <x:v>0.7</x:v>
      </x:c>
      <x:c r="D192" s="12" t="n">
        <x:f>VALUE('Raw Results'!$C$49)</x:f>
        <x:v>3</x:v>
      </x:c>
      <x:c r="E192" s="12" t="n">
        <x:f>VALUE('Raw Results'!$D$49)</x:f>
        <x:v>1929132124</x:v>
      </x:c>
      <x:c r="F192" s="12" t="n">
        <x:f>VALUE('Raw Results'!$BE$49)</x:f>
        <x:v>115</x:v>
      </x:c>
      <x:c r="G192" s="12" t="n">
        <x:f>IF('Raw Results'!$BG$49="True",1,0)</x:f>
        <x:v>1</x:v>
      </x:c>
      <x:c r="H192" s="12" t="n">
        <x:f>VALUE('Raw Results'!$BJ$49)</x:f>
        <x:v>214</x:v>
      </x:c>
      <x:c r="I192" s="12" t="n">
        <x:f>VALUE('Raw Results'!$BK$49)</x:f>
        <x:v>107</x:v>
      </x:c>
      <x:c r="J192" s="12" t="n">
        <x:f>IF('Raw Results'!$BM$49="True",1,0)</x:f>
        <x:v>1</x:v>
      </x:c>
      <x:c r="K192" s="12" t="n">
        <x:f>VALUE('Raw Results'!$BP$49)</x:f>
        <x:v>0</x:v>
      </x:c>
      <x:c r="L192" s="12" t="n">
        <x:f>VALUE('Raw Results'!$BQ$49)</x:f>
        <x:v>0</x:v>
      </x:c>
      <x:c r="M192" s="10" t="n">
        <x:f>'Raw Results'!$BR$49</x:f>
        <x:v>0</x:v>
      </x:c>
      <x:c r="N192" s="16" t="n">
        <x:f>VALUE('Raw Results'!$BS$49)</x:f>
        <x:v>0.027852099970914423</x:v>
      </x:c>
      <x:c r="O192" s="12" t="n">
        <x:f>VALUE('Raw Results'!$BT$49)</x:f>
        <x:v>107</x:v>
      </x:c>
      <x:c r="P192" s="12" t="n">
        <x:f>VALUE('Raw Results'!$BU$49)</x:f>
        <x:v>107</x:v>
      </x:c>
      <x:c r="Q192" s="12" t="n">
        <x:f>IF('Raw Results'!$BW$49="True",1,0)</x:f>
        <x:v>1</x:v>
      </x:c>
      <x:c r="R192" s="12" t="n">
        <x:f>VALUE('Raw Results'!$BY$49)</x:f>
        <x:v>0</x:v>
      </x:c>
      <x:c r="S192" s="12" t="n">
        <x:f>VALUE('Raw Results'!$BZ$49)</x:f>
        <x:v>0</x:v>
      </x:c>
      <x:c r="T192" s="16" t="n">
        <x:f>VALUE('Raw Results'!$BL$49)</x:f>
        <x:v>5.691346499952488</x:v>
      </x:c>
      <x:c r="U192" s="16" t="n">
        <x:f>VALUE('Raw Results'!$BV$49)</x:f>
        <x:v>5.719198599923402</x:v>
      </x:c>
      <x:c r="V192" s="18" t="n">
        <x:f>IF(T192=0,0,N192/T192)</x:f>
        <x:v>0.004893762832951207</x:v>
      </x:c>
      <x:c r="W192" s="10" t="n">
        <x:f>IF(AND(G192=1,Q192=1),1,0)</x:f>
        <x:v>1</x:v>
      </x:c>
      <x:c r="X192" s="20" t="n">
        <x:f>IF(W192=1,P192-F192,"")</x:f>
        <x:v>-8</x:v>
      </x:c>
      <x:c r="Y192" s="10" t="str">
        <x:f>IF(W192=0,"excluded",IF(X192&lt;0,"repaired",IF(X192&gt;0,"entropy","tie")))</x:f>
        <x:v>repaired</x:v>
      </x:c>
      <x:c r="Z192" s="10" t="n">
        <x:f>IF(VALUE(L192)&gt;0,1,0)</x:f>
        <x:v>0</x:v>
      </x:c>
      <x:c r="AA192" s="10" t="n">
        <x:f>IF(AND('Raw Results'!$BN$49="True",'Raw Results'!$BO$49="True"),1,0)</x:f>
        <x:v>1</x:v>
      </x:c>
      <x:c r="AB192" s="10" t="n">
        <x:f>IF(AND(J192=0,Q192=1),1,0)</x:f>
        <x:v>0</x:v>
      </x:c>
      <x:c r="AC192" s="20" t="n">
        <x:f>P192-I192</x:f>
        <x:v>0</x:v>
      </x:c>
      <x:c r="AD192" s="10" t="n">
        <x:f>IF(AND(G192=1,J192=0),1,0)</x:f>
        <x:v>0</x:v>
      </x:c>
      <x:c r="AE192" s="10" t="n">
        <x:f>IF(AND(G192=0,Q192=1),1,0)</x:f>
        <x:v>0</x:v>
      </x:c>
    </x:row>
    <x:row r="193">
      <x:c r="A193" s="10" t="str">
        <x:f>"ICH"</x:f>
        <x:v>ICH</x:v>
      </x:c>
      <x:c r="B193" s="12" t="n">
        <x:f>VALUE('Raw Results'!$A$49)</x:f>
        <x:v>500</x:v>
      </x:c>
      <x:c r="C193" s="14" t="n">
        <x:f>VALUE('Raw Results'!$B$49)</x:f>
        <x:v>0.7</x:v>
      </x:c>
      <x:c r="D193" s="12" t="n">
        <x:f>VALUE('Raw Results'!$C$49)</x:f>
        <x:v>3</x:v>
      </x:c>
      <x:c r="E193" s="12" t="n">
        <x:f>VALUE('Raw Results'!$D$49)</x:f>
        <x:v>1929132124</x:v>
      </x:c>
      <x:c r="F193" s="12" t="n">
        <x:f>VALUE('Raw Results'!$CA$49)</x:f>
        <x:v>93</x:v>
      </x:c>
      <x:c r="G193" s="12" t="n">
        <x:f>IF('Raw Results'!$CC$49="True",1,0)</x:f>
        <x:v>1</x:v>
      </x:c>
      <x:c r="H193" s="12" t="n">
        <x:f>VALUE('Raw Results'!$CF$49)</x:f>
        <x:v>90</x:v>
      </x:c>
      <x:c r="I193" s="12" t="n">
        <x:f>VALUE('Raw Results'!$CG$49)</x:f>
        <x:v>90</x:v>
      </x:c>
      <x:c r="J193" s="12" t="n">
        <x:f>IF('Raw Results'!$CI$49="True",1,0)</x:f>
        <x:v>1</x:v>
      </x:c>
      <x:c r="K193" s="12" t="n">
        <x:f>VALUE('Raw Results'!$CL$49)</x:f>
        <x:v>0</x:v>
      </x:c>
      <x:c r="L193" s="12" t="n">
        <x:f>VALUE('Raw Results'!$CM$49)</x:f>
        <x:v>0</x:v>
      </x:c>
      <x:c r="M193" s="10" t="n">
        <x:f>'Raw Results'!$CN$49</x:f>
        <x:v>0</x:v>
      </x:c>
      <x:c r="N193" s="16" t="n">
        <x:f>VALUE('Raw Results'!$CO$49)</x:f>
        <x:v>0.024705300107598305</x:v>
      </x:c>
      <x:c r="O193" s="12" t="n">
        <x:f>VALUE('Raw Results'!$CP$49)</x:f>
        <x:v>90</x:v>
      </x:c>
      <x:c r="P193" s="12" t="n">
        <x:f>VALUE('Raw Results'!$CQ$49)</x:f>
        <x:v>90</x:v>
      </x:c>
      <x:c r="Q193" s="12" t="n">
        <x:f>IF('Raw Results'!$CS$49="True",1,0)</x:f>
        <x:v>1</x:v>
      </x:c>
      <x:c r="R193" s="12" t="n">
        <x:f>VALUE('Raw Results'!$CU$49)</x:f>
        <x:v>0</x:v>
      </x:c>
      <x:c r="S193" s="12" t="n">
        <x:f>VALUE('Raw Results'!$CV$49)</x:f>
        <x:v>0</x:v>
      </x:c>
      <x:c r="T193" s="16" t="n">
        <x:f>VALUE('Raw Results'!$CH$49)</x:f>
        <x:v>19.920574900112115</x:v>
      </x:c>
      <x:c r="U193" s="16" t="n">
        <x:f>VALUE('Raw Results'!$CR$49)</x:f>
        <x:v>19.945280200219713</x:v>
      </x:c>
      <x:c r="V193" s="18" t="n">
        <x:f>IF(T193=0,0,N193/T193)</x:f>
        <x:v>0.0012401901165743595</x:v>
      </x:c>
      <x:c r="W193" s="10" t="n">
        <x:f>IF(AND(G193=1,Q193=1),1,0)</x:f>
        <x:v>1</x:v>
      </x:c>
      <x:c r="X193" s="20" t="n">
        <x:f>IF(W193=1,P193-F193,"")</x:f>
        <x:v>-3</x:v>
      </x:c>
      <x:c r="Y193" s="10" t="str">
        <x:f>IF(W193=0,"excluded",IF(X193&lt;0,"repaired",IF(X193&gt;0,"entropy","tie")))</x:f>
        <x:v>repaired</x:v>
      </x:c>
      <x:c r="Z193" s="10" t="n">
        <x:f>IF(VALUE(L193)&gt;0,1,0)</x:f>
        <x:v>0</x:v>
      </x:c>
      <x:c r="AA193" s="10" t="n">
        <x:f>IF(AND('Raw Results'!$CJ$49="True",'Raw Results'!$CK$49="True"),1,0)</x:f>
        <x:v>1</x:v>
      </x:c>
      <x:c r="AB193" s="10" t="n">
        <x:f>IF(AND(J193=0,Q193=1),1,0)</x:f>
        <x:v>0</x:v>
      </x:c>
      <x:c r="AC193" s="20" t="n">
        <x:f>P193-I193</x:f>
        <x:v>0</x:v>
      </x:c>
      <x:c r="AD193" s="10" t="n">
        <x:f>IF(AND(G193=1,J193=0),1,0)</x:f>
        <x:v>0</x:v>
      </x:c>
      <x:c r="AE193" s="10" t="n">
        <x:f>IF(AND(G193=0,Q193=1),1,0)</x:f>
        <x:v>0</x:v>
      </x:c>
    </x:row>
  </x:sheetData>
  <x:conditionalFormatting sqref="X2:X193">
    <x:cfRule type="cellIs" dxfId="0" priority="1" operator="lessThan">
      <x:formula>0</x:formula>
    </x:cfRule>
    <x:cfRule type="cellIs" dxfId="1" priority="2" operator="greaterThan">
      <x:formula>0</x:formula>
    </x:cfRule>
  </x:conditionalFormatting>
  <x:pageMargins left="0.7" right="0.7" top="0.75" bottom="0.75" header="0.3" footer="0.3"/>
  <x:tableParts count="1">
    <x:tablePart xmlns:r="http://schemas.openxmlformats.org/officeDocument/2006/relationships" r:id="Rf5cd776385504ae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96" hidden="0" customWidth="1"/>
  </x:cols>
  <x:sheetData>
    <x:row r="1" ht="36" customHeight="1">
      <x:c r="A1" s="24" t="str">
        <x:v>Methodology and Interpretation</x:v>
      </x:c>
      <x:c r="B1" s="24"/>
    </x:row>
    <x:row r="3" ht="33" customHeight="1">
      <x:c r="A3" s="102" t="str">
        <x:v>Graph set</x:v>
      </x:c>
      <x:c r="B3" s="103" t="str">
        <x:v>The exact 48 graphs from the prior all-method benchmark: n = 50, 100, 200, 500; radii = 0.1, 0.3, 0.5, 0.7; three repeats</x:v>
      </x:c>
    </x:row>
    <x:row r="4" ht="33" customHeight="1">
      <x:c r="A4" s="104" t="str">
        <x:v>Compared variants</x:v>
      </x:c>
      <x:c r="B4" s="105" t="str">
        <x:v>Historical Entropy baseline, exactly reproduced original Collision, and Collision followed by Global Repair</x:v>
      </x:c>
    </x:row>
    <x:row r="5" ht="33" customHeight="1">
      <x:c r="A5" s="104" t="str">
        <x:v>Base seed</x:v>
      </x:c>
      <x:c r="B5" s="105" t="n">
        <x:v>20260810</x:v>
      </x:c>
    </x:row>
    <x:row r="6" ht="33" customHeight="1">
      <x:c r="A6" s="104" t="str">
        <x:v>Pairing</x:v>
      </x:c>
      <x:c r="B6" s="105" t="str">
        <x:v>Each collision rerun uses the same graph seed and family-specific random seed as the prior benchmark</x:v>
      </x:c>
    </x:row>
    <x:row r="7" ht="33" customHeight="1">
      <x:c r="A7" s="104" t="str">
        <x:v>Global signature</x:v>
      </x:c>
      <x:c r="B7" s="105" t="str">
        <x:v>For every graph vertex, collect its shortest-path distances to every currently selected probe</x:v>
      </x:c>
    </x:row>
    <x:row r="8" ht="33" customHeight="1">
      <x:c r="A8" s="104" t="str">
        <x:v>Collision</x:v>
      </x:c>
      <x:c r="B8" s="105" t="str">
        <x:v>Two vertices collide when their complete distance signatures are identical</x:v>
      </x:c>
    </x:row>
    <x:row r="9" ht="33" customHeight="1">
      <x:c r="A9" s="104" t="str">
        <x:v>Repair candidate pool</x:v>
      </x:c>
      <x:c r="B9" s="105" t="str">
        <x:v>Every unselected graph vertex; candidates are scored across every vertex, not one cell or neighborhood</x:v>
      </x:c>
    </x:row>
    <x:row r="10" ht="33" customHeight="1">
      <x:c r="A10" s="104" t="str">
        <x:v>Repair objective</x:v>
      </x:c>
      <x:c r="B10" s="105" t="str">
        <x:v>Add the candidate leaving the fewest unordered globally colliding vertex pairs</x:v>
      </x:c>
    </x:row>
    <x:row r="11" ht="33" customHeight="1">
      <x:c r="A11" s="104" t="str">
        <x:v>Tie-break</x:v>
      </x:c>
      <x:c r="B11" s="105" t="str">
        <x:v>Lowest vertex ID, making the repair deterministic</x:v>
      </x:c>
    </x:row>
    <x:row r="12" ht="33" customHeight="1">
      <x:c r="A12" s="104" t="str">
        <x:v>Stopping rule</x:v>
      </x:c>
      <x:c r="B12" s="105" t="str">
        <x:v>Stop only when the global collision-pair count is zero</x:v>
      </x:c>
    </x:row>
    <x:row r="13" ht="33" customHeight="1">
      <x:c r="A13" s="104" t="str">
        <x:v>Pruning</x:v>
      </x:c>
      <x:c r="B13" s="105" t="str">
        <x:v>If repair was needed, prune the repaired set once, then verify global validity exactly</x:v>
      </x:c>
    </x:row>
    <x:row r="14" ht="33" customHeight="1">
      <x:c r="A14" s="104" t="str">
        <x:v>Valid-set behavior</x:v>
      </x:c>
      <x:c r="B14" s="105" t="str">
        <x:v>Already-valid outputs are returned exactly unchanged and are not repruned</x:v>
      </x:c>
    </x:row>
    <x:row r="15" ht="33" customHeight="1">
      <x:c r="A15" s="104" t="str">
        <x:v>Wrapper placement</x:v>
      </x:c>
      <x:c r="B15" s="105" t="str">
        <x:v>The original algorithm files remain untouched. The wrapper repairs their returned set; invalid inputs could not have been reduced by the original prune</x:v>
      </x:c>
    </x:row>
    <x:row r="16" ht="33" customHeight="1">
      <x:c r="A16" s="104" t="str">
        <x:v>Size lineage</x:v>
      </x:c>
      <x:c r="B16" s="105" t="str">
        <x:v>Original pre-prune is the method's raw count; original final is its reported output; repaired pre-prune is original final plus repair probes</x:v>
      </x:c>
    </x:row>
    <x:row r="17" ht="33" customHeight="1">
      <x:c r="A17" s="104" t="str">
        <x:v>Timing lineage</x:v>
      </x:c>
      <x:c r="B17" s="105" t="str">
        <x:v>Original Collision and repair overhead were timed in this run. Wrapper total includes the untouched original method plus post-processing repair</x:v>
      </x:c>
    </x:row>
    <x:row r="18" ht="33" customHeight="1">
      <x:c r="A18" s="104" t="str">
        <x:v>Entropy timing caveat</x:v>
      </x:c>
      <x:c r="B18" s="105" t="str">
        <x:v>Entropy times were copied from the prior run and are historical, not same-session timing comparisons</x:v>
      </x:c>
    </x:row>
    <x:row r="19" ht="33" customHeight="1">
      <x:c r="A19" s="104" t="str">
        <x:v>Validity rule</x:v>
      </x:c>
      <x:c r="B19" s="105" t="str">
        <x:v>A size win is counted only when both Entropy and Repaired Collision independently resolve the graph</x:v>
      </x:c>
    </x:row>
    <x:row r="20" ht="33" customHeight="1">
      <x:c r="A20" s="104" t="str">
        <x:v>Implementation scope</x:v>
      </x:c>
      <x:c r="B20" s="105" t="str">
        <x:v>Nonempty undirected graphs; unreachable distances share one infinity code</x:v>
      </x:c>
    </x:row>
    <x:row r="21" ht="33" customHeight="1">
      <x:c r="A21" s="104" t="str">
        <x:v>Verification</x:v>
      </x:c>
      <x:c r="B21" s="105" t="str">
        <x:v>Every original collision output reproduced its prior size/validity; all repair arithmetic and post-prune validity checks passed</x:v>
      </x:c>
    </x:row>
    <x:row r="22" ht="33" customHeight="1">
      <x:c r="A22" s="106" t="str">
        <x:v>Tests</x:v>
      </x:c>
      <x:c r="B22" s="107" t="str">
        <x:v>22 collision-related unit tests passed, including disconnected graphs, deterministic ties, no-op valid sets, singleton graphs, and unsafe-prune fallback</x:v>
      </x:c>
    </x:row>
  </x:sheetData>
  <x:mergeCells>
    <x:mergeCell ref="A1:B1"/>
  </x:mergeCells>
  <x:pageMargins left="0.7" right="0.7" top="0.75" bottom="0.75" header="0.3" footer="0.3"/>
</x:worksheet>
</file>