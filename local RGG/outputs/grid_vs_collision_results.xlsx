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4cf396ceaa4e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 Results" sheetId="1" r:id="Re26434115961436a"/>
    <x:sheet xmlns:r="http://schemas.openxmlformats.org/officeDocument/2006/relationships" name="Analysis" sheetId="2" r:id="R44270aaeb0e64d77"/>
    <x:sheet xmlns:r="http://schemas.openxmlformats.org/officeDocument/2006/relationships" name="Dashboard" sheetId="3" r:id="R257cf4208482496b"/>
    <x:sheet xmlns:r="http://schemas.openxmlformats.org/officeDocument/2006/relationships" name="By Configuration" sheetId="4" r:id="Rf2291d63ff094a98"/>
    <x:sheet xmlns:r="http://schemas.openxmlformats.org/officeDocument/2006/relationships" name="Methodology" sheetId="5" r:id="R7b9e9d80357347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0"/>
    <x:numFmt numFmtId="201" formatCode="0.0"/>
    <x:numFmt numFmtId="202" formatCode="0.0000"/>
    <x:numFmt numFmtId="203" formatCode="+0;-0;0"/>
    <x:numFmt numFmtId="204" formatCode="+0.0000;-0.0000;0.0000"/>
    <x:numFmt numFmtId="205" formatCode="0.00x"/>
    <x:numFmt numFmtId="206" formatCode="+0.00;-0.00;0.00"/>
    <x:numFmt numFmtId="207" formatCode="0.0%"/>
    <x:numFmt numFmtId="208" formatCode="0.00"/>
  </x:numFmts>
  <x:fonts count="10">
    <x:font>
      <x:sz val="11"/>
      <x:name val="Carlito"/>
    </x:font>
    <x:font>
      <x:sz val="10"/>
      <x:color rgb="FF263746"/>
      <x:name val="Aptos"/>
    </x:font>
    <x:font>
      <x:b/>
      <x:sz val="10"/>
      <x:color rgb="FFFFFFFF"/>
      <x:name val="Aptos"/>
    </x:font>
    <x:font>
      <x:b/>
      <x:sz val="19"/>
      <x:color rgb="FFFFFFFF"/>
      <x:name val="Aptos Display"/>
    </x:font>
    <x:font>
      <x:i/>
      <x:sz val="10"/>
      <x:color rgb="FF263746"/>
      <x:name val="Aptos"/>
    </x:font>
    <x:font>
      <x:b/>
      <x:sz val="9"/>
      <x:color rgb="FFFFFFFF"/>
      <x:name val="Aptos"/>
    </x:font>
    <x:font>
      <x:b/>
      <x:sz val="18"/>
      <x:color rgb="FF17324D"/>
      <x:name val="Aptos Display"/>
    </x:font>
    <x:font>
      <x:sz val="11"/>
      <x:color rgb="FF263746"/>
      <x:name val="Aptos"/>
    </x:font>
    <x:font>
      <x:b/>
      <x:sz val="11"/>
      <x:color rgb="FF17324D"/>
      <x:name val="Aptos"/>
    </x:font>
    <x:font>
      <x:b/>
      <x:sz val="18"/>
      <x:color rgb="FFFFFFFF"/>
      <x:name val="Aptos Display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177D7A"/>
      </x:patternFill>
    </x:fill>
    <x:fill>
      <x:patternFill patternType="solid">
        <x:fgColor rgb="FFE8F5F3"/>
      </x:patternFill>
    </x:fill>
    <x:fill>
      <x:patternFill patternType="solid">
        <x:fgColor rgb="FFFFF5D6"/>
      </x:patternFill>
    </x:fill>
  </x:fills>
  <x:borders count="43">
    <x:border/>
    <x:border/>
    <x:border>
      <x:bottom style="thin">
        <x:color rgb="FFE6EBF0"/>
      </x:bottom>
    </x:border>
    <x:border>
      <x:top style="thin">
        <x:color rgb="FFE6EBF0"/>
      </x:top>
      <x:bottom style="thin">
        <x:color rgb="FFE6EBF0"/>
      </x:bottom>
    </x:border>
    <x:border>
      <x:top style="thin">
        <x:color rgb="FFE6EBF0"/>
      </x:top>
    </x:border>
    <x:border>
      <x:bottom style="thin">
        <x:color rgb="FFE6EBF0"/>
      </x:bottom>
    </x:border>
    <x:border>
      <x:top style="thin">
        <x:color rgb="FFE6EBF0"/>
      </x:top>
      <x:bottom style="thin">
        <x:color rgb="FFE6EBF0"/>
      </x:bottom>
    </x:border>
    <x:border>
      <x:top style="thin">
        <x:color rgb="FFE6EBF0"/>
      </x:top>
    </x:border>
    <x:border>
      <x:left style="thin">
        <x:color rgb="FFCDD8E2"/>
      </x:left>
      <x:top style="thin">
        <x:color rgb="FFCDD8E2"/>
      </x:top>
    </x:border>
    <x:border>
      <x:right style="thin">
        <x:color rgb="FFCDD8E2"/>
      </x:right>
      <x:top style="thin">
        <x:color rgb="FFCDD8E2"/>
      </x:top>
    </x:border>
    <x:border>
      <x:left style="thin">
        <x:color rgb="FFCDD8E2"/>
      </x:left>
      <x:bottom style="thin">
        <x:color rgb="FFCDD8E2"/>
      </x:bottom>
    </x:border>
    <x:border>
      <x:right style="thin">
        <x:color rgb="FFCDD8E2"/>
      </x:right>
      <x:bottom style="thin">
        <x:color rgb="FFCDD8E2"/>
      </x:bottom>
    </x:border>
    <x:border>
      <x:left style="thin">
        <x:color rgb="FFCDD8E2"/>
      </x:left>
      <x:top style="thin">
        <x:color rgb="FFCDD8E2"/>
      </x:top>
    </x:border>
    <x:border>
      <x:right style="thin">
        <x:color rgb="FFCDD8E2"/>
      </x:right>
      <x:top style="thin">
        <x:color rgb="FFCDD8E2"/>
      </x:top>
    </x:border>
    <x:border>
      <x:left style="thin">
        <x:color rgb="FFCDD8E2"/>
      </x:left>
      <x:bottom style="thin">
        <x:color rgb="FFCDD8E2"/>
      </x:bottom>
    </x:border>
    <x:border>
      <x:right style="thin">
        <x:color rgb="FFCDD8E2"/>
      </x:right>
      <x:bottom style="thin">
        <x:color rgb="FFCDD8E2"/>
      </x:bottom>
    </x:border>
    <x:border>
      <x:right style="thin">
        <x:color rgb="FFE6EBF0"/>
      </x:right>
      <x:bottom style="thin">
        <x:color rgb="FFE6EBF0"/>
      </x:bottom>
    </x:border>
    <x:border>
      <x:left style="thin">
        <x:color rgb="FFE6EBF0"/>
      </x:left>
      <x:right style="thin">
        <x:color rgb="FFE6EBF0"/>
      </x:right>
      <x:bottom style="thin">
        <x:color rgb="FFE6EBF0"/>
      </x:bottom>
    </x:border>
    <x:border>
      <x:left style="thin">
        <x:color rgb="FFE6EBF0"/>
      </x:left>
      <x:bottom style="thin">
        <x:color rgb="FFE6EBF0"/>
      </x:bottom>
    </x:border>
    <x:border>
      <x:right style="thin">
        <x:color rgb="FFE6EBF0"/>
      </x:right>
      <x:top style="thin">
        <x:color rgb="FFE6EBF0"/>
      </x:top>
    </x:border>
    <x:border>
      <x:left style="thin">
        <x:color rgb="FFE6EBF0"/>
      </x:left>
      <x:right style="thin">
        <x:color rgb="FFE6EBF0"/>
      </x:right>
      <x:top style="thin">
        <x:color rgb="FFE6EBF0"/>
      </x:top>
    </x:border>
    <x:border>
      <x:left style="thin">
        <x:color rgb="FFE6EBF0"/>
      </x:left>
      <x:top style="thin">
        <x:color rgb="FFE6EBF0"/>
      </x:top>
    </x:border>
    <x:border>
      <x:right style="thin">
        <x:color rgb="FFE6EBF0"/>
      </x:right>
      <x:bottom style="thin">
        <x:color rgb="FFE6EBF0"/>
      </x:bottom>
    </x:border>
    <x:border>
      <x:left style="thin">
        <x:color rgb="FFE6EBF0"/>
      </x:left>
      <x:right style="thin">
        <x:color rgb="FFE6EBF0"/>
      </x:right>
      <x:bottom style="thin">
        <x:color rgb="FFE6EBF0"/>
      </x:bottom>
    </x:border>
    <x:border>
      <x:left style="thin">
        <x:color rgb="FFE6EBF0"/>
      </x:left>
      <x:bottom style="thin">
        <x:color rgb="FFE6EBF0"/>
      </x:bottom>
    </x:border>
    <x:border>
      <x:right style="thin">
        <x:color rgb="FFE6EBF0"/>
      </x:right>
      <x:top style="thin">
        <x:color rgb="FFE6EBF0"/>
      </x:top>
    </x:border>
    <x:border>
      <x:left style="thin">
        <x:color rgb="FFE6EBF0"/>
      </x:left>
      <x:right style="thin">
        <x:color rgb="FFE6EBF0"/>
      </x:right>
      <x:top style="thin">
        <x:color rgb="FFE6EBF0"/>
      </x:top>
    </x:border>
    <x:border>
      <x:left style="thin">
        <x:color rgb="FFE6EBF0"/>
      </x:left>
      <x:top style="thin">
        <x:color rgb="FFE6EBF0"/>
      </x:top>
    </x:border>
    <x:border>
      <x:left style="thin">
        <x:color rgb="FFE7CE75"/>
      </x:left>
      <x:top style="thin">
        <x:color rgb="FFE7CE75"/>
      </x:top>
    </x:border>
    <x:border>
      <x:top style="thin">
        <x:color rgb="FFE7CE75"/>
      </x:top>
    </x:border>
    <x:border>
      <x:right style="thin">
        <x:color rgb="FFE7CE75"/>
      </x:right>
      <x:top style="thin">
        <x:color rgb="FFE7CE75"/>
      </x:top>
    </x:border>
    <x:border>
      <x:left style="thin">
        <x:color rgb="FFE7CE75"/>
      </x:left>
      <x:bottom style="thin">
        <x:color rgb="FFE7CE75"/>
      </x:bottom>
    </x:border>
    <x:border>
      <x:bottom style="thin">
        <x:color rgb="FFE7CE75"/>
      </x:bottom>
    </x:border>
    <x:border>
      <x:right style="thin">
        <x:color rgb="FFE7CE75"/>
      </x:right>
      <x:bottom style="thin">
        <x:color rgb="FFE7CE75"/>
      </x:bottom>
    </x:border>
    <x:border>
      <x:left style="thin">
        <x:color rgb="FFE7CE75"/>
      </x:left>
      <x:top style="thin">
        <x:color rgb="FFE7CE75"/>
      </x:top>
    </x:border>
    <x:border>
      <x:top style="thin">
        <x:color rgb="FFE7CE75"/>
      </x:top>
    </x:border>
    <x:border>
      <x:right style="thin">
        <x:color rgb="FFE7CE75"/>
      </x:right>
      <x:top style="thin">
        <x:color rgb="FFE7CE75"/>
      </x:top>
    </x:border>
    <x:border>
      <x:left style="thin">
        <x:color rgb="FFE7CE75"/>
      </x:left>
      <x:bottom style="thin">
        <x:color rgb="FFE7CE75"/>
      </x:bottom>
    </x:border>
    <x:border>
      <x:bottom style="thin">
        <x:color rgb="FFE7CE75"/>
      </x:bottom>
    </x:border>
    <x:border>
      <x:right style="thin">
        <x:color rgb="FFE7CE75"/>
      </x:right>
      <x:bottom style="thin">
        <x:color rgb="FFE7CE75"/>
      </x:bottom>
    </x:border>
    <x:border>
      <x:bottom style="thin">
        <x:color rgb="FFCDD8E2"/>
      </x:bottom>
    </x:border>
    <x:border>
      <x:top style="thin">
        <x:color rgb="FFCDD8E2"/>
      </x:top>
      <x:bottom style="thin">
        <x:color rgb="FFCDD8E2"/>
      </x:bottom>
    </x:border>
    <x:border>
      <x:top style="thin">
        <x:color rgb="FFCDD8E2"/>
      </x:top>
    </x:border>
  </x:borders>
  <x:cellStyleXfs count="1">
    <x:xf numFmtId="0" fontId="0" fillId="0" borderId="0"/>
  </x:cellStyleXfs>
  <x:cellXfs count="32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200" fontId="1" fillId="0" borderId="2" xfId="0" applyNumberFormat="1" applyFont="1" applyFill="1" applyBorder="1"/>
    <x:xf numFmtId="200" fontId="1" fillId="0" borderId="3" xfId="0" applyNumberFormat="1" applyFont="1" applyFill="1" applyBorder="1"/>
    <x:xf numFmtId="200" fontId="1" fillId="0" borderId="4" xfId="0" applyNumberFormat="1" applyFont="1" applyFill="1" applyBorder="1"/>
    <x:xf numFmtId="200" fontId="1" fillId="0" borderId="5" xfId="0" applyNumberFormat="1" applyFont="1" applyFill="1" applyBorder="1"/>
    <x:xf numFmtId="200" fontId="1" fillId="0" borderId="6" xfId="0" applyNumberFormat="1" applyFont="1" applyFill="1" applyBorder="1"/>
    <x:xf numFmtId="200" fontId="1" fillId="0" borderId="7" xfId="0" applyNumberFormat="1" applyFont="1" applyFill="1" applyBorder="1"/>
    <x:xf numFmtId="201" fontId="1" fillId="0" borderId="2" xfId="0" applyNumberFormat="1" applyFont="1" applyFill="1" applyBorder="1"/>
    <x:xf numFmtId="201" fontId="1" fillId="0" borderId="3" xfId="0" applyNumberFormat="1" applyFont="1" applyFill="1" applyBorder="1"/>
    <x:xf numFmtId="201" fontId="1" fillId="0" borderId="4" xfId="0" applyNumberFormat="1" applyFont="1" applyFill="1" applyBorder="1"/>
    <x:xf numFmtId="201" fontId="1" fillId="0" borderId="5" xfId="0" applyNumberFormat="1" applyFont="1" applyFill="1" applyBorder="1"/>
    <x:xf numFmtId="201" fontId="1" fillId="0" borderId="6" xfId="0" applyNumberFormat="1" applyFont="1" applyFill="1" applyBorder="1"/>
    <x:xf numFmtId="201" fontId="1" fillId="0" borderId="7" xfId="0" applyNumberFormat="1" applyFont="1" applyFill="1" applyBorder="1"/>
    <x:xf numFmtId="202" fontId="1" fillId="0" borderId="2" xfId="0" applyNumberFormat="1" applyFont="1" applyFill="1" applyBorder="1"/>
    <x:xf numFmtId="202" fontId="1" fillId="0" borderId="3" xfId="0" applyNumberFormat="1" applyFont="1" applyFill="1" applyBorder="1"/>
    <x:xf numFmtId="202" fontId="1" fillId="0" borderId="4" xfId="0" applyNumberFormat="1" applyFont="1" applyFill="1" applyBorder="1"/>
    <x:xf numFmtId="202" fontId="1" fillId="0" borderId="5" xfId="0" applyNumberFormat="1" applyFont="1" applyFill="1" applyBorder="1"/>
    <x:xf numFmtId="202" fontId="1" fillId="0" borderId="6" xfId="0" applyNumberFormat="1" applyFont="1" applyFill="1" applyBorder="1"/>
    <x:xf numFmtId="202" fontId="1" fillId="0" borderId="7" xfId="0" applyNumberFormat="1" applyFont="1" applyFill="1" applyBorder="1"/>
    <x:xf numFmtId="203" fontId="1" fillId="0" borderId="2" xfId="0" applyNumberFormat="1" applyFont="1" applyFill="1" applyBorder="1"/>
    <x:xf numFmtId="203" fontId="1" fillId="0" borderId="3" xfId="0" applyNumberFormat="1" applyFont="1" applyFill="1" applyBorder="1"/>
    <x:xf numFmtId="203" fontId="1" fillId="0" borderId="4" xfId="0" applyNumberFormat="1" applyFont="1" applyFill="1" applyBorder="1"/>
    <x:xf numFmtId="203" fontId="1" fillId="0" borderId="5" xfId="0" applyNumberFormat="1" applyFont="1" applyFill="1" applyBorder="1"/>
    <x:xf numFmtId="203" fontId="1" fillId="0" borderId="6" xfId="0" applyNumberFormat="1" applyFont="1" applyFill="1" applyBorder="1"/>
    <x:xf numFmtId="203" fontId="1" fillId="0" borderId="7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2" xfId="0" applyNumberFormat="1" applyFont="1" applyFill="1" applyBorder="1"/>
    <x:xf numFmtId="203" fontId="0" fillId="0" borderId="2" xfId="0" applyNumberFormat="1" applyFont="1" applyFill="1" applyBorder="1"/>
    <x:xf numFmtId="0" fontId="0" fillId="0" borderId="2" xfId="0" applyNumberFormat="1" applyFont="1" applyFill="1" applyBorder="1"/>
    <x:xf numFmtId="204" fontId="0" fillId="0" borderId="2" xfId="0" applyNumberFormat="1" applyFont="1" applyFill="1" applyBorder="1"/>
    <x:xf numFmtId="205" fontId="0" fillId="0" borderId="2" xfId="0" applyNumberFormat="1" applyFont="1" applyFill="1" applyBorder="1"/>
    <x:xf numFmtId="200" fontId="0" fillId="0" borderId="3" xfId="0" applyNumberFormat="1" applyFont="1" applyFill="1" applyBorder="1"/>
    <x:xf numFmtId="201" fontId="0" fillId="0" borderId="3" xfId="0" applyNumberFormat="1" applyFont="1" applyFill="1" applyBorder="1"/>
    <x:xf numFmtId="203" fontId="0" fillId="0" borderId="3" xfId="0" applyNumberFormat="1" applyFont="1" applyFill="1" applyBorder="1"/>
    <x:xf numFmtId="0" fontId="0" fillId="0" borderId="3" xfId="0" applyNumberFormat="1" applyFont="1" applyFill="1" applyBorder="1"/>
    <x:xf numFmtId="204" fontId="0" fillId="0" borderId="3" xfId="0" applyNumberFormat="1" applyFont="1" applyFill="1" applyBorder="1"/>
    <x:xf numFmtId="205" fontId="0" fillId="0" borderId="3" xfId="0" applyNumberFormat="1" applyFont="1" applyFill="1" applyBorder="1"/>
    <x:xf numFmtId="200" fontId="0" fillId="0" borderId="4" xfId="0" applyNumberFormat="1" applyFont="1" applyFill="1" applyBorder="1"/>
    <x:xf numFmtId="201" fontId="0" fillId="0" borderId="4" xfId="0" applyNumberFormat="1" applyFont="1" applyFill="1" applyBorder="1"/>
    <x:xf numFmtId="203" fontId="0" fillId="0" borderId="4" xfId="0" applyNumberFormat="1" applyFont="1" applyFill="1" applyBorder="1"/>
    <x:xf numFmtId="0" fontId="0" fillId="0" borderId="4" xfId="0" applyNumberFormat="1" applyFont="1" applyFill="1" applyBorder="1"/>
    <x:xf numFmtId="204" fontId="0" fillId="0" borderId="4" xfId="0" applyNumberFormat="1" applyFont="1" applyFill="1" applyBorder="1"/>
    <x:xf numFmtId="205" fontId="0" fillId="0" borderId="4" xfId="0" applyNumberFormat="1" applyFont="1" applyFill="1" applyBorder="1"/>
    <x:xf numFmtId="200" fontId="0" fillId="0" borderId="5" xfId="0" applyNumberFormat="1" applyFont="1" applyFill="1" applyBorder="1"/>
    <x:xf numFmtId="201" fontId="0" fillId="0" borderId="5" xfId="0" applyNumberFormat="1" applyFont="1" applyFill="1" applyBorder="1"/>
    <x:xf numFmtId="203" fontId="0" fillId="0" borderId="5" xfId="0" applyNumberFormat="1" applyFont="1" applyFill="1" applyBorder="1"/>
    <x:xf numFmtId="0" fontId="0" fillId="0" borderId="5" xfId="0" applyNumberFormat="1" applyFont="1" applyFill="1" applyBorder="1"/>
    <x:xf numFmtId="204" fontId="0" fillId="0" borderId="5" xfId="0" applyNumberFormat="1" applyFont="1" applyFill="1" applyBorder="1"/>
    <x:xf numFmtId="205" fontId="0" fillId="0" borderId="5" xfId="0" applyNumberFormat="1" applyFont="1" applyFill="1" applyBorder="1"/>
    <x:xf numFmtId="200" fontId="0" fillId="0" borderId="6" xfId="0" applyNumberFormat="1" applyFont="1" applyFill="1" applyBorder="1"/>
    <x:xf numFmtId="201" fontId="0" fillId="0" borderId="6" xfId="0" applyNumberFormat="1" applyFont="1" applyFill="1" applyBorder="1"/>
    <x:xf numFmtId="203" fontId="0" fillId="0" borderId="6" xfId="0" applyNumberFormat="1" applyFont="1" applyFill="1" applyBorder="1"/>
    <x:xf numFmtId="0" fontId="0" fillId="0" borderId="6" xfId="0" applyNumberFormat="1" applyFont="1" applyFill="1" applyBorder="1"/>
    <x:xf numFmtId="204" fontId="0" fillId="0" borderId="6" xfId="0" applyNumberFormat="1" applyFont="1" applyFill="1" applyBorder="1"/>
    <x:xf numFmtId="205" fontId="0" fillId="0" borderId="6" xfId="0" applyNumberFormat="1" applyFont="1" applyFill="1" applyBorder="1"/>
    <x:xf numFmtId="200" fontId="0" fillId="0" borderId="7" xfId="0" applyNumberFormat="1" applyFont="1" applyFill="1" applyBorder="1"/>
    <x:xf numFmtId="201" fontId="0" fillId="0" borderId="7" xfId="0" applyNumberFormat="1" applyFont="1" applyFill="1" applyBorder="1"/>
    <x:xf numFmtId="203" fontId="0" fillId="0" borderId="7" xfId="0" applyNumberFormat="1" applyFont="1" applyFill="1" applyBorder="1"/>
    <x:xf numFmtId="0" fontId="0" fillId="0" borderId="7" xfId="0" applyNumberFormat="1" applyFont="1" applyFill="1" applyBorder="1"/>
    <x:xf numFmtId="204" fontId="0" fillId="0" borderId="7" xfId="0" applyNumberFormat="1" applyFont="1" applyFill="1" applyBorder="1"/>
    <x:xf numFmtId="205" fontId="0" fillId="0" borderId="7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5" fillId="4" borderId="1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 vertical="center"/>
    </x:xf>
    <x:xf numFmtId="0" fontId="5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6" fillId="5" borderId="0" xfId="0" applyNumberFormat="1" applyFont="1" applyFill="1" applyBorder="1"/>
    <x:xf numFmtId="0" fontId="6" fillId="5" borderId="1" xfId="0" applyNumberFormat="1" applyFont="1" applyFill="1" applyBorder="1"/>
    <x:xf numFmtId="0" fontId="6" fillId="5" borderId="8" xfId="0" applyNumberFormat="1" applyFont="1" applyFill="1" applyBorder="1"/>
    <x:xf numFmtId="0" fontId="6" fillId="5" borderId="9" xfId="0" applyNumberFormat="1" applyFont="1" applyFill="1" applyBorder="1"/>
    <x:xf numFmtId="0" fontId="6" fillId="5" borderId="10" xfId="0" applyNumberFormat="1" applyFont="1" applyFill="1" applyBorder="1"/>
    <x:xf numFmtId="0" fontId="6" fillId="5" borderId="11" xfId="0" applyNumberFormat="1" applyFont="1" applyFill="1" applyBorder="1"/>
    <x:xf numFmtId="0" fontId="6" fillId="5" borderId="12" xfId="0" applyNumberFormat="1" applyFont="1" applyFill="1" applyBorder="1"/>
    <x:xf numFmtId="0" fontId="6" fillId="5" borderId="13" xfId="0" applyNumberFormat="1" applyFont="1" applyFill="1" applyBorder="1"/>
    <x:xf numFmtId="0" fontId="6" fillId="5" borderId="14" xfId="0" applyNumberFormat="1" applyFont="1" applyFill="1" applyBorder="1"/>
    <x:xf numFmtId="0" fontId="6" fillId="5" borderId="15" xfId="0" applyNumberFormat="1" applyFont="1" applyFill="1" applyBorder="1"/>
    <x:xf numFmtId="200" fontId="6" fillId="5" borderId="8" xfId="0" applyNumberFormat="1" applyFont="1" applyFill="1" applyBorder="1"/>
    <x:xf numFmtId="200" fontId="6" fillId="5" borderId="9" xfId="0" applyNumberFormat="1" applyFont="1" applyFill="1" applyBorder="1"/>
    <x:xf numFmtId="200" fontId="6" fillId="5" borderId="10" xfId="0" applyNumberFormat="1" applyFont="1" applyFill="1" applyBorder="1"/>
    <x:xf numFmtId="200" fontId="6" fillId="5" borderId="11" xfId="0" applyNumberFormat="1" applyFont="1" applyFill="1" applyBorder="1"/>
    <x:xf numFmtId="200" fontId="6" fillId="5" borderId="12" xfId="0" applyNumberFormat="1" applyFont="1" applyFill="1" applyBorder="1"/>
    <x:xf numFmtId="200" fontId="6" fillId="5" borderId="13" xfId="0" applyNumberFormat="1" applyFont="1" applyFill="1" applyBorder="1"/>
    <x:xf numFmtId="200" fontId="6" fillId="5" borderId="14" xfId="0" applyNumberFormat="1" applyFont="1" applyFill="1" applyBorder="1"/>
    <x:xf numFmtId="200" fontId="6" fillId="5" borderId="15" xfId="0" applyNumberFormat="1" applyFont="1" applyFill="1" applyBorder="1"/>
    <x:xf numFmtId="200" fontId="6" fillId="5" borderId="8" xfId="0" applyNumberFormat="1" applyFont="1" applyFill="1" applyBorder="1" applyAlignment="1">
      <x:alignment horizontal="center"/>
    </x:xf>
    <x:xf numFmtId="200" fontId="6" fillId="5" borderId="9" xfId="0" applyNumberFormat="1" applyFont="1" applyFill="1" applyBorder="1" applyAlignment="1">
      <x:alignment horizontal="center"/>
    </x:xf>
    <x:xf numFmtId="200" fontId="6" fillId="5" borderId="10" xfId="0" applyNumberFormat="1" applyFont="1" applyFill="1" applyBorder="1" applyAlignment="1">
      <x:alignment horizontal="center"/>
    </x:xf>
    <x:xf numFmtId="200" fontId="6" fillId="5" borderId="11" xfId="0" applyNumberFormat="1" applyFont="1" applyFill="1" applyBorder="1" applyAlignment="1">
      <x:alignment horizontal="center"/>
    </x:xf>
    <x:xf numFmtId="200" fontId="6" fillId="5" borderId="12" xfId="0" applyNumberFormat="1" applyFont="1" applyFill="1" applyBorder="1" applyAlignment="1">
      <x:alignment horizontal="center"/>
    </x:xf>
    <x:xf numFmtId="200" fontId="6" fillId="5" borderId="13" xfId="0" applyNumberFormat="1" applyFont="1" applyFill="1" applyBorder="1" applyAlignment="1">
      <x:alignment horizontal="center"/>
    </x:xf>
    <x:xf numFmtId="200" fontId="6" fillId="5" borderId="14" xfId="0" applyNumberFormat="1" applyFont="1" applyFill="1" applyBorder="1" applyAlignment="1">
      <x:alignment horizontal="center"/>
    </x:xf>
    <x:xf numFmtId="200" fontId="6" fillId="5" borderId="15" xfId="0" applyNumberFormat="1" applyFont="1" applyFill="1" applyBorder="1" applyAlignment="1">
      <x:alignment horizontal="center"/>
    </x:xf>
    <x:xf numFmtId="200" fontId="6" fillId="5" borderId="8" xfId="0" applyNumberFormat="1" applyFont="1" applyFill="1" applyBorder="1" applyAlignment="1">
      <x:alignment horizontal="center" vertical="center"/>
    </x:xf>
    <x:xf numFmtId="200" fontId="6" fillId="5" borderId="9" xfId="0" applyNumberFormat="1" applyFont="1" applyFill="1" applyBorder="1" applyAlignment="1">
      <x:alignment horizontal="center" vertical="center"/>
    </x:xf>
    <x:xf numFmtId="200" fontId="6" fillId="5" borderId="10" xfId="0" applyNumberFormat="1" applyFont="1" applyFill="1" applyBorder="1" applyAlignment="1">
      <x:alignment horizontal="center" vertical="center"/>
    </x:xf>
    <x:xf numFmtId="200" fontId="6" fillId="5" borderId="11" xfId="0" applyNumberFormat="1" applyFont="1" applyFill="1" applyBorder="1" applyAlignment="1">
      <x:alignment horizontal="center" vertical="center"/>
    </x:xf>
    <x:xf numFmtId="200" fontId="6" fillId="5" borderId="12" xfId="0" applyNumberFormat="1" applyFont="1" applyFill="1" applyBorder="1" applyAlignment="1">
      <x:alignment horizontal="center" vertical="center"/>
    </x:xf>
    <x:xf numFmtId="200" fontId="6" fillId="5" borderId="13" xfId="0" applyNumberFormat="1" applyFont="1" applyFill="1" applyBorder="1" applyAlignment="1">
      <x:alignment horizontal="center" vertical="center"/>
    </x:xf>
    <x:xf numFmtId="200" fontId="6" fillId="5" borderId="14" xfId="0" applyNumberFormat="1" applyFont="1" applyFill="1" applyBorder="1" applyAlignment="1">
      <x:alignment horizontal="center" vertical="center"/>
    </x:xf>
    <x:xf numFmtId="200" fontId="6" fillId="5" borderId="15" xfId="0" applyNumberFormat="1" applyFont="1" applyFill="1" applyBorder="1" applyAlignment="1">
      <x:alignment horizontal="center" vertical="center"/>
    </x:xf>
    <x:xf numFmtId="206" fontId="6" fillId="5" borderId="8" xfId="0" applyNumberFormat="1" applyFont="1" applyFill="1" applyBorder="1"/>
    <x:xf numFmtId="206" fontId="6" fillId="5" borderId="9" xfId="0" applyNumberFormat="1" applyFont="1" applyFill="1" applyBorder="1"/>
    <x:xf numFmtId="206" fontId="6" fillId="5" borderId="10" xfId="0" applyNumberFormat="1" applyFont="1" applyFill="1" applyBorder="1"/>
    <x:xf numFmtId="206" fontId="6" fillId="5" borderId="11" xfId="0" applyNumberFormat="1" applyFont="1" applyFill="1" applyBorder="1"/>
    <x:xf numFmtId="206" fontId="6" fillId="5" borderId="12" xfId="0" applyNumberFormat="1" applyFont="1" applyFill="1" applyBorder="1"/>
    <x:xf numFmtId="206" fontId="6" fillId="5" borderId="13" xfId="0" applyNumberFormat="1" applyFont="1" applyFill="1" applyBorder="1"/>
    <x:xf numFmtId="206" fontId="6" fillId="5" borderId="14" xfId="0" applyNumberFormat="1" applyFont="1" applyFill="1" applyBorder="1"/>
    <x:xf numFmtId="206" fontId="6" fillId="5" borderId="15" xfId="0" applyNumberFormat="1" applyFont="1" applyFill="1" applyBorder="1"/>
    <x:xf numFmtId="206" fontId="6" fillId="5" borderId="8" xfId="0" applyNumberFormat="1" applyFont="1" applyFill="1" applyBorder="1" applyAlignment="1">
      <x:alignment horizontal="center"/>
    </x:xf>
    <x:xf numFmtId="206" fontId="6" fillId="5" borderId="9" xfId="0" applyNumberFormat="1" applyFont="1" applyFill="1" applyBorder="1" applyAlignment="1">
      <x:alignment horizontal="center"/>
    </x:xf>
    <x:xf numFmtId="206" fontId="6" fillId="5" borderId="10" xfId="0" applyNumberFormat="1" applyFont="1" applyFill="1" applyBorder="1" applyAlignment="1">
      <x:alignment horizontal="center"/>
    </x:xf>
    <x:xf numFmtId="206" fontId="6" fillId="5" borderId="11" xfId="0" applyNumberFormat="1" applyFont="1" applyFill="1" applyBorder="1" applyAlignment="1">
      <x:alignment horizontal="center"/>
    </x:xf>
    <x:xf numFmtId="206" fontId="6" fillId="5" borderId="12" xfId="0" applyNumberFormat="1" applyFont="1" applyFill="1" applyBorder="1" applyAlignment="1">
      <x:alignment horizontal="center"/>
    </x:xf>
    <x:xf numFmtId="206" fontId="6" fillId="5" borderId="13" xfId="0" applyNumberFormat="1" applyFont="1" applyFill="1" applyBorder="1" applyAlignment="1">
      <x:alignment horizontal="center"/>
    </x:xf>
    <x:xf numFmtId="206" fontId="6" fillId="5" borderId="14" xfId="0" applyNumberFormat="1" applyFont="1" applyFill="1" applyBorder="1" applyAlignment="1">
      <x:alignment horizontal="center"/>
    </x:xf>
    <x:xf numFmtId="206" fontId="6" fillId="5" borderId="15" xfId="0" applyNumberFormat="1" applyFont="1" applyFill="1" applyBorder="1" applyAlignment="1">
      <x:alignment horizontal="center"/>
    </x:xf>
    <x:xf numFmtId="206" fontId="6" fillId="5" borderId="8" xfId="0" applyNumberFormat="1" applyFont="1" applyFill="1" applyBorder="1" applyAlignment="1">
      <x:alignment horizontal="center" vertical="center"/>
    </x:xf>
    <x:xf numFmtId="206" fontId="6" fillId="5" borderId="9" xfId="0" applyNumberFormat="1" applyFont="1" applyFill="1" applyBorder="1" applyAlignment="1">
      <x:alignment horizontal="center" vertical="center"/>
    </x:xf>
    <x:xf numFmtId="206" fontId="6" fillId="5" borderId="10" xfId="0" applyNumberFormat="1" applyFont="1" applyFill="1" applyBorder="1" applyAlignment="1">
      <x:alignment horizontal="center" vertical="center"/>
    </x:xf>
    <x:xf numFmtId="206" fontId="6" fillId="5" borderId="11" xfId="0" applyNumberFormat="1" applyFont="1" applyFill="1" applyBorder="1" applyAlignment="1">
      <x:alignment horizontal="center" vertical="center"/>
    </x:xf>
    <x:xf numFmtId="206" fontId="6" fillId="5" borderId="12" xfId="0" applyNumberFormat="1" applyFont="1" applyFill="1" applyBorder="1" applyAlignment="1">
      <x:alignment horizontal="center" vertical="center"/>
    </x:xf>
    <x:xf numFmtId="206" fontId="6" fillId="5" borderId="13" xfId="0" applyNumberFormat="1" applyFont="1" applyFill="1" applyBorder="1" applyAlignment="1">
      <x:alignment horizontal="center" vertical="center"/>
    </x:xf>
    <x:xf numFmtId="206" fontId="6" fillId="5" borderId="14" xfId="0" applyNumberFormat="1" applyFont="1" applyFill="1" applyBorder="1" applyAlignment="1">
      <x:alignment horizontal="center" vertical="center"/>
    </x:xf>
    <x:xf numFmtId="206" fontId="6" fillId="5" borderId="15" xfId="0" applyNumberFormat="1" applyFont="1" applyFill="1" applyBorder="1" applyAlignment="1">
      <x:alignment horizontal="center" vertical="center"/>
    </x:xf>
    <x:xf numFmtId="205" fontId="6" fillId="5" borderId="8" xfId="0" applyNumberFormat="1" applyFont="1" applyFill="1" applyBorder="1"/>
    <x:xf numFmtId="205" fontId="6" fillId="5" borderId="9" xfId="0" applyNumberFormat="1" applyFont="1" applyFill="1" applyBorder="1"/>
    <x:xf numFmtId="205" fontId="6" fillId="5" borderId="10" xfId="0" applyNumberFormat="1" applyFont="1" applyFill="1" applyBorder="1"/>
    <x:xf numFmtId="205" fontId="6" fillId="5" borderId="11" xfId="0" applyNumberFormat="1" applyFont="1" applyFill="1" applyBorder="1"/>
    <x:xf numFmtId="205" fontId="6" fillId="5" borderId="12" xfId="0" applyNumberFormat="1" applyFont="1" applyFill="1" applyBorder="1"/>
    <x:xf numFmtId="205" fontId="6" fillId="5" borderId="13" xfId="0" applyNumberFormat="1" applyFont="1" applyFill="1" applyBorder="1"/>
    <x:xf numFmtId="205" fontId="6" fillId="5" borderId="14" xfId="0" applyNumberFormat="1" applyFont="1" applyFill="1" applyBorder="1"/>
    <x:xf numFmtId="205" fontId="6" fillId="5" borderId="15" xfId="0" applyNumberFormat="1" applyFont="1" applyFill="1" applyBorder="1"/>
    <x:xf numFmtId="205" fontId="6" fillId="5" borderId="8" xfId="0" applyNumberFormat="1" applyFont="1" applyFill="1" applyBorder="1" applyAlignment="1">
      <x:alignment horizontal="center"/>
    </x:xf>
    <x:xf numFmtId="205" fontId="6" fillId="5" borderId="9" xfId="0" applyNumberFormat="1" applyFont="1" applyFill="1" applyBorder="1" applyAlignment="1">
      <x:alignment horizontal="center"/>
    </x:xf>
    <x:xf numFmtId="205" fontId="6" fillId="5" borderId="10" xfId="0" applyNumberFormat="1" applyFont="1" applyFill="1" applyBorder="1" applyAlignment="1">
      <x:alignment horizontal="center"/>
    </x:xf>
    <x:xf numFmtId="205" fontId="6" fillId="5" borderId="11" xfId="0" applyNumberFormat="1" applyFont="1" applyFill="1" applyBorder="1" applyAlignment="1">
      <x:alignment horizontal="center"/>
    </x:xf>
    <x:xf numFmtId="205" fontId="6" fillId="5" borderId="12" xfId="0" applyNumberFormat="1" applyFont="1" applyFill="1" applyBorder="1" applyAlignment="1">
      <x:alignment horizontal="center"/>
    </x:xf>
    <x:xf numFmtId="205" fontId="6" fillId="5" borderId="13" xfId="0" applyNumberFormat="1" applyFont="1" applyFill="1" applyBorder="1" applyAlignment="1">
      <x:alignment horizontal="center"/>
    </x:xf>
    <x:xf numFmtId="205" fontId="6" fillId="5" borderId="14" xfId="0" applyNumberFormat="1" applyFont="1" applyFill="1" applyBorder="1" applyAlignment="1">
      <x:alignment horizontal="center"/>
    </x:xf>
    <x:xf numFmtId="205" fontId="6" fillId="5" borderId="15" xfId="0" applyNumberFormat="1" applyFont="1" applyFill="1" applyBorder="1" applyAlignment="1">
      <x:alignment horizontal="center"/>
    </x:xf>
    <x:xf numFmtId="205" fontId="6" fillId="5" borderId="8" xfId="0" applyNumberFormat="1" applyFont="1" applyFill="1" applyBorder="1" applyAlignment="1">
      <x:alignment horizontal="center" vertical="center"/>
    </x:xf>
    <x:xf numFmtId="205" fontId="6" fillId="5" borderId="9" xfId="0" applyNumberFormat="1" applyFont="1" applyFill="1" applyBorder="1" applyAlignment="1">
      <x:alignment horizontal="center" vertical="center"/>
    </x:xf>
    <x:xf numFmtId="205" fontId="6" fillId="5" borderId="10" xfId="0" applyNumberFormat="1" applyFont="1" applyFill="1" applyBorder="1" applyAlignment="1">
      <x:alignment horizontal="center" vertical="center"/>
    </x:xf>
    <x:xf numFmtId="205" fontId="6" fillId="5" borderId="11" xfId="0" applyNumberFormat="1" applyFont="1" applyFill="1" applyBorder="1" applyAlignment="1">
      <x:alignment horizontal="center" vertical="center"/>
    </x:xf>
    <x:xf numFmtId="205" fontId="6" fillId="5" borderId="12" xfId="0" applyNumberFormat="1" applyFont="1" applyFill="1" applyBorder="1" applyAlignment="1">
      <x:alignment horizontal="center" vertical="center"/>
    </x:xf>
    <x:xf numFmtId="205" fontId="6" fillId="5" borderId="13" xfId="0" applyNumberFormat="1" applyFont="1" applyFill="1" applyBorder="1" applyAlignment="1">
      <x:alignment horizontal="center" vertical="center"/>
    </x:xf>
    <x:xf numFmtId="205" fontId="6" fillId="5" borderId="14" xfId="0" applyNumberFormat="1" applyFont="1" applyFill="1" applyBorder="1" applyAlignment="1">
      <x:alignment horizontal="center" vertical="center"/>
    </x:xf>
    <x:xf numFmtId="205" fontId="6" fillId="5" borderId="15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0" fontId="7" fillId="0" borderId="16" xfId="0" applyNumberFormat="1" applyFont="1" applyFill="1" applyBorder="1"/>
    <x:xf numFmtId="0" fontId="7" fillId="0" borderId="17" xfId="0" applyNumberFormat="1" applyFont="1" applyFill="1" applyBorder="1"/>
    <x:xf numFmtId="0" fontId="7" fillId="0" borderId="18" xfId="0" applyNumberFormat="1" applyFont="1" applyFill="1" applyBorder="1"/>
    <x:xf numFmtId="0" fontId="7" fillId="0" borderId="19" xfId="0" applyNumberFormat="1" applyFont="1" applyFill="1" applyBorder="1"/>
    <x:xf numFmtId="0" fontId="7" fillId="0" borderId="20" xfId="0" applyNumberFormat="1" applyFont="1" applyFill="1" applyBorder="1"/>
    <x:xf numFmtId="0" fontId="7" fillId="0" borderId="21" xfId="0" applyNumberFormat="1" applyFont="1" applyFill="1" applyBorder="1"/>
    <x:xf numFmtId="0" fontId="7" fillId="0" borderId="22" xfId="0" applyNumberFormat="1" applyFont="1" applyFill="1" applyBorder="1"/>
    <x:xf numFmtId="0" fontId="7" fillId="0" borderId="23" xfId="0" applyNumberFormat="1" applyFont="1" applyFill="1" applyBorder="1"/>
    <x:xf numFmtId="0" fontId="7" fillId="0" borderId="24" xfId="0" applyNumberFormat="1" applyFont="1" applyFill="1" applyBorder="1"/>
    <x:xf numFmtId="0" fontId="7" fillId="0" borderId="25" xfId="0" applyNumberFormat="1" applyFont="1" applyFill="1" applyBorder="1"/>
    <x:xf numFmtId="0" fontId="7" fillId="0" borderId="26" xfId="0" applyNumberFormat="1" applyFont="1" applyFill="1" applyBorder="1"/>
    <x:xf numFmtId="0" fontId="7" fillId="0" borderId="27" xfId="0" applyNumberFormat="1" applyFont="1" applyFill="1" applyBorder="1"/>
    <x:xf numFmtId="0" fontId="8" fillId="0" borderId="16" xfId="0" applyNumberFormat="1" applyFont="1" applyFill="1" applyBorder="1"/>
    <x:xf numFmtId="0" fontId="8" fillId="0" borderId="19" xfId="0" applyNumberFormat="1" applyFont="1" applyFill="1" applyBorder="1"/>
    <x:xf numFmtId="0" fontId="8" fillId="0" borderId="22" xfId="0" applyNumberFormat="1" applyFont="1" applyFill="1" applyBorder="1"/>
    <x:xf numFmtId="0" fontId="8" fillId="0" borderId="25" xfId="0" applyNumberFormat="1" applyFont="1" applyFill="1" applyBorder="1"/>
    <x:xf numFmtId="200" fontId="7" fillId="0" borderId="17" xfId="0" applyNumberFormat="1" applyFont="1" applyFill="1" applyBorder="1"/>
    <x:xf numFmtId="200" fontId="7" fillId="0" borderId="20" xfId="0" applyNumberFormat="1" applyFont="1" applyFill="1" applyBorder="1"/>
    <x:xf numFmtId="200" fontId="7" fillId="0" borderId="23" xfId="0" applyNumberFormat="1" applyFont="1" applyFill="1" applyBorder="1"/>
    <x:xf numFmtId="200" fontId="7" fillId="0" borderId="26" xfId="0" applyNumberFormat="1" applyFont="1" applyFill="1" applyBorder="1"/>
    <x:xf numFmtId="207" fontId="7" fillId="0" borderId="17" xfId="0" applyNumberFormat="1" applyFont="1" applyFill="1" applyBorder="1"/>
    <x:xf numFmtId="207" fontId="7" fillId="0" borderId="20" xfId="0" applyNumberFormat="1" applyFont="1" applyFill="1" applyBorder="1"/>
    <x:xf numFmtId="207" fontId="7" fillId="0" borderId="23" xfId="0" applyNumberFormat="1" applyFont="1" applyFill="1" applyBorder="1"/>
    <x:xf numFmtId="207" fontId="7" fillId="0" borderId="26" xfId="0" applyNumberFormat="1" applyFont="1" applyFill="1" applyBorder="1"/>
    <x:xf numFmtId="208" fontId="7" fillId="0" borderId="17" xfId="0" applyNumberFormat="1" applyFont="1" applyFill="1" applyBorder="1"/>
    <x:xf numFmtId="208" fontId="7" fillId="0" borderId="20" xfId="0" applyNumberFormat="1" applyFont="1" applyFill="1" applyBorder="1"/>
    <x:xf numFmtId="208" fontId="7" fillId="0" borderId="23" xfId="0" applyNumberFormat="1" applyFont="1" applyFill="1" applyBorder="1"/>
    <x:xf numFmtId="208" fontId="7" fillId="0" borderId="26" xfId="0" applyNumberFormat="1" applyFont="1" applyFill="1" applyBorder="1"/>
    <x:xf numFmtId="202" fontId="7" fillId="0" borderId="17" xfId="0" applyNumberFormat="1" applyFont="1" applyFill="1" applyBorder="1"/>
    <x:xf numFmtId="202" fontId="7" fillId="0" borderId="20" xfId="0" applyNumberFormat="1" applyFont="1" applyFill="1" applyBorder="1"/>
    <x:xf numFmtId="202" fontId="7" fillId="0" borderId="23" xfId="0" applyNumberFormat="1" applyFont="1" applyFill="1" applyBorder="1"/>
    <x:xf numFmtId="202" fontId="7" fillId="0" borderId="26" xfId="0" applyNumberFormat="1" applyFont="1" applyFill="1" applyBorder="1"/>
    <x:xf numFmtId="200" fontId="7" fillId="0" borderId="18" xfId="0" applyNumberFormat="1" applyFont="1" applyFill="1" applyBorder="1"/>
    <x:xf numFmtId="200" fontId="7" fillId="0" borderId="21" xfId="0" applyNumberFormat="1" applyFont="1" applyFill="1" applyBorder="1"/>
    <x:xf numFmtId="200" fontId="7" fillId="0" borderId="24" xfId="0" applyNumberFormat="1" applyFont="1" applyFill="1" applyBorder="1"/>
    <x:xf numFmtId="200" fontId="7" fillId="0" borderId="27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0" fontId="4" fillId="6" borderId="28" xfId="0" applyNumberFormat="1" applyFont="1" applyFill="1" applyBorder="1"/>
    <x:xf numFmtId="0" fontId="4" fillId="6" borderId="29" xfId="0" applyNumberFormat="1" applyFont="1" applyFill="1" applyBorder="1"/>
    <x:xf numFmtId="0" fontId="4" fillId="6" borderId="30" xfId="0" applyNumberFormat="1" applyFont="1" applyFill="1" applyBorder="1"/>
    <x:xf numFmtId="0" fontId="4" fillId="6" borderId="31" xfId="0" applyNumberFormat="1" applyFont="1" applyFill="1" applyBorder="1"/>
    <x:xf numFmtId="0" fontId="4" fillId="6" borderId="32" xfId="0" applyNumberFormat="1" applyFont="1" applyFill="1" applyBorder="1"/>
    <x:xf numFmtId="0" fontId="4" fillId="6" borderId="33" xfId="0" applyNumberFormat="1" applyFont="1" applyFill="1" applyBorder="1"/>
    <x:xf numFmtId="0" fontId="4" fillId="6" borderId="34" xfId="0" applyNumberFormat="1" applyFont="1" applyFill="1" applyBorder="1"/>
    <x:xf numFmtId="0" fontId="4" fillId="6" borderId="35" xfId="0" applyNumberFormat="1" applyFont="1" applyFill="1" applyBorder="1"/>
    <x:xf numFmtId="0" fontId="4" fillId="6" borderId="36" xfId="0" applyNumberFormat="1" applyFont="1" applyFill="1" applyBorder="1"/>
    <x:xf numFmtId="0" fontId="4" fillId="6" borderId="37" xfId="0" applyNumberFormat="1" applyFont="1" applyFill="1" applyBorder="1"/>
    <x:xf numFmtId="0" fontId="4" fillId="6" borderId="38" xfId="0" applyNumberFormat="1" applyFont="1" applyFill="1" applyBorder="1"/>
    <x:xf numFmtId="0" fontId="4" fillId="6" borderId="39" xfId="0" applyNumberFormat="1" applyFont="1" applyFill="1" applyBorder="1"/>
    <x:xf numFmtId="0" fontId="4" fillId="6" borderId="28" xfId="0" applyNumberFormat="1" applyFont="1" applyFill="1" applyBorder="1" applyAlignment="1">
      <x:alignment wrapText="1"/>
    </x:xf>
    <x:xf numFmtId="0" fontId="4" fillId="6" borderId="29" xfId="0" applyNumberFormat="1" applyFont="1" applyFill="1" applyBorder="1" applyAlignment="1">
      <x:alignment wrapText="1"/>
    </x:xf>
    <x:xf numFmtId="0" fontId="4" fillId="6" borderId="30" xfId="0" applyNumberFormat="1" applyFont="1" applyFill="1" applyBorder="1" applyAlignment="1">
      <x:alignment wrapText="1"/>
    </x:xf>
    <x:xf numFmtId="0" fontId="4" fillId="6" borderId="31" xfId="0" applyNumberFormat="1" applyFont="1" applyFill="1" applyBorder="1" applyAlignment="1">
      <x:alignment wrapText="1"/>
    </x:xf>
    <x:xf numFmtId="0" fontId="4" fillId="6" borderId="32" xfId="0" applyNumberFormat="1" applyFont="1" applyFill="1" applyBorder="1" applyAlignment="1">
      <x:alignment wrapText="1"/>
    </x:xf>
    <x:xf numFmtId="0" fontId="4" fillId="6" borderId="33" xfId="0" applyNumberFormat="1" applyFont="1" applyFill="1" applyBorder="1" applyAlignment="1">
      <x:alignment wrapText="1"/>
    </x:xf>
    <x:xf numFmtId="0" fontId="4" fillId="6" borderId="34" xfId="0" applyNumberFormat="1" applyFont="1" applyFill="1" applyBorder="1" applyAlignment="1">
      <x:alignment wrapText="1"/>
    </x:xf>
    <x:xf numFmtId="0" fontId="4" fillId="6" borderId="35" xfId="0" applyNumberFormat="1" applyFont="1" applyFill="1" applyBorder="1" applyAlignment="1">
      <x:alignment wrapText="1"/>
    </x:xf>
    <x:xf numFmtId="0" fontId="4" fillId="6" borderId="36" xfId="0" applyNumberFormat="1" applyFont="1" applyFill="1" applyBorder="1" applyAlignment="1">
      <x:alignment wrapText="1"/>
    </x:xf>
    <x:xf numFmtId="0" fontId="4" fillId="6" borderId="37" xfId="0" applyNumberFormat="1" applyFont="1" applyFill="1" applyBorder="1" applyAlignment="1">
      <x:alignment wrapText="1"/>
    </x:xf>
    <x:xf numFmtId="0" fontId="4" fillId="6" borderId="38" xfId="0" applyNumberFormat="1" applyFont="1" applyFill="1" applyBorder="1" applyAlignment="1">
      <x:alignment wrapText="1"/>
    </x:xf>
    <x:xf numFmtId="0" fontId="4" fillId="6" borderId="39" xfId="0" applyNumberFormat="1" applyFont="1" applyFill="1" applyBorder="1" applyAlignment="1">
      <x:alignment wrapText="1"/>
    </x:xf>
    <x:xf numFmtId="0" fontId="4" fillId="6" borderId="28" xfId="0" applyNumberFormat="1" applyFont="1" applyFill="1" applyBorder="1" applyAlignment="1">
      <x:alignment vertical="center" wrapText="1"/>
    </x:xf>
    <x:xf numFmtId="0" fontId="4" fillId="6" borderId="29" xfId="0" applyNumberFormat="1" applyFont="1" applyFill="1" applyBorder="1" applyAlignment="1">
      <x:alignment vertical="center" wrapText="1"/>
    </x:xf>
    <x:xf numFmtId="0" fontId="4" fillId="6" borderId="30" xfId="0" applyNumberFormat="1" applyFont="1" applyFill="1" applyBorder="1" applyAlignment="1">
      <x:alignment vertical="center" wrapText="1"/>
    </x:xf>
    <x:xf numFmtId="0" fontId="4" fillId="6" borderId="31" xfId="0" applyNumberFormat="1" applyFont="1" applyFill="1" applyBorder="1" applyAlignment="1">
      <x:alignment vertical="center" wrapText="1"/>
    </x:xf>
    <x:xf numFmtId="0" fontId="4" fillId="6" borderId="32" xfId="0" applyNumberFormat="1" applyFont="1" applyFill="1" applyBorder="1" applyAlignment="1">
      <x:alignment vertical="center" wrapText="1"/>
    </x:xf>
    <x:xf numFmtId="0" fontId="4" fillId="6" borderId="33" xfId="0" applyNumberFormat="1" applyFont="1" applyFill="1" applyBorder="1" applyAlignment="1">
      <x:alignment vertical="center" wrapText="1"/>
    </x:xf>
    <x:xf numFmtId="0" fontId="4" fillId="6" borderId="34" xfId="0" applyNumberFormat="1" applyFont="1" applyFill="1" applyBorder="1" applyAlignment="1">
      <x:alignment vertical="center" wrapText="1"/>
    </x:xf>
    <x:xf numFmtId="0" fontId="4" fillId="6" borderId="35" xfId="0" applyNumberFormat="1" applyFont="1" applyFill="1" applyBorder="1" applyAlignment="1">
      <x:alignment vertical="center" wrapText="1"/>
    </x:xf>
    <x:xf numFmtId="0" fontId="4" fillId="6" borderId="36" xfId="0" applyNumberFormat="1" applyFont="1" applyFill="1" applyBorder="1" applyAlignment="1">
      <x:alignment vertical="center" wrapText="1"/>
    </x:xf>
    <x:xf numFmtId="0" fontId="4" fillId="6" borderId="37" xfId="0" applyNumberFormat="1" applyFont="1" applyFill="1" applyBorder="1" applyAlignment="1">
      <x:alignment vertical="center" wrapText="1"/>
    </x:xf>
    <x:xf numFmtId="0" fontId="4" fillId="6" borderId="38" xfId="0" applyNumberFormat="1" applyFont="1" applyFill="1" applyBorder="1" applyAlignment="1">
      <x:alignment vertical="center" wrapText="1"/>
    </x:xf>
    <x:xf numFmtId="0" fontId="4" fillId="6" borderId="39" xfId="0" applyNumberFormat="1" applyFont="1" applyFill="1" applyBorder="1" applyAlignment="1">
      <x:alignment vertical="center" wrapText="1"/>
    </x:xf>
    <x:xf numFmtId="0" fontId="9" fillId="2" borderId="0" xfId="0" applyNumberFormat="1" applyFont="1" applyFill="1" applyBorder="1"/>
    <x:xf numFmtId="0" fontId="9" fillId="2" borderId="1" xfId="0" applyNumberFormat="1" applyFont="1" applyFill="1" applyBorder="1"/>
    <x:xf numFmtId="0" fontId="9" fillId="2" borderId="0" xfId="0" applyNumberFormat="1" applyFont="1" applyFill="1" applyBorder="1" applyAlignment="1">
      <x:alignment vertical="center"/>
    </x:xf>
    <x:xf numFmtId="0" fontId="9" fillId="2" borderId="1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1" xfId="0" applyNumberFormat="1" applyFont="1" applyFill="1" applyBorder="1" applyAlignment="1">
      <x:alignment vertical="center" wrapText="1"/>
    </x:xf>
    <x:xf numFmtId="208" fontId="0" fillId="0" borderId="0" xfId="0" applyNumberFormat="1" applyFont="1" applyFill="1" applyBorder="1"/>
    <x:xf numFmtId="208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7" fontId="0" fillId="0" borderId="0" xfId="0" applyNumberFormat="1" applyFont="1" applyFill="1" applyBorder="1"/>
    <x:xf numFmtId="207" fontId="0" fillId="0" borderId="1" xfId="0" applyNumberFormat="1" applyFont="1" applyFill="1" applyBorder="1"/>
    <x:xf numFmtId="208" fontId="0" fillId="0" borderId="2" xfId="0" applyNumberFormat="1" applyFont="1" applyFill="1" applyBorder="1"/>
    <x:xf numFmtId="202" fontId="0" fillId="0" borderId="2" xfId="0" applyNumberFormat="1" applyFont="1" applyFill="1" applyBorder="1"/>
    <x:xf numFmtId="207" fontId="0" fillId="0" borderId="2" xfId="0" applyNumberFormat="1" applyFont="1" applyFill="1" applyBorder="1"/>
    <x:xf numFmtId="208" fontId="0" fillId="0" borderId="3" xfId="0" applyNumberFormat="1" applyFont="1" applyFill="1" applyBorder="1"/>
    <x:xf numFmtId="202" fontId="0" fillId="0" borderId="3" xfId="0" applyNumberFormat="1" applyFont="1" applyFill="1" applyBorder="1"/>
    <x:xf numFmtId="207" fontId="0" fillId="0" borderId="3" xfId="0" applyNumberFormat="1" applyFont="1" applyFill="1" applyBorder="1"/>
    <x:xf numFmtId="208" fontId="0" fillId="0" borderId="4" xfId="0" applyNumberFormat="1" applyFont="1" applyFill="1" applyBorder="1"/>
    <x:xf numFmtId="202" fontId="0" fillId="0" borderId="4" xfId="0" applyNumberFormat="1" applyFont="1" applyFill="1" applyBorder="1"/>
    <x:xf numFmtId="207" fontId="0" fillId="0" borderId="4" xfId="0" applyNumberFormat="1" applyFont="1" applyFill="1" applyBorder="1"/>
    <x:xf numFmtId="208" fontId="0" fillId="0" borderId="5" xfId="0" applyNumberFormat="1" applyFont="1" applyFill="1" applyBorder="1"/>
    <x:xf numFmtId="202" fontId="0" fillId="0" borderId="5" xfId="0" applyNumberFormat="1" applyFont="1" applyFill="1" applyBorder="1"/>
    <x:xf numFmtId="207" fontId="0" fillId="0" borderId="5" xfId="0" applyNumberFormat="1" applyFont="1" applyFill="1" applyBorder="1"/>
    <x:xf numFmtId="208" fontId="0" fillId="0" borderId="6" xfId="0" applyNumberFormat="1" applyFont="1" applyFill="1" applyBorder="1"/>
    <x:xf numFmtId="202" fontId="0" fillId="0" borderId="6" xfId="0" applyNumberFormat="1" applyFont="1" applyFill="1" applyBorder="1"/>
    <x:xf numFmtId="207" fontId="0" fillId="0" borderId="6" xfId="0" applyNumberFormat="1" applyFont="1" applyFill="1" applyBorder="1"/>
    <x:xf numFmtId="208" fontId="0" fillId="0" borderId="7" xfId="0" applyNumberFormat="1" applyFont="1" applyFill="1" applyBorder="1"/>
    <x:xf numFmtId="202" fontId="0" fillId="0" borderId="7" xfId="0" applyNumberFormat="1" applyFont="1" applyFill="1" applyBorder="1"/>
    <x:xf numFmtId="207" fontId="0" fillId="0" borderId="7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2" fillId="4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left" wrapText="1"/>
    </x:xf>
    <x:xf numFmtId="0" fontId="1" fillId="3" borderId="1" xfId="0" applyNumberFormat="1" applyFont="1" applyFill="1" applyBorder="1" applyAlignment="1">
      <x:alignment horizontal="left" wrapText="1"/>
    </x:xf>
    <x:xf numFmtId="0" fontId="1" fillId="3" borderId="0" xfId="0" applyNumberFormat="1" applyFont="1" applyFill="1" applyBorder="1" applyAlignment="1">
      <x:alignment horizontal="left" vertical="center" wrapText="1"/>
    </x:xf>
    <x:xf numFmtId="0" fontId="1" fillId="3" borderId="1" xfId="0" applyNumberFormat="1" applyFont="1" applyFill="1" applyBorder="1" applyAlignment="1">
      <x:alignment horizontal="left" vertical="center" wrapText="1"/>
    </x:xf>
    <x:xf numFmtId="0" fontId="2" fillId="4" borderId="40" xfId="0" applyNumberFormat="1" applyFont="1" applyFill="1" applyBorder="1" applyAlignment="1">
      <x:alignment vertical="center"/>
    </x:xf>
    <x:xf numFmtId="0" fontId="1" fillId="3" borderId="40" xfId="0" applyNumberFormat="1" applyFont="1" applyFill="1" applyBorder="1" applyAlignment="1">
      <x:alignment horizontal="left" vertical="center" wrapText="1"/>
    </x:xf>
    <x:xf numFmtId="0" fontId="2" fillId="4" borderId="41" xfId="0" applyNumberFormat="1" applyFont="1" applyFill="1" applyBorder="1" applyAlignment="1">
      <x:alignment vertical="center"/>
    </x:xf>
    <x:xf numFmtId="0" fontId="1" fillId="3" borderId="41" xfId="0" applyNumberFormat="1" applyFont="1" applyFill="1" applyBorder="1" applyAlignment="1">
      <x:alignment horizontal="left" vertical="center" wrapText="1"/>
    </x:xf>
    <x:xf numFmtId="0" fontId="2" fillId="4" borderId="42" xfId="0" applyNumberFormat="1" applyFont="1" applyFill="1" applyBorder="1" applyAlignment="1">
      <x:alignment vertical="center"/>
    </x:xf>
    <x:xf numFmtId="0" fontId="1" fillId="3" borderId="42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6"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b/>
        <x:color rgb="FFA52A2A"/>
      </x:font>
      <x:fill>
        <x:patternFill patternType="solid">
          <x:bgColor rgb="FFFBE3E3"/>
        </x:patternFill>
      </x:fill>
    </x:dxf>
    <x:dxf>
      <x:font>
        <x:b/>
        <x:color rgb="FFA52A2A"/>
      </x:font>
      <x:fill>
        <x:patternFill patternType="solid">
          <x:bgColor rgb="FFFBE3E3"/>
        </x:patternFill>
      </x:fill>
    </x:dxf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b/>
        <x:color rgb="FFA52A2A"/>
      </x:font>
      <x:fill>
        <x:patternFill patternType="solid">
          <x:bgColor rgb="FFFBE3E3"/>
        </x:patternFill>
      </x:fill>
    </x:dxf>
    <x:dxf>
      <x:font>
        <x:b/>
        <x:color rgb="FFA52A2A"/>
      </x:font>
      <x:fill>
        <x:patternFill patternType="solid">
          <x:bgColor rgb="FFFBE3E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a82f01acc743ff" /><Relationship Type="http://schemas.openxmlformats.org/officeDocument/2006/relationships/theme" Target="/xl/theme/theme1.xml" Id="R7059a8a34d7b4758" /><Relationship Type="http://schemas.openxmlformats.org/officeDocument/2006/relationships/sharedStrings" Target="/xl/sharedStrings.xml" Id="R9537deee676b47be" /><Relationship Type="http://schemas.openxmlformats.org/officeDocument/2006/relationships/worksheet" Target="/xl/worksheets/sheet1.xml" Id="Re26434115961436a" /><Relationship Type="http://schemas.openxmlformats.org/officeDocument/2006/relationships/worksheet" Target="/xl/worksheets/sheet2.xml" Id="R44270aaeb0e64d77" /><Relationship Type="http://schemas.openxmlformats.org/officeDocument/2006/relationships/worksheet" Target="/xl/worksheets/sheet3.xml" Id="R257cf4208482496b" /><Relationship Type="http://schemas.openxmlformats.org/officeDocument/2006/relationships/worksheet" Target="/xl/worksheets/sheet4.xml" Id="Rf2291d63ff094a98" /><Relationship Type="http://schemas.openxmlformats.org/officeDocument/2006/relationships/worksheet" Target="/xl/worksheets/sheet5.xml" Id="R7b9e9d80357347c7" /></Relationships>
</file>

<file path=xl/tables/table1.xml><?xml version="1.0" encoding="utf-8"?>
<x:table xmlns:x="http://schemas.openxmlformats.org/spreadsheetml/2006/main" id="1" name="GridCollisionRawTable" displayName="GridCollisionRawTable" ref="A1:Q81" headerRowCount="1" totalsRowCount="0" totalsRowShown="0">
  <x:tableColumns count="17">
    <x:tableColumn id="1" name="n"/>
    <x:tableColumn id="2" name="radius"/>
    <x:tableColumn id="3" name="repeat"/>
    <x:tableColumn id="4" name="graph_seed"/>
    <x:tableColumn id="5" name="edges"/>
    <x:tableColumn id="6" name="components"/>
    <x:tableColumn id="7" name="k_nearest"/>
    <x:tableColumn id="8" name="entropy_pre_prune_size"/>
    <x:tableColumn id="9" name="entropy_size"/>
    <x:tableColumn id="10" name="entropy_time_seconds"/>
    <x:tableColumn id="11" name="entropy_valid"/>
    <x:tableColumn id="12" name="collision_pre_prune_size"/>
    <x:tableColumn id="13" name="collision_size"/>
    <x:tableColumn id="14" name="collision_time_seconds"/>
    <x:tableColumn id="15" name="collision_valid"/>
    <x:tableColumn id="16" name="size_difference_collision_minus_entropy"/>
    <x:tableColumn id="17" name="winne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ridCollisionAnalysisTable" displayName="GridCollisionAnalysisTable" ref="A1:I81" headerRowCount="1" totalsRowCount="0" totalsRowShown="0">
  <x:tableColumns count="9">
    <x:tableColumn id="1" name="n"/>
    <x:tableColumn id="2" name="radius"/>
    <x:tableColumn id="3" name="repeat"/>
    <x:tableColumn id="4" name="both_valid"/>
    <x:tableColumn id="5" name="collision_minus_grid_size"/>
    <x:tableColumn id="6" name="valid_size_winner"/>
    <x:tableColumn id="7" name="collision_minus_grid_time_s"/>
    <x:tableColumn id="8" name="faster_method"/>
    <x:tableColumn id="9" name="collision_grid_time_rati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GridCollisionConfigurationTable" displayName="GridCollisionConfigurationTable" ref="A5:O21" headerRowCount="1" totalsRowCount="0" totalsRowShown="0">
  <x:tableColumns count="15">
    <x:tableColumn id="1" name="n"/>
    <x:tableColumn id="2" name="radius"/>
    <x:tableColumn id="3" name="runs"/>
    <x:tableColumn id="4" name="both valid"/>
    <x:tableColumn id="5" name="Grid avg size"/>
    <x:tableColumn id="6" name="Collision avg size"/>
    <x:tableColumn id="7" name="Collision - Grid"/>
    <x:tableColumn id="8" name="Collision wins"/>
    <x:tableColumn id="9" name="Grid wins"/>
    <x:tableColumn id="10" name="ties"/>
    <x:tableColumn id="11" name="Grid avg time (s)"/>
    <x:tableColumn id="12" name="Collision avg time (s)"/>
    <x:tableColumn id="13" name="Collision / Grid time"/>
    <x:tableColumn id="14" name="Grid validity"/>
    <x:tableColumn id="15" name="Collision validi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c9c4464c68d4e6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b71f5dd45eb4b0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69c2249157f48f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0" hidden="0" customWidth="1"/>
    <x:col min="3" max="3" width="9" hidden="0" customWidth="1"/>
    <x:col min="4" max="4" width="15" hidden="0" customWidth="1"/>
    <x:col min="5" max="5" width="12" hidden="0" customWidth="1"/>
    <x:col min="6" max="6" width="12" hidden="0" customWidth="1"/>
    <x:col min="7" max="7" width="12" hidden="0" customWidth="1"/>
    <x:col min="8" max="8" width="19" hidden="0" customWidth="1"/>
    <x:col min="9" max="9" width="19" hidden="0" customWidth="1"/>
    <x:col min="10" max="10" width="19" hidden="0" customWidth="1"/>
    <x:col min="11" max="11" width="14" hidden="0" customWidth="1"/>
    <x:col min="12" max="12" width="21" hidden="0" customWidth="1"/>
    <x:col min="13" max="13" width="21" hidden="0" customWidth="1"/>
    <x:col min="14" max="14" width="20" hidden="0" customWidth="1"/>
    <x:col min="15" max="15" width="15" hidden="0" customWidth="1"/>
    <x:col min="16" max="16" width="25" hidden="0" customWidth="1"/>
    <x:col min="17" max="17" width="12" hidden="0" customWidth="1"/>
  </x:cols>
  <x:sheetData>
    <x:row r="1" ht="36" customHeight="1">
      <x:c r="A1" s="10" t="str">
        <x:v>n</x:v>
      </x:c>
      <x:c r="B1" s="10" t="str">
        <x:v>radius</x:v>
      </x:c>
      <x:c r="C1" s="10" t="str">
        <x:v>repeat</x:v>
      </x:c>
      <x:c r="D1" s="10" t="str">
        <x:v>graph_seed</x:v>
      </x:c>
      <x:c r="E1" s="10" t="str">
        <x:v>edges</x:v>
      </x:c>
      <x:c r="F1" s="10" t="str">
        <x:v>components</x:v>
      </x:c>
      <x:c r="G1" s="10" t="str">
        <x:v>k_nearest</x:v>
      </x:c>
      <x:c r="H1" s="10" t="str">
        <x:v>entropy_pre_prune_size</x:v>
      </x:c>
      <x:c r="I1" s="10" t="str">
        <x:v>entropy_size</x:v>
      </x:c>
      <x:c r="J1" s="10" t="str">
        <x:v>entropy_time_seconds</x:v>
      </x:c>
      <x:c r="K1" s="10" t="str">
        <x:v>entropy_valid</x:v>
      </x:c>
      <x:c r="L1" s="10" t="str">
        <x:v>collision_pre_prune_size</x:v>
      </x:c>
      <x:c r="M1" s="10" t="str">
        <x:v>collision_size</x:v>
      </x:c>
      <x:c r="N1" s="10" t="str">
        <x:v>collision_time_seconds</x:v>
      </x:c>
      <x:c r="O1" s="10" t="str">
        <x:v>collision_valid</x:v>
      </x:c>
      <x:c r="P1" s="10" t="str">
        <x:v>size_difference_collision_minus_entropy</x:v>
      </x:c>
      <x:c r="Q1" s="10" t="str">
        <x:v>winner</x:v>
      </x:c>
    </x:row>
    <x:row r="2">
      <x:c r="A2" s="18" t="str">
        <x:v>50</x:v>
      </x:c>
      <x:c r="B2" s="24" t="str">
        <x:v>0.1</x:v>
      </x:c>
      <x:c r="C2" s="18" t="str">
        <x:v>1</x:v>
      </x:c>
      <x:c r="D2" s="18" t="str">
        <x:v>1569247806</x:v>
      </x:c>
      <x:c r="E2" s="18" t="str">
        <x:v>35</x:v>
      </x:c>
      <x:c r="F2" s="18" t="str">
        <x:v>25</x:v>
      </x:c>
      <x:c r="G2" s="18" t="str">
        <x:v>5</x:v>
      </x:c>
      <x:c r="H2" s="18" t="str">
        <x:v>26</x:v>
      </x:c>
      <x:c r="I2" s="18" t="str">
        <x:v>26</x:v>
      </x:c>
      <x:c r="J2" s="30" t="str">
        <x:v>0.0019483000505715609</x:v>
      </x:c>
      <x:c r="K2" s="12" t="str">
        <x:v>False</x:v>
      </x:c>
      <x:c r="L2" s="18" t="str">
        <x:v>25</x:v>
      </x:c>
      <x:c r="M2" s="18" t="str">
        <x:v>25</x:v>
      </x:c>
      <x:c r="N2" s="30" t="str">
        <x:v>0.0017393999733030796</x:v>
      </x:c>
      <x:c r="O2" s="12" t="str">
        <x:v>False</x:v>
      </x:c>
      <x:c r="P2" s="36" t="str">
        <x:v>-1</x:v>
      </x:c>
      <x:c r="Q2" s="12" t="str">
        <x:v>neither</x:v>
      </x:c>
    </x:row>
    <x:row r="3">
      <x:c r="A3" s="19" t="str">
        <x:v>50</x:v>
      </x:c>
      <x:c r="B3" s="25" t="str">
        <x:v>0.1</x:v>
      </x:c>
      <x:c r="C3" s="19" t="str">
        <x:v>2</x:v>
      </x:c>
      <x:c r="D3" s="19" t="str">
        <x:v>1785201004</x:v>
      </x:c>
      <x:c r="E3" s="19" t="str">
        <x:v>30</x:v>
      </x:c>
      <x:c r="F3" s="19" t="str">
        <x:v>25</x:v>
      </x:c>
      <x:c r="G3" s="19" t="str">
        <x:v>5</x:v>
      </x:c>
      <x:c r="H3" s="19" t="str">
        <x:v>29</x:v>
      </x:c>
      <x:c r="I3" s="19" t="str">
        <x:v>29</x:v>
      </x:c>
      <x:c r="J3" s="31" t="str">
        <x:v>0.00197199999820441</x:v>
      </x:c>
      <x:c r="K3" s="13" t="str">
        <x:v>False</x:v>
      </x:c>
      <x:c r="L3" s="19" t="str">
        <x:v>29</x:v>
      </x:c>
      <x:c r="M3" s="19" t="str">
        <x:v>29</x:v>
      </x:c>
      <x:c r="N3" s="31" t="str">
        <x:v>0.0018683000234887004</x:v>
      </x:c>
      <x:c r="O3" s="13" t="str">
        <x:v>False</x:v>
      </x:c>
      <x:c r="P3" s="37" t="str">
        <x:v>0</x:v>
      </x:c>
      <x:c r="Q3" s="13" t="str">
        <x:v>neither</x:v>
      </x:c>
    </x:row>
    <x:row r="4">
      <x:c r="A4" s="19" t="str">
        <x:v>50</x:v>
      </x:c>
      <x:c r="B4" s="25" t="str">
        <x:v>0.1</x:v>
      </x:c>
      <x:c r="C4" s="19" t="str">
        <x:v>3</x:v>
      </x:c>
      <x:c r="D4" s="19" t="str">
        <x:v>3883828514</x:v>
      </x:c>
      <x:c r="E4" s="19" t="str">
        <x:v>30</x:v>
      </x:c>
      <x:c r="F4" s="19" t="str">
        <x:v>26</x:v>
      </x:c>
      <x:c r="G4" s="19" t="str">
        <x:v>5</x:v>
      </x:c>
      <x:c r="H4" s="19" t="str">
        <x:v>29</x:v>
      </x:c>
      <x:c r="I4" s="19" t="str">
        <x:v>29</x:v>
      </x:c>
      <x:c r="J4" s="31" t="str">
        <x:v>0.002011600008700043</x:v>
      </x:c>
      <x:c r="K4" s="13" t="str">
        <x:v>False</x:v>
      </x:c>
      <x:c r="L4" s="19" t="str">
        <x:v>28</x:v>
      </x:c>
      <x:c r="M4" s="19" t="str">
        <x:v>28</x:v>
      </x:c>
      <x:c r="N4" s="31" t="str">
        <x:v>0.0018964000046253204</x:v>
      </x:c>
      <x:c r="O4" s="13" t="str">
        <x:v>False</x:v>
      </x:c>
      <x:c r="P4" s="37" t="str">
        <x:v>-1</x:v>
      </x:c>
      <x:c r="Q4" s="13" t="str">
        <x:v>neither</x:v>
      </x:c>
    </x:row>
    <x:row r="5">
      <x:c r="A5" s="19" t="str">
        <x:v>50</x:v>
      </x:c>
      <x:c r="B5" s="25" t="str">
        <x:v>0.1</x:v>
      </x:c>
      <x:c r="C5" s="19" t="str">
        <x:v>4</x:v>
      </x:c>
      <x:c r="D5" s="19" t="str">
        <x:v>2890947467</x:v>
      </x:c>
      <x:c r="E5" s="19" t="str">
        <x:v>45</x:v>
      </x:c>
      <x:c r="F5" s="19" t="str">
        <x:v>19</x:v>
      </x:c>
      <x:c r="G5" s="19" t="str">
        <x:v>5</x:v>
      </x:c>
      <x:c r="H5" s="19" t="str">
        <x:v>30</x:v>
      </x:c>
      <x:c r="I5" s="19" t="str">
        <x:v>30</x:v>
      </x:c>
      <x:c r="J5" s="31" t="str">
        <x:v>0.002494600019417703</x:v>
      </x:c>
      <x:c r="K5" s="13" t="str">
        <x:v>False</x:v>
      </x:c>
      <x:c r="L5" s="19" t="str">
        <x:v>29</x:v>
      </x:c>
      <x:c r="M5" s="19" t="str">
        <x:v>29</x:v>
      </x:c>
      <x:c r="N5" s="31" t="str">
        <x:v>0.002534799976274371</x:v>
      </x:c>
      <x:c r="O5" s="13" t="str">
        <x:v>False</x:v>
      </x:c>
      <x:c r="P5" s="37" t="str">
        <x:v>-1</x:v>
      </x:c>
      <x:c r="Q5" s="13" t="str">
        <x:v>neither</x:v>
      </x:c>
    </x:row>
    <x:row r="6">
      <x:c r="A6" s="19" t="str">
        <x:v>50</x:v>
      </x:c>
      <x:c r="B6" s="25" t="str">
        <x:v>0.1</x:v>
      </x:c>
      <x:c r="C6" s="19" t="str">
        <x:v>5</x:v>
      </x:c>
      <x:c r="D6" s="19" t="str">
        <x:v>3885229066</x:v>
      </x:c>
      <x:c r="E6" s="19" t="str">
        <x:v>35</x:v>
      </x:c>
      <x:c r="F6" s="19" t="str">
        <x:v>23</x:v>
      </x:c>
      <x:c r="G6" s="19" t="str">
        <x:v>5</x:v>
      </x:c>
      <x:c r="H6" s="19" t="str">
        <x:v>25</x:v>
      </x:c>
      <x:c r="I6" s="19" t="str">
        <x:v>25</x:v>
      </x:c>
      <x:c r="J6" s="31" t="str">
        <x:v>0.0020191000076010823</x:v>
      </x:c>
      <x:c r="K6" s="13" t="str">
        <x:v>False</x:v>
      </x:c>
      <x:c r="L6" s="19" t="str">
        <x:v>25</x:v>
      </x:c>
      <x:c r="M6" s="19" t="str">
        <x:v>25</x:v>
      </x:c>
      <x:c r="N6" s="31" t="str">
        <x:v>0.0020183000015094876</x:v>
      </x:c>
      <x:c r="O6" s="13" t="str">
        <x:v>False</x:v>
      </x:c>
      <x:c r="P6" s="37" t="str">
        <x:v>0</x:v>
      </x:c>
      <x:c r="Q6" s="13" t="str">
        <x:v>neither</x:v>
      </x:c>
    </x:row>
    <x:row r="7">
      <x:c r="A7" s="19" t="str">
        <x:v>50</x:v>
      </x:c>
      <x:c r="B7" s="25" t="str">
        <x:v>0.3</x:v>
      </x:c>
      <x:c r="C7" s="19" t="str">
        <x:v>1</x:v>
      </x:c>
      <x:c r="D7" s="19" t="str">
        <x:v>1816544153</x:v>
      </x:c>
      <x:c r="E7" s="19" t="str">
        <x:v>240</x:v>
      </x:c>
      <x:c r="F7" s="19" t="str">
        <x:v>1</x:v>
      </x:c>
      <x:c r="G7" s="19" t="str">
        <x:v>5</x:v>
      </x:c>
      <x:c r="H7" s="19" t="str">
        <x:v>36</x:v>
      </x:c>
      <x:c r="I7" s="19" t="str">
        <x:v>13</x:v>
      </x:c>
      <x:c r="J7" s="31" t="str">
        <x:v>0.006656199984718114</x:v>
      </x:c>
      <x:c r="K7" s="13" t="str">
        <x:v>True</x:v>
      </x:c>
      <x:c r="L7" s="19" t="str">
        <x:v>27</x:v>
      </x:c>
      <x:c r="M7" s="19" t="str">
        <x:v>13</x:v>
      </x:c>
      <x:c r="N7" s="31" t="str">
        <x:v>0.00513540004612878</x:v>
      </x:c>
      <x:c r="O7" s="13" t="str">
        <x:v>True</x:v>
      </x:c>
      <x:c r="P7" s="37" t="str">
        <x:v>0</x:v>
      </x:c>
      <x:c r="Q7" s="13" t="str">
        <x:v>tie</x:v>
      </x:c>
    </x:row>
    <x:row r="8">
      <x:c r="A8" s="19" t="str">
        <x:v>50</x:v>
      </x:c>
      <x:c r="B8" s="25" t="str">
        <x:v>0.3</x:v>
      </x:c>
      <x:c r="C8" s="19" t="str">
        <x:v>2</x:v>
      </x:c>
      <x:c r="D8" s="19" t="str">
        <x:v>186687134</x:v>
      </x:c>
      <x:c r="E8" s="19" t="str">
        <x:v>280</x:v>
      </x:c>
      <x:c r="F8" s="19" t="str">
        <x:v>1</x:v>
      </x:c>
      <x:c r="G8" s="19" t="str">
        <x:v>5</x:v>
      </x:c>
      <x:c r="H8" s="19" t="str">
        <x:v>30</x:v>
      </x:c>
      <x:c r="I8" s="19" t="str">
        <x:v>10</x:v>
      </x:c>
      <x:c r="J8" s="31" t="str">
        <x:v>0.005153300007805228</x:v>
      </x:c>
      <x:c r="K8" s="13" t="str">
        <x:v>True</x:v>
      </x:c>
      <x:c r="L8" s="19" t="str">
        <x:v>19</x:v>
      </x:c>
      <x:c r="M8" s="19" t="str">
        <x:v>19</x:v>
      </x:c>
      <x:c r="N8" s="31" t="str">
        <x:v>0.003626900026574731</x:v>
      </x:c>
      <x:c r="O8" s="13" t="str">
        <x:v>False</x:v>
      </x:c>
      <x:c r="P8" s="37" t="str">
        <x:v>9</x:v>
      </x:c>
      <x:c r="Q8" s="13" t="str">
        <x:v>entropy</x:v>
      </x:c>
    </x:row>
    <x:row r="9">
      <x:c r="A9" s="19" t="str">
        <x:v>50</x:v>
      </x:c>
      <x:c r="B9" s="25" t="str">
        <x:v>0.3</x:v>
      </x:c>
      <x:c r="C9" s="19" t="str">
        <x:v>3</x:v>
      </x:c>
      <x:c r="D9" s="19" t="str">
        <x:v>3417133252</x:v>
      </x:c>
      <x:c r="E9" s="19" t="str">
        <x:v>274</x:v>
      </x:c>
      <x:c r="F9" s="19" t="str">
        <x:v>1</x:v>
      </x:c>
      <x:c r="G9" s="19" t="str">
        <x:v>5</x:v>
      </x:c>
      <x:c r="H9" s="19" t="str">
        <x:v>35</x:v>
      </x:c>
      <x:c r="I9" s="19" t="str">
        <x:v>10</x:v>
      </x:c>
      <x:c r="J9" s="31" t="str">
        <x:v>0.005855399998836219</x:v>
      </x:c>
      <x:c r="K9" s="13" t="str">
        <x:v>True</x:v>
      </x:c>
      <x:c r="L9" s="19" t="str">
        <x:v>24</x:v>
      </x:c>
      <x:c r="M9" s="19" t="str">
        <x:v>11</x:v>
      </x:c>
      <x:c r="N9" s="31" t="str">
        <x:v>0.007164599956013262</x:v>
      </x:c>
      <x:c r="O9" s="13" t="str">
        <x:v>True</x:v>
      </x:c>
      <x:c r="P9" s="37" t="str">
        <x:v>1</x:v>
      </x:c>
      <x:c r="Q9" s="13" t="str">
        <x:v>entropy</x:v>
      </x:c>
    </x:row>
    <x:row r="10">
      <x:c r="A10" s="19" t="str">
        <x:v>50</x:v>
      </x:c>
      <x:c r="B10" s="25" t="str">
        <x:v>0.3</x:v>
      </x:c>
      <x:c r="C10" s="19" t="str">
        <x:v>4</x:v>
      </x:c>
      <x:c r="D10" s="19" t="str">
        <x:v>1612959460</x:v>
      </x:c>
      <x:c r="E10" s="19" t="str">
        <x:v>262</x:v>
      </x:c>
      <x:c r="F10" s="19" t="str">
        <x:v>1</x:v>
      </x:c>
      <x:c r="G10" s="19" t="str">
        <x:v>5</x:v>
      </x:c>
      <x:c r="H10" s="19" t="str">
        <x:v>31</x:v>
      </x:c>
      <x:c r="I10" s="19" t="str">
        <x:v>12</x:v>
      </x:c>
      <x:c r="J10" s="31" t="str">
        <x:v>0.0048874999629333615</x:v>
      </x:c>
      <x:c r="K10" s="13" t="str">
        <x:v>True</x:v>
      </x:c>
      <x:c r="L10" s="19" t="str">
        <x:v>22</x:v>
      </x:c>
      <x:c r="M10" s="19" t="str">
        <x:v>10</x:v>
      </x:c>
      <x:c r="N10" s="31" t="str">
        <x:v>0.004461100033950061</x:v>
      </x:c>
      <x:c r="O10" s="13" t="str">
        <x:v>True</x:v>
      </x:c>
      <x:c r="P10" s="37" t="str">
        <x:v>-2</x:v>
      </x:c>
      <x:c r="Q10" s="13" t="str">
        <x:v>collision</x:v>
      </x:c>
    </x:row>
    <x:row r="11">
      <x:c r="A11" s="19" t="str">
        <x:v>50</x:v>
      </x:c>
      <x:c r="B11" s="25" t="str">
        <x:v>0.3</x:v>
      </x:c>
      <x:c r="C11" s="19" t="str">
        <x:v>5</x:v>
      </x:c>
      <x:c r="D11" s="19" t="str">
        <x:v>499827053</x:v>
      </x:c>
      <x:c r="E11" s="19" t="str">
        <x:v>248</x:v>
      </x:c>
      <x:c r="F11" s="19" t="str">
        <x:v>1</x:v>
      </x:c>
      <x:c r="G11" s="19" t="str">
        <x:v>5</x:v>
      </x:c>
      <x:c r="H11" s="19" t="str">
        <x:v>36</x:v>
      </x:c>
      <x:c r="I11" s="19" t="str">
        <x:v>14</x:v>
      </x:c>
      <x:c r="J11" s="31" t="str">
        <x:v>0.004972099966835231</x:v>
      </x:c>
      <x:c r="K11" s="13" t="str">
        <x:v>True</x:v>
      </x:c>
      <x:c r="L11" s="19" t="str">
        <x:v>26</x:v>
      </x:c>
      <x:c r="M11" s="19" t="str">
        <x:v>14</x:v>
      </x:c>
      <x:c r="N11" s="31" t="str">
        <x:v>0.004143800004385412</x:v>
      </x:c>
      <x:c r="O11" s="13" t="str">
        <x:v>True</x:v>
      </x:c>
      <x:c r="P11" s="37" t="str">
        <x:v>0</x:v>
      </x:c>
      <x:c r="Q11" s="13" t="str">
        <x:v>tie</x:v>
      </x:c>
    </x:row>
    <x:row r="12">
      <x:c r="A12" s="19" t="str">
        <x:v>50</x:v>
      </x:c>
      <x:c r="B12" s="25" t="str">
        <x:v>0.5</x:v>
      </x:c>
      <x:c r="C12" s="19" t="str">
        <x:v>1</x:v>
      </x:c>
      <x:c r="D12" s="19" t="str">
        <x:v>3266559503</x:v>
      </x:c>
      <x:c r="E12" s="19" t="str">
        <x:v>566</x:v>
      </x:c>
      <x:c r="F12" s="19" t="str">
        <x:v>1</x:v>
      </x:c>
      <x:c r="G12" s="19" t="str">
        <x:v>5</x:v>
      </x:c>
      <x:c r="H12" s="19" t="str">
        <x:v>46</x:v>
      </x:c>
      <x:c r="I12" s="19" t="str">
        <x:v>16</x:v>
      </x:c>
      <x:c r="J12" s="31" t="str">
        <x:v>0.021528300014324486</x:v>
      </x:c>
      <x:c r="K12" s="13" t="str">
        <x:v>True</x:v>
      </x:c>
      <x:c r="L12" s="19" t="str">
        <x:v>16</x:v>
      </x:c>
      <x:c r="M12" s="19" t="str">
        <x:v>16</x:v>
      </x:c>
      <x:c r="N12" s="31" t="str">
        <x:v>0.01692119997460395</x:v>
      </x:c>
      <x:c r="O12" s="13" t="str">
        <x:v>True</x:v>
      </x:c>
      <x:c r="P12" s="37" t="str">
        <x:v>0</x:v>
      </x:c>
      <x:c r="Q12" s="13" t="str">
        <x:v>tie</x:v>
      </x:c>
    </x:row>
    <x:row r="13">
      <x:c r="A13" s="19" t="str">
        <x:v>50</x:v>
      </x:c>
      <x:c r="B13" s="25" t="str">
        <x:v>0.5</x:v>
      </x:c>
      <x:c r="C13" s="19" t="str">
        <x:v>2</x:v>
      </x:c>
      <x:c r="D13" s="19" t="str">
        <x:v>1175283012</x:v>
      </x:c>
      <x:c r="E13" s="19" t="str">
        <x:v>606</x:v>
      </x:c>
      <x:c r="F13" s="19" t="str">
        <x:v>1</x:v>
      </x:c>
      <x:c r="G13" s="19" t="str">
        <x:v>5</x:v>
      </x:c>
      <x:c r="H13" s="19" t="str">
        <x:v>43</x:v>
      </x:c>
      <x:c r="I13" s="19" t="str">
        <x:v>15</x:v>
      </x:c>
      <x:c r="J13" s="31" t="str">
        <x:v>0.021180800045840442</x:v>
      </x:c>
      <x:c r="K13" s="13" t="str">
        <x:v>True</x:v>
      </x:c>
      <x:c r="L13" s="19" t="str">
        <x:v>13</x:v>
      </x:c>
      <x:c r="M13" s="19" t="str">
        <x:v>13</x:v>
      </x:c>
      <x:c r="N13" s="31" t="str">
        <x:v>0.014457899960689247</x:v>
      </x:c>
      <x:c r="O13" s="13" t="str">
        <x:v>True</x:v>
      </x:c>
      <x:c r="P13" s="37" t="str">
        <x:v>-2</x:v>
      </x:c>
      <x:c r="Q13" s="13" t="str">
        <x:v>collision</x:v>
      </x:c>
    </x:row>
    <x:row r="14">
      <x:c r="A14" s="19" t="str">
        <x:v>50</x:v>
      </x:c>
      <x:c r="B14" s="25" t="str">
        <x:v>0.5</x:v>
      </x:c>
      <x:c r="C14" s="19" t="str">
        <x:v>3</x:v>
      </x:c>
      <x:c r="D14" s="19" t="str">
        <x:v>3101251926</x:v>
      </x:c>
      <x:c r="E14" s="19" t="str">
        <x:v>607</x:v>
      </x:c>
      <x:c r="F14" s="19" t="str">
        <x:v>1</x:v>
      </x:c>
      <x:c r="G14" s="19" t="str">
        <x:v>5</x:v>
      </x:c>
      <x:c r="H14" s="19" t="str">
        <x:v>39</x:v>
      </x:c>
      <x:c r="I14" s="19" t="str">
        <x:v>15</x:v>
      </x:c>
      <x:c r="J14" s="31" t="str">
        <x:v>0.022863799997139722</x:v>
      </x:c>
      <x:c r="K14" s="13" t="str">
        <x:v>True</x:v>
      </x:c>
      <x:c r="L14" s="19" t="str">
        <x:v>15</x:v>
      </x:c>
      <x:c r="M14" s="19" t="str">
        <x:v>15</x:v>
      </x:c>
      <x:c r="N14" s="31" t="str">
        <x:v>0.019552099984139204</x:v>
      </x:c>
      <x:c r="O14" s="13" t="str">
        <x:v>True</x:v>
      </x:c>
      <x:c r="P14" s="37" t="str">
        <x:v>0</x:v>
      </x:c>
      <x:c r="Q14" s="13" t="str">
        <x:v>tie</x:v>
      </x:c>
    </x:row>
    <x:row r="15">
      <x:c r="A15" s="19" t="str">
        <x:v>50</x:v>
      </x:c>
      <x:c r="B15" s="25" t="str">
        <x:v>0.5</x:v>
      </x:c>
      <x:c r="C15" s="19" t="str">
        <x:v>4</x:v>
      </x:c>
      <x:c r="D15" s="19" t="str">
        <x:v>4121865820</x:v>
      </x:c>
      <x:c r="E15" s="19" t="str">
        <x:v>581</x:v>
      </x:c>
      <x:c r="F15" s="19" t="str">
        <x:v>1</x:v>
      </x:c>
      <x:c r="G15" s="19" t="str">
        <x:v>5</x:v>
      </x:c>
      <x:c r="H15" s="19" t="str">
        <x:v>43</x:v>
      </x:c>
      <x:c r="I15" s="19" t="str">
        <x:v>17</x:v>
      </x:c>
      <x:c r="J15" s="31" t="str">
        <x:v>0.018802500038873404</x:v>
      </x:c>
      <x:c r="K15" s="13" t="str">
        <x:v>True</x:v>
      </x:c>
      <x:c r="L15" s="19" t="str">
        <x:v>15</x:v>
      </x:c>
      <x:c r="M15" s="19" t="str">
        <x:v>15</x:v>
      </x:c>
      <x:c r="N15" s="31" t="str">
        <x:v>0.01469460001681</x:v>
      </x:c>
      <x:c r="O15" s="13" t="str">
        <x:v>True</x:v>
      </x:c>
      <x:c r="P15" s="37" t="str">
        <x:v>-2</x:v>
      </x:c>
      <x:c r="Q15" s="13" t="str">
        <x:v>collision</x:v>
      </x:c>
    </x:row>
    <x:row r="16">
      <x:c r="A16" s="19" t="str">
        <x:v>50</x:v>
      </x:c>
      <x:c r="B16" s="25" t="str">
        <x:v>0.5</x:v>
      </x:c>
      <x:c r="C16" s="19" t="str">
        <x:v>5</x:v>
      </x:c>
      <x:c r="D16" s="19" t="str">
        <x:v>1651280276</x:v>
      </x:c>
      <x:c r="E16" s="19" t="str">
        <x:v>657</x:v>
      </x:c>
      <x:c r="F16" s="19" t="str">
        <x:v>1</x:v>
      </x:c>
      <x:c r="G16" s="19" t="str">
        <x:v>5</x:v>
      </x:c>
      <x:c r="H16" s="19" t="str">
        <x:v>40</x:v>
      </x:c>
      <x:c r="I16" s="19" t="str">
        <x:v>15</x:v>
      </x:c>
      <x:c r="J16" s="31" t="str">
        <x:v>0.020207400026265532</x:v>
      </x:c>
      <x:c r="K16" s="13" t="str">
        <x:v>True</x:v>
      </x:c>
      <x:c r="L16" s="19" t="str">
        <x:v>17</x:v>
      </x:c>
      <x:c r="M16" s="19" t="str">
        <x:v>16</x:v>
      </x:c>
      <x:c r="N16" s="31" t="str">
        <x:v>0.017408400017302483</x:v>
      </x:c>
      <x:c r="O16" s="13" t="str">
        <x:v>True</x:v>
      </x:c>
      <x:c r="P16" s="37" t="str">
        <x:v>1</x:v>
      </x:c>
      <x:c r="Q16" s="13" t="str">
        <x:v>entropy</x:v>
      </x:c>
    </x:row>
    <x:row r="17">
      <x:c r="A17" s="19" t="str">
        <x:v>50</x:v>
      </x:c>
      <x:c r="B17" s="25" t="str">
        <x:v>0.7</x:v>
      </x:c>
      <x:c r="C17" s="19" t="str">
        <x:v>1</x:v>
      </x:c>
      <x:c r="D17" s="19" t="str">
        <x:v>2227727262</x:v>
      </x:c>
      <x:c r="E17" s="19" t="str">
        <x:v>932</x:v>
      </x:c>
      <x:c r="F17" s="19" t="str">
        <x:v>1</x:v>
      </x:c>
      <x:c r="G17" s="19" t="str">
        <x:v>5</x:v>
      </x:c>
      <x:c r="H17" s="19" t="str">
        <x:v>45</x:v>
      </x:c>
      <x:c r="I17" s="19" t="str">
        <x:v>21</x:v>
      </x:c>
      <x:c r="J17" s="31" t="str">
        <x:v>0.01912170002469793</x:v>
      </x:c>
      <x:c r="K17" s="13" t="str">
        <x:v>True</x:v>
      </x:c>
      <x:c r="L17" s="19" t="str">
        <x:v>20</x:v>
      </x:c>
      <x:c r="M17" s="19" t="str">
        <x:v>19</x:v>
      </x:c>
      <x:c r="N17" s="31" t="str">
        <x:v>0.015653699985705316</x:v>
      </x:c>
      <x:c r="O17" s="13" t="str">
        <x:v>True</x:v>
      </x:c>
      <x:c r="P17" s="37" t="str">
        <x:v>-2</x:v>
      </x:c>
      <x:c r="Q17" s="13" t="str">
        <x:v>collision</x:v>
      </x:c>
    </x:row>
    <x:row r="18">
      <x:c r="A18" s="19" t="str">
        <x:v>50</x:v>
      </x:c>
      <x:c r="B18" s="25" t="str">
        <x:v>0.7</x:v>
      </x:c>
      <x:c r="C18" s="19" t="str">
        <x:v>2</x:v>
      </x:c>
      <x:c r="D18" s="19" t="str">
        <x:v>3005122201</x:v>
      </x:c>
      <x:c r="E18" s="19" t="str">
        <x:v>1028</x:v>
      </x:c>
      <x:c r="F18" s="19" t="str">
        <x:v>1</x:v>
      </x:c>
      <x:c r="G18" s="19" t="str">
        <x:v>5</x:v>
      </x:c>
      <x:c r="H18" s="19" t="str">
        <x:v>48</x:v>
      </x:c>
      <x:c r="I18" s="19" t="str">
        <x:v>25</x:v>
      </x:c>
      <x:c r="J18" s="31" t="str">
        <x:v>0.01877650001551956</x:v>
      </x:c>
      <x:c r="K18" s="13" t="str">
        <x:v>True</x:v>
      </x:c>
      <x:c r="L18" s="19" t="str">
        <x:v>23</x:v>
      </x:c>
      <x:c r="M18" s="19" t="str">
        <x:v>23</x:v>
      </x:c>
      <x:c r="N18" s="31" t="str">
        <x:v>0.018237699987366796</x:v>
      </x:c>
      <x:c r="O18" s="13" t="str">
        <x:v>True</x:v>
      </x:c>
      <x:c r="P18" s="37" t="str">
        <x:v>-2</x:v>
      </x:c>
      <x:c r="Q18" s="13" t="str">
        <x:v>collision</x:v>
      </x:c>
    </x:row>
    <x:row r="19">
      <x:c r="A19" s="19" t="str">
        <x:v>50</x:v>
      </x:c>
      <x:c r="B19" s="25" t="str">
        <x:v>0.7</x:v>
      </x:c>
      <x:c r="C19" s="19" t="str">
        <x:v>3</x:v>
      </x:c>
      <x:c r="D19" s="19" t="str">
        <x:v>887187712</x:v>
      </x:c>
      <x:c r="E19" s="19" t="str">
        <x:v>922</x:v>
      </x:c>
      <x:c r="F19" s="19" t="str">
        <x:v>1</x:v>
      </x:c>
      <x:c r="G19" s="19" t="str">
        <x:v>5</x:v>
      </x:c>
      <x:c r="H19" s="19" t="str">
        <x:v>39</x:v>
      </x:c>
      <x:c r="I19" s="19" t="str">
        <x:v>20</x:v>
      </x:c>
      <x:c r="J19" s="31" t="str">
        <x:v>0.021983399987220764</x:v>
      </x:c>
      <x:c r="K19" s="13" t="str">
        <x:v>True</x:v>
      </x:c>
      <x:c r="L19" s="19" t="str">
        <x:v>19</x:v>
      </x:c>
      <x:c r="M19" s="19" t="str">
        <x:v>19</x:v>
      </x:c>
      <x:c r="N19" s="31" t="str">
        <x:v>0.02154400001745671</x:v>
      </x:c>
      <x:c r="O19" s="13" t="str">
        <x:v>True</x:v>
      </x:c>
      <x:c r="P19" s="37" t="str">
        <x:v>-1</x:v>
      </x:c>
      <x:c r="Q19" s="13" t="str">
        <x:v>collision</x:v>
      </x:c>
    </x:row>
    <x:row r="20">
      <x:c r="A20" s="19" t="str">
        <x:v>50</x:v>
      </x:c>
      <x:c r="B20" s="25" t="str">
        <x:v>0.7</x:v>
      </x:c>
      <x:c r="C20" s="19" t="str">
        <x:v>4</x:v>
      </x:c>
      <x:c r="D20" s="19" t="str">
        <x:v>3460773262</x:v>
      </x:c>
      <x:c r="E20" s="19" t="str">
        <x:v>1002</x:v>
      </x:c>
      <x:c r="F20" s="19" t="str">
        <x:v>1</x:v>
      </x:c>
      <x:c r="G20" s="19" t="str">
        <x:v>5</x:v>
      </x:c>
      <x:c r="H20" s="19" t="str">
        <x:v>43</x:v>
      </x:c>
      <x:c r="I20" s="19" t="str">
        <x:v>23</x:v>
      </x:c>
      <x:c r="J20" s="31" t="str">
        <x:v>0.02131280000321567</x:v>
      </x:c>
      <x:c r="K20" s="13" t="str">
        <x:v>True</x:v>
      </x:c>
      <x:c r="L20" s="19" t="str">
        <x:v>23</x:v>
      </x:c>
      <x:c r="M20" s="19" t="str">
        <x:v>23</x:v>
      </x:c>
      <x:c r="N20" s="31" t="str">
        <x:v>0.02346699999179691</x:v>
      </x:c>
      <x:c r="O20" s="13" t="str">
        <x:v>True</x:v>
      </x:c>
      <x:c r="P20" s="37" t="str">
        <x:v>0</x:v>
      </x:c>
      <x:c r="Q20" s="13" t="str">
        <x:v>tie</x:v>
      </x:c>
    </x:row>
    <x:row r="21">
      <x:c r="A21" s="19" t="str">
        <x:v>50</x:v>
      </x:c>
      <x:c r="B21" s="25" t="str">
        <x:v>0.7</x:v>
      </x:c>
      <x:c r="C21" s="19" t="str">
        <x:v>5</x:v>
      </x:c>
      <x:c r="D21" s="19" t="str">
        <x:v>1911541498</x:v>
      </x:c>
      <x:c r="E21" s="19" t="str">
        <x:v>920</x:v>
      </x:c>
      <x:c r="F21" s="19" t="str">
        <x:v>1</x:v>
      </x:c>
      <x:c r="G21" s="19" t="str">
        <x:v>5</x:v>
      </x:c>
      <x:c r="H21" s="19" t="str">
        <x:v>38</x:v>
      </x:c>
      <x:c r="I21" s="19" t="str">
        <x:v>18</x:v>
      </x:c>
      <x:c r="J21" s="31" t="str">
        <x:v>0.021198200003709644</x:v>
      </x:c>
      <x:c r="K21" s="13" t="str">
        <x:v>True</x:v>
      </x:c>
      <x:c r="L21" s="19" t="str">
        <x:v>19</x:v>
      </x:c>
      <x:c r="M21" s="19" t="str">
        <x:v>18</x:v>
      </x:c>
      <x:c r="N21" s="31" t="str">
        <x:v>0.016968499985523522</x:v>
      </x:c>
      <x:c r="O21" s="13" t="str">
        <x:v>True</x:v>
      </x:c>
      <x:c r="P21" s="37" t="str">
        <x:v>0</x:v>
      </x:c>
      <x:c r="Q21" s="13" t="str">
        <x:v>tie</x:v>
      </x:c>
    </x:row>
    <x:row r="22">
      <x:c r="A22" s="19" t="str">
        <x:v>100</x:v>
      </x:c>
      <x:c r="B22" s="25" t="str">
        <x:v>0.1</x:v>
      </x:c>
      <x:c r="C22" s="19" t="str">
        <x:v>1</x:v>
      </x:c>
      <x:c r="D22" s="19" t="str">
        <x:v>3521250158</x:v>
      </x:c>
      <x:c r="E22" s="19" t="str">
        <x:v>142</x:v>
      </x:c>
      <x:c r="F22" s="19" t="str">
        <x:v>18</x:v>
      </x:c>
      <x:c r="G22" s="19" t="str">
        <x:v>5</x:v>
      </x:c>
      <x:c r="H22" s="19" t="str">
        <x:v>48</x:v>
      </x:c>
      <x:c r="I22" s="19" t="str">
        <x:v>48</x:v>
      </x:c>
      <x:c r="J22" s="31" t="str">
        <x:v>0.005848900007549673</x:v>
      </x:c>
      <x:c r="K22" s="13" t="str">
        <x:v>False</x:v>
      </x:c>
      <x:c r="L22" s="19" t="str">
        <x:v>44</x:v>
      </x:c>
      <x:c r="M22" s="19" t="str">
        <x:v>44</x:v>
      </x:c>
      <x:c r="N22" s="31" t="str">
        <x:v>0.005295699986163527</x:v>
      </x:c>
      <x:c r="O22" s="13" t="str">
        <x:v>False</x:v>
      </x:c>
      <x:c r="P22" s="37" t="str">
        <x:v>-4</x:v>
      </x:c>
      <x:c r="Q22" s="13" t="str">
        <x:v>neither</x:v>
      </x:c>
    </x:row>
    <x:row r="23">
      <x:c r="A23" s="19" t="str">
        <x:v>100</x:v>
      </x:c>
      <x:c r="B23" s="25" t="str">
        <x:v>0.1</x:v>
      </x:c>
      <x:c r="C23" s="19" t="str">
        <x:v>2</x:v>
      </x:c>
      <x:c r="D23" s="19" t="str">
        <x:v>748137341</x:v>
      </x:c>
      <x:c r="E23" s="19" t="str">
        <x:v>130</x:v>
      </x:c>
      <x:c r="F23" s="19" t="str">
        <x:v>23</x:v>
      </x:c>
      <x:c r="G23" s="19" t="str">
        <x:v>5</x:v>
      </x:c>
      <x:c r="H23" s="19" t="str">
        <x:v>59</x:v>
      </x:c>
      <x:c r="I23" s="19" t="str">
        <x:v>59</x:v>
      </x:c>
      <x:c r="J23" s="31" t="str">
        <x:v>0.005901700002141297</x:v>
      </x:c>
      <x:c r="K23" s="13" t="str">
        <x:v>False</x:v>
      </x:c>
      <x:c r="L23" s="19" t="str">
        <x:v>51</x:v>
      </x:c>
      <x:c r="M23" s="19" t="str">
        <x:v>51</x:v>
      </x:c>
      <x:c r="N23" s="31" t="str">
        <x:v>0.006706599961034954</x:v>
      </x:c>
      <x:c r="O23" s="13" t="str">
        <x:v>False</x:v>
      </x:c>
      <x:c r="P23" s="37" t="str">
        <x:v>-8</x:v>
      </x:c>
      <x:c r="Q23" s="13" t="str">
        <x:v>neither</x:v>
      </x:c>
    </x:row>
    <x:row r="24">
      <x:c r="A24" s="19" t="str">
        <x:v>100</x:v>
      </x:c>
      <x:c r="B24" s="25" t="str">
        <x:v>0.1</x:v>
      </x:c>
      <x:c r="C24" s="19" t="str">
        <x:v>3</x:v>
      </x:c>
      <x:c r="D24" s="19" t="str">
        <x:v>3652037541</x:v>
      </x:c>
      <x:c r="E24" s="19" t="str">
        <x:v>144</x:v>
      </x:c>
      <x:c r="F24" s="19" t="str">
        <x:v>16</x:v>
      </x:c>
      <x:c r="G24" s="19" t="str">
        <x:v>5</x:v>
      </x:c>
      <x:c r="H24" s="19" t="str">
        <x:v>44</x:v>
      </x:c>
      <x:c r="I24" s="19" t="str">
        <x:v>44</x:v>
      </x:c>
      <x:c r="J24" s="31" t="str">
        <x:v>0.004917900019790977</x:v>
      </x:c>
      <x:c r="K24" s="13" t="str">
        <x:v>False</x:v>
      </x:c>
      <x:c r="L24" s="19" t="str">
        <x:v>42</x:v>
      </x:c>
      <x:c r="M24" s="19" t="str">
        <x:v>42</x:v>
      </x:c>
      <x:c r="N24" s="31" t="str">
        <x:v>0.005094200023449957</x:v>
      </x:c>
      <x:c r="O24" s="13" t="str">
        <x:v>False</x:v>
      </x:c>
      <x:c r="P24" s="37" t="str">
        <x:v>-2</x:v>
      </x:c>
      <x:c r="Q24" s="13" t="str">
        <x:v>neither</x:v>
      </x:c>
    </x:row>
    <x:row r="25">
      <x:c r="A25" s="19" t="str">
        <x:v>100</x:v>
      </x:c>
      <x:c r="B25" s="25" t="str">
        <x:v>0.1</x:v>
      </x:c>
      <x:c r="C25" s="19" t="str">
        <x:v>4</x:v>
      </x:c>
      <x:c r="D25" s="19" t="str">
        <x:v>230086462</x:v>
      </x:c>
      <x:c r="E25" s="19" t="str">
        <x:v>155</x:v>
      </x:c>
      <x:c r="F25" s="19" t="str">
        <x:v>17</x:v>
      </x:c>
      <x:c r="G25" s="19" t="str">
        <x:v>5</x:v>
      </x:c>
      <x:c r="H25" s="19" t="str">
        <x:v>59</x:v>
      </x:c>
      <x:c r="I25" s="19" t="str">
        <x:v>59</x:v>
      </x:c>
      <x:c r="J25" s="31" t="str">
        <x:v>0.00614709994988516</x:v>
      </x:c>
      <x:c r="K25" s="13" t="str">
        <x:v>False</x:v>
      </x:c>
      <x:c r="L25" s="19" t="str">
        <x:v>49</x:v>
      </x:c>
      <x:c r="M25" s="19" t="str">
        <x:v>49</x:v>
      </x:c>
      <x:c r="N25" s="31" t="str">
        <x:v>0.0051666999934241176</x:v>
      </x:c>
      <x:c r="O25" s="13" t="str">
        <x:v>False</x:v>
      </x:c>
      <x:c r="P25" s="37" t="str">
        <x:v>-10</x:v>
      </x:c>
      <x:c r="Q25" s="13" t="str">
        <x:v>neither</x:v>
      </x:c>
    </x:row>
    <x:row r="26">
      <x:c r="A26" s="19" t="str">
        <x:v>100</x:v>
      </x:c>
      <x:c r="B26" s="25" t="str">
        <x:v>0.1</x:v>
      </x:c>
      <x:c r="C26" s="19" t="str">
        <x:v>5</x:v>
      </x:c>
      <x:c r="D26" s="19" t="str">
        <x:v>1580014438</x:v>
      </x:c>
      <x:c r="E26" s="19" t="str">
        <x:v>157</x:v>
      </x:c>
      <x:c r="F26" s="19" t="str">
        <x:v>21</x:v>
      </x:c>
      <x:c r="G26" s="19" t="str">
        <x:v>5</x:v>
      </x:c>
      <x:c r="H26" s="19" t="str">
        <x:v>58</x:v>
      </x:c>
      <x:c r="I26" s="19" t="str">
        <x:v>58</x:v>
      </x:c>
      <x:c r="J26" s="31" t="str">
        <x:v>0.005389400001149625</x:v>
      </x:c>
      <x:c r="K26" s="13" t="str">
        <x:v>False</x:v>
      </x:c>
      <x:c r="L26" s="19" t="str">
        <x:v>50</x:v>
      </x:c>
      <x:c r="M26" s="19" t="str">
        <x:v>50</x:v>
      </x:c>
      <x:c r="N26" s="31" t="str">
        <x:v>0.004948900023009628</x:v>
      </x:c>
      <x:c r="O26" s="13" t="str">
        <x:v>False</x:v>
      </x:c>
      <x:c r="P26" s="37" t="str">
        <x:v>-8</x:v>
      </x:c>
      <x:c r="Q26" s="13" t="str">
        <x:v>neither</x:v>
      </x:c>
    </x:row>
    <x:row r="27">
      <x:c r="A27" s="19" t="str">
        <x:v>100</x:v>
      </x:c>
      <x:c r="B27" s="25" t="str">
        <x:v>0.3</x:v>
      </x:c>
      <x:c r="C27" s="19" t="str">
        <x:v>1</x:v>
      </x:c>
      <x:c r="D27" s="19" t="str">
        <x:v>2262876952</x:v>
      </x:c>
      <x:c r="E27" s="19" t="str">
        <x:v>1091</x:v>
      </x:c>
      <x:c r="F27" s="19" t="str">
        <x:v>1</x:v>
      </x:c>
      <x:c r="G27" s="19" t="str">
        <x:v>5</x:v>
      </x:c>
      <x:c r="H27" s="19" t="str">
        <x:v>75</x:v>
      </x:c>
      <x:c r="I27" s="19" t="str">
        <x:v>21</x:v>
      </x:c>
      <x:c r="J27" s="31" t="str">
        <x:v>0.026574999967124313</x:v>
      </x:c>
      <x:c r="K27" s="13" t="str">
        <x:v>True</x:v>
      </x:c>
      <x:c r="L27" s="19" t="str">
        <x:v>39</x:v>
      </x:c>
      <x:c r="M27" s="19" t="str">
        <x:v>39</x:v>
      </x:c>
      <x:c r="N27" s="31" t="str">
        <x:v>0.01634219998959452</x:v>
      </x:c>
      <x:c r="O27" s="13" t="str">
        <x:v>False</x:v>
      </x:c>
      <x:c r="P27" s="37" t="str">
        <x:v>18</x:v>
      </x:c>
      <x:c r="Q27" s="13" t="str">
        <x:v>entropy</x:v>
      </x:c>
    </x:row>
    <x:row r="28">
      <x:c r="A28" s="19" t="str">
        <x:v>100</x:v>
      </x:c>
      <x:c r="B28" s="25" t="str">
        <x:v>0.3</x:v>
      </x:c>
      <x:c r="C28" s="19" t="str">
        <x:v>2</x:v>
      </x:c>
      <x:c r="D28" s="19" t="str">
        <x:v>704308449</x:v>
      </x:c>
      <x:c r="E28" s="19" t="str">
        <x:v>1200</x:v>
      </x:c>
      <x:c r="F28" s="19" t="str">
        <x:v>1</x:v>
      </x:c>
      <x:c r="G28" s="19" t="str">
        <x:v>5</x:v>
      </x:c>
      <x:c r="H28" s="19" t="str">
        <x:v>60</x:v>
      </x:c>
      <x:c r="I28" s="19" t="str">
        <x:v>20</x:v>
      </x:c>
      <x:c r="J28" s="31" t="str">
        <x:v>0.020126599993091077</x:v>
      </x:c>
      <x:c r="K28" s="13" t="str">
        <x:v>True</x:v>
      </x:c>
      <x:c r="L28" s="19" t="str">
        <x:v>42</x:v>
      </x:c>
      <x:c r="M28" s="19" t="str">
        <x:v>19</x:v>
      </x:c>
      <x:c r="N28" s="31" t="str">
        <x:v>0.017893700045533478</x:v>
      </x:c>
      <x:c r="O28" s="13" t="str">
        <x:v>True</x:v>
      </x:c>
      <x:c r="P28" s="37" t="str">
        <x:v>-1</x:v>
      </x:c>
      <x:c r="Q28" s="13" t="str">
        <x:v>collision</x:v>
      </x:c>
    </x:row>
    <x:row r="29">
      <x:c r="A29" s="19" t="str">
        <x:v>100</x:v>
      </x:c>
      <x:c r="B29" s="25" t="str">
        <x:v>0.3</x:v>
      </x:c>
      <x:c r="C29" s="19" t="str">
        <x:v>3</x:v>
      </x:c>
      <x:c r="D29" s="19" t="str">
        <x:v>1247077678</x:v>
      </x:c>
      <x:c r="E29" s="19" t="str">
        <x:v>1031</x:v>
      </x:c>
      <x:c r="F29" s="19" t="str">
        <x:v>1</x:v>
      </x:c>
      <x:c r="G29" s="19" t="str">
        <x:v>5</x:v>
      </x:c>
      <x:c r="H29" s="19" t="str">
        <x:v>79</x:v>
      </x:c>
      <x:c r="I29" s="19" t="str">
        <x:v>22</x:v>
      </x:c>
      <x:c r="J29" s="31" t="str">
        <x:v>0.029399199993349612</x:v>
      </x:c>
      <x:c r="K29" s="13" t="str">
        <x:v>True</x:v>
      </x:c>
      <x:c r="L29" s="19" t="str">
        <x:v>40</x:v>
      </x:c>
      <x:c r="M29" s="19" t="str">
        <x:v>21</x:v>
      </x:c>
      <x:c r="N29" s="31" t="str">
        <x:v>0.017024200002197176</x:v>
      </x:c>
      <x:c r="O29" s="13" t="str">
        <x:v>True</x:v>
      </x:c>
      <x:c r="P29" s="37" t="str">
        <x:v>-1</x:v>
      </x:c>
      <x:c r="Q29" s="13" t="str">
        <x:v>collision</x:v>
      </x:c>
    </x:row>
    <x:row r="30">
      <x:c r="A30" s="19" t="str">
        <x:v>100</x:v>
      </x:c>
      <x:c r="B30" s="25" t="str">
        <x:v>0.3</x:v>
      </x:c>
      <x:c r="C30" s="19" t="str">
        <x:v>4</x:v>
      </x:c>
      <x:c r="D30" s="19" t="str">
        <x:v>3706965237</x:v>
      </x:c>
      <x:c r="E30" s="19" t="str">
        <x:v>990</x:v>
      </x:c>
      <x:c r="F30" s="19" t="str">
        <x:v>1</x:v>
      </x:c>
      <x:c r="G30" s="19" t="str">
        <x:v>5</x:v>
      </x:c>
      <x:c r="H30" s="19" t="str">
        <x:v>56</x:v>
      </x:c>
      <x:c r="I30" s="19" t="str">
        <x:v>19</x:v>
      </x:c>
      <x:c r="J30" s="31" t="str">
        <x:v>0.0203839999740012</x:v>
      </x:c>
      <x:c r="K30" s="13" t="str">
        <x:v>True</x:v>
      </x:c>
      <x:c r="L30" s="19" t="str">
        <x:v>31</x:v>
      </x:c>
      <x:c r="M30" s="19" t="str">
        <x:v>21</x:v>
      </x:c>
      <x:c r="N30" s="31" t="str">
        <x:v>0.014966799993999302</x:v>
      </x:c>
      <x:c r="O30" s="13" t="str">
        <x:v>True</x:v>
      </x:c>
      <x:c r="P30" s="37" t="str">
        <x:v>2</x:v>
      </x:c>
      <x:c r="Q30" s="13" t="str">
        <x:v>entropy</x:v>
      </x:c>
    </x:row>
    <x:row r="31">
      <x:c r="A31" s="19" t="str">
        <x:v>100</x:v>
      </x:c>
      <x:c r="B31" s="25" t="str">
        <x:v>0.3</x:v>
      </x:c>
      <x:c r="C31" s="19" t="str">
        <x:v>5</x:v>
      </x:c>
      <x:c r="D31" s="19" t="str">
        <x:v>13552556</x:v>
      </x:c>
      <x:c r="E31" s="19" t="str">
        <x:v>1151</x:v>
      </x:c>
      <x:c r="F31" s="19" t="str">
        <x:v>1</x:v>
      </x:c>
      <x:c r="G31" s="19" t="str">
        <x:v>5</x:v>
      </x:c>
      <x:c r="H31" s="19" t="str">
        <x:v>66</x:v>
      </x:c>
      <x:c r="I31" s="19" t="str">
        <x:v>18</x:v>
      </x:c>
      <x:c r="J31" s="31" t="str">
        <x:v>0.025957099976949394</x:v>
      </x:c>
      <x:c r="K31" s="13" t="str">
        <x:v>True</x:v>
      </x:c>
      <x:c r="L31" s="19" t="str">
        <x:v>40</x:v>
      </x:c>
      <x:c r="M31" s="19" t="str">
        <x:v>18</x:v>
      </x:c>
      <x:c r="N31" s="31" t="str">
        <x:v>0.017926300002727658</x:v>
      </x:c>
      <x:c r="O31" s="13" t="str">
        <x:v>True</x:v>
      </x:c>
      <x:c r="P31" s="37" t="str">
        <x:v>0</x:v>
      </x:c>
      <x:c r="Q31" s="13" t="str">
        <x:v>tie</x:v>
      </x:c>
    </x:row>
    <x:row r="32">
      <x:c r="A32" s="19" t="str">
        <x:v>100</x:v>
      </x:c>
      <x:c r="B32" s="25" t="str">
        <x:v>0.5</x:v>
      </x:c>
      <x:c r="C32" s="19" t="str">
        <x:v>1</x:v>
      </x:c>
      <x:c r="D32" s="19" t="str">
        <x:v>608718199</x:v>
      </x:c>
      <x:c r="E32" s="19" t="str">
        <x:v>2384</x:v>
      </x:c>
      <x:c r="F32" s="19" t="str">
        <x:v>1</x:v>
      </x:c>
      <x:c r="G32" s="19" t="str">
        <x:v>5</x:v>
      </x:c>
      <x:c r="H32" s="19" t="str">
        <x:v>88</x:v>
      </x:c>
      <x:c r="I32" s="19" t="str">
        <x:v>27</x:v>
      </x:c>
      <x:c r="J32" s="31" t="str">
        <x:v>0.13109380000969395</x:v>
      </x:c>
      <x:c r="K32" s="13" t="str">
        <x:v>True</x:v>
      </x:c>
      <x:c r="L32" s="19" t="str">
        <x:v>25</x:v>
      </x:c>
      <x:c r="M32" s="19" t="str">
        <x:v>25</x:v>
      </x:c>
      <x:c r="N32" s="31" t="str">
        <x:v>0.0855899000307545</x:v>
      </x:c>
      <x:c r="O32" s="13" t="str">
        <x:v>True</x:v>
      </x:c>
      <x:c r="P32" s="37" t="str">
        <x:v>-2</x:v>
      </x:c>
      <x:c r="Q32" s="13" t="str">
        <x:v>collision</x:v>
      </x:c>
    </x:row>
    <x:row r="33">
      <x:c r="A33" s="19" t="str">
        <x:v>100</x:v>
      </x:c>
      <x:c r="B33" s="25" t="str">
        <x:v>0.5</x:v>
      </x:c>
      <x:c r="C33" s="19" t="str">
        <x:v>2</x:v>
      </x:c>
      <x:c r="D33" s="19" t="str">
        <x:v>3584089395</x:v>
      </x:c>
      <x:c r="E33" s="19" t="str">
        <x:v>2404</x:v>
      </x:c>
      <x:c r="F33" s="19" t="str">
        <x:v>1</x:v>
      </x:c>
      <x:c r="G33" s="19" t="str">
        <x:v>5</x:v>
      </x:c>
      <x:c r="H33" s="19" t="str">
        <x:v>64</x:v>
      </x:c>
      <x:c r="I33" s="19" t="str">
        <x:v>27</x:v>
      </x:c>
      <x:c r="J33" s="31" t="str">
        <x:v>0.12298240000382066</x:v>
      </x:c>
      <x:c r="K33" s="13" t="str">
        <x:v>True</x:v>
      </x:c>
      <x:c r="L33" s="19" t="str">
        <x:v>24</x:v>
      </x:c>
      <x:c r="M33" s="19" t="str">
        <x:v>24</x:v>
      </x:c>
      <x:c r="N33" s="31" t="str">
        <x:v>0.08601309999357909</x:v>
      </x:c>
      <x:c r="O33" s="13" t="str">
        <x:v>True</x:v>
      </x:c>
      <x:c r="P33" s="37" t="str">
        <x:v>-3</x:v>
      </x:c>
      <x:c r="Q33" s="13" t="str">
        <x:v>collision</x:v>
      </x:c>
    </x:row>
    <x:row r="34">
      <x:c r="A34" s="19" t="str">
        <x:v>100</x:v>
      </x:c>
      <x:c r="B34" s="25" t="str">
        <x:v>0.5</x:v>
      </x:c>
      <x:c r="C34" s="19" t="str">
        <x:v>3</x:v>
      </x:c>
      <x:c r="D34" s="19" t="str">
        <x:v>3114437688</x:v>
      </x:c>
      <x:c r="E34" s="19" t="str">
        <x:v>2457</x:v>
      </x:c>
      <x:c r="F34" s="19" t="str">
        <x:v>1</x:v>
      </x:c>
      <x:c r="G34" s="19" t="str">
        <x:v>5</x:v>
      </x:c>
      <x:c r="H34" s="19" t="str">
        <x:v>96</x:v>
      </x:c>
      <x:c r="I34" s="19" t="str">
        <x:v>29</x:v>
      </x:c>
      <x:c r="J34" s="31" t="str">
        <x:v>0.13710530003299937</x:v>
      </x:c>
      <x:c r="K34" s="13" t="str">
        <x:v>True</x:v>
      </x:c>
      <x:c r="L34" s="19" t="str">
        <x:v>27</x:v>
      </x:c>
      <x:c r="M34" s="19" t="str">
        <x:v>25</x:v>
      </x:c>
      <x:c r="N34" s="31" t="str">
        <x:v>0.09193180000875145</x:v>
      </x:c>
      <x:c r="O34" s="13" t="str">
        <x:v>True</x:v>
      </x:c>
      <x:c r="P34" s="37" t="str">
        <x:v>-4</x:v>
      </x:c>
      <x:c r="Q34" s="13" t="str">
        <x:v>collision</x:v>
      </x:c>
    </x:row>
    <x:row r="35">
      <x:c r="A35" s="19" t="str">
        <x:v>100</x:v>
      </x:c>
      <x:c r="B35" s="25" t="str">
        <x:v>0.5</x:v>
      </x:c>
      <x:c r="C35" s="19" t="str">
        <x:v>4</x:v>
      </x:c>
      <x:c r="D35" s="19" t="str">
        <x:v>2892749547</x:v>
      </x:c>
      <x:c r="E35" s="19" t="str">
        <x:v>2281</x:v>
      </x:c>
      <x:c r="F35" s="19" t="str">
        <x:v>1</x:v>
      </x:c>
      <x:c r="G35" s="19" t="str">
        <x:v>5</x:v>
      </x:c>
      <x:c r="H35" s="19" t="str">
        <x:v>56</x:v>
      </x:c>
      <x:c r="I35" s="19" t="str">
        <x:v>28</x:v>
      </x:c>
      <x:c r="J35" s="31" t="str">
        <x:v>0.1130678000045009</x:v>
      </x:c>
      <x:c r="K35" s="13" t="str">
        <x:v>True</x:v>
      </x:c>
      <x:c r="L35" s="19" t="str">
        <x:v>24</x:v>
      </x:c>
      <x:c r="M35" s="19" t="str">
        <x:v>23</x:v>
      </x:c>
      <x:c r="N35" s="31" t="str">
        <x:v>0.08583429997088388</x:v>
      </x:c>
      <x:c r="O35" s="13" t="str">
        <x:v>True</x:v>
      </x:c>
      <x:c r="P35" s="37" t="str">
        <x:v>-5</x:v>
      </x:c>
      <x:c r="Q35" s="13" t="str">
        <x:v>collision</x:v>
      </x:c>
    </x:row>
    <x:row r="36">
      <x:c r="A36" s="19" t="str">
        <x:v>100</x:v>
      </x:c>
      <x:c r="B36" s="25" t="str">
        <x:v>0.5</x:v>
      </x:c>
      <x:c r="C36" s="19" t="str">
        <x:v>5</x:v>
      </x:c>
      <x:c r="D36" s="19" t="str">
        <x:v>1390929844</x:v>
      </x:c>
      <x:c r="E36" s="19" t="str">
        <x:v>2297</x:v>
      </x:c>
      <x:c r="F36" s="19" t="str">
        <x:v>1</x:v>
      </x:c>
      <x:c r="G36" s="19" t="str">
        <x:v>5</x:v>
      </x:c>
      <x:c r="H36" s="19" t="str">
        <x:v>91</x:v>
      </x:c>
      <x:c r="I36" s="19" t="str">
        <x:v>26</x:v>
      </x:c>
      <x:c r="J36" s="31" t="str">
        <x:v>0.1313840000075288</x:v>
      </x:c>
      <x:c r="K36" s="13" t="str">
        <x:v>True</x:v>
      </x:c>
      <x:c r="L36" s="19" t="str">
        <x:v>27</x:v>
      </x:c>
      <x:c r="M36" s="19" t="str">
        <x:v>25</x:v>
      </x:c>
      <x:c r="N36" s="31" t="str">
        <x:v>0.09441109996987507</x:v>
      </x:c>
      <x:c r="O36" s="13" t="str">
        <x:v>True</x:v>
      </x:c>
      <x:c r="P36" s="37" t="str">
        <x:v>-1</x:v>
      </x:c>
      <x:c r="Q36" s="13" t="str">
        <x:v>collision</x:v>
      </x:c>
    </x:row>
    <x:row r="37">
      <x:c r="A37" s="19" t="str">
        <x:v>100</x:v>
      </x:c>
      <x:c r="B37" s="25" t="str">
        <x:v>0.7</x:v>
      </x:c>
      <x:c r="C37" s="19" t="str">
        <x:v>1</x:v>
      </x:c>
      <x:c r="D37" s="19" t="str">
        <x:v>3400628234</x:v>
      </x:c>
      <x:c r="E37" s="19" t="str">
        <x:v>3919</x:v>
      </x:c>
      <x:c r="F37" s="19" t="str">
        <x:v>1</x:v>
      </x:c>
      <x:c r="G37" s="19" t="str">
        <x:v>5</x:v>
      </x:c>
      <x:c r="H37" s="19" t="str">
        <x:v>98</x:v>
      </x:c>
      <x:c r="I37" s="19" t="str">
        <x:v>44</x:v>
      </x:c>
      <x:c r="J37" s="31" t="str">
        <x:v>0.14704869996057823</x:v>
      </x:c>
      <x:c r="K37" s="13" t="str">
        <x:v>True</x:v>
      </x:c>
      <x:c r="L37" s="19" t="str">
        <x:v>41</x:v>
      </x:c>
      <x:c r="M37" s="19" t="str">
        <x:v>41</x:v>
      </x:c>
      <x:c r="N37" s="31" t="str">
        <x:v>0.1316707999794744</x:v>
      </x:c>
      <x:c r="O37" s="13" t="str">
        <x:v>True</x:v>
      </x:c>
      <x:c r="P37" s="37" t="str">
        <x:v>-3</x:v>
      </x:c>
      <x:c r="Q37" s="13" t="str">
        <x:v>collision</x:v>
      </x:c>
    </x:row>
    <x:row r="38">
      <x:c r="A38" s="19" t="str">
        <x:v>100</x:v>
      </x:c>
      <x:c r="B38" s="25" t="str">
        <x:v>0.7</x:v>
      </x:c>
      <x:c r="C38" s="19" t="str">
        <x:v>2</x:v>
      </x:c>
      <x:c r="D38" s="19" t="str">
        <x:v>1911229448</x:v>
      </x:c>
      <x:c r="E38" s="19" t="str">
        <x:v>3915</x:v>
      </x:c>
      <x:c r="F38" s="19" t="str">
        <x:v>1</x:v>
      </x:c>
      <x:c r="G38" s="19" t="str">
        <x:v>5</x:v>
      </x:c>
      <x:c r="H38" s="19" t="str">
        <x:v>98</x:v>
      </x:c>
      <x:c r="I38" s="19" t="str">
        <x:v>40</x:v>
      </x:c>
      <x:c r="J38" s="31" t="str">
        <x:v>0.14919470000313595</x:v>
      </x:c>
      <x:c r="K38" s="13" t="str">
        <x:v>True</x:v>
      </x:c>
      <x:c r="L38" s="19" t="str">
        <x:v>35</x:v>
      </x:c>
      <x:c r="M38" s="19" t="str">
        <x:v>35</x:v>
      </x:c>
      <x:c r="N38" s="31" t="str">
        <x:v>0.1307962000137195</x:v>
      </x:c>
      <x:c r="O38" s="13" t="str">
        <x:v>True</x:v>
      </x:c>
      <x:c r="P38" s="37" t="str">
        <x:v>-5</x:v>
      </x:c>
      <x:c r="Q38" s="13" t="str">
        <x:v>collision</x:v>
      </x:c>
    </x:row>
    <x:row r="39">
      <x:c r="A39" s="19" t="str">
        <x:v>100</x:v>
      </x:c>
      <x:c r="B39" s="25" t="str">
        <x:v>0.7</x:v>
      </x:c>
      <x:c r="C39" s="19" t="str">
        <x:v>3</x:v>
      </x:c>
      <x:c r="D39" s="19" t="str">
        <x:v>1882792484</x:v>
      </x:c>
      <x:c r="E39" s="19" t="str">
        <x:v>3539</x:v>
      </x:c>
      <x:c r="F39" s="19" t="str">
        <x:v>1</x:v>
      </x:c>
      <x:c r="G39" s="19" t="str">
        <x:v>5</x:v>
      </x:c>
      <x:c r="H39" s="19" t="str">
        <x:v>81</x:v>
      </x:c>
      <x:c r="I39" s="19" t="str">
        <x:v>31</x:v>
      </x:c>
      <x:c r="J39" s="31" t="str">
        <x:v>0.153118500020355</x:v>
      </x:c>
      <x:c r="K39" s="13" t="str">
        <x:v>True</x:v>
      </x:c>
      <x:c r="L39" s="19" t="str">
        <x:v>32</x:v>
      </x:c>
      <x:c r="M39" s="19" t="str">
        <x:v>30</x:v>
      </x:c>
      <x:c r="N39" s="31" t="str">
        <x:v>0.1135004999814555</x:v>
      </x:c>
      <x:c r="O39" s="13" t="str">
        <x:v>True</x:v>
      </x:c>
      <x:c r="P39" s="37" t="str">
        <x:v>-1</x:v>
      </x:c>
      <x:c r="Q39" s="13" t="str">
        <x:v>collision</x:v>
      </x:c>
    </x:row>
    <x:row r="40">
      <x:c r="A40" s="19" t="str">
        <x:v>100</x:v>
      </x:c>
      <x:c r="B40" s="25" t="str">
        <x:v>0.7</x:v>
      </x:c>
      <x:c r="C40" s="19" t="str">
        <x:v>4</x:v>
      </x:c>
      <x:c r="D40" s="19" t="str">
        <x:v>1584678632</x:v>
      </x:c>
      <x:c r="E40" s="19" t="str">
        <x:v>3727</x:v>
      </x:c>
      <x:c r="F40" s="19" t="str">
        <x:v>1</x:v>
      </x:c>
      <x:c r="G40" s="19" t="str">
        <x:v>5</x:v>
      </x:c>
      <x:c r="H40" s="19" t="str">
        <x:v>96</x:v>
      </x:c>
      <x:c r="I40" s="19" t="str">
        <x:v>39</x:v>
      </x:c>
      <x:c r="J40" s="31" t="str">
        <x:v>0.14457569998921826</x:v>
      </x:c>
      <x:c r="K40" s="13" t="str">
        <x:v>True</x:v>
      </x:c>
      <x:c r="L40" s="19" t="str">
        <x:v>35</x:v>
      </x:c>
      <x:c r="M40" s="19" t="str">
        <x:v>35</x:v>
      </x:c>
      <x:c r="N40" s="31" t="str">
        <x:v>0.11594970000442117</x:v>
      </x:c>
      <x:c r="O40" s="13" t="str">
        <x:v>True</x:v>
      </x:c>
      <x:c r="P40" s="37" t="str">
        <x:v>-4</x:v>
      </x:c>
      <x:c r="Q40" s="13" t="str">
        <x:v>collision</x:v>
      </x:c>
    </x:row>
    <x:row r="41">
      <x:c r="A41" s="19" t="str">
        <x:v>100</x:v>
      </x:c>
      <x:c r="B41" s="25" t="str">
        <x:v>0.7</x:v>
      </x:c>
      <x:c r="C41" s="19" t="str">
        <x:v>5</x:v>
      </x:c>
      <x:c r="D41" s="19" t="str">
        <x:v>1759295244</x:v>
      </x:c>
      <x:c r="E41" s="19" t="str">
        <x:v>3743</x:v>
      </x:c>
      <x:c r="F41" s="19" t="str">
        <x:v>1</x:v>
      </x:c>
      <x:c r="G41" s="19" t="str">
        <x:v>5</x:v>
      </x:c>
      <x:c r="H41" s="19" t="str">
        <x:v>93</x:v>
      </x:c>
      <x:c r="I41" s="19" t="str">
        <x:v>40</x:v>
      </x:c>
      <x:c r="J41" s="31" t="str">
        <x:v>0.14278430002741516</x:v>
      </x:c>
      <x:c r="K41" s="13" t="str">
        <x:v>True</x:v>
      </x:c>
      <x:c r="L41" s="19" t="str">
        <x:v>35</x:v>
      </x:c>
      <x:c r="M41" s="19" t="str">
        <x:v>35</x:v>
      </x:c>
      <x:c r="N41" s="31" t="str">
        <x:v>0.17739839997375384</x:v>
      </x:c>
      <x:c r="O41" s="13" t="str">
        <x:v>True</x:v>
      </x:c>
      <x:c r="P41" s="37" t="str">
        <x:v>-5</x:v>
      </x:c>
      <x:c r="Q41" s="13" t="str">
        <x:v>collision</x:v>
      </x:c>
    </x:row>
    <x:row r="42">
      <x:c r="A42" s="19" t="str">
        <x:v>200</x:v>
      </x:c>
      <x:c r="B42" s="25" t="str">
        <x:v>0.1</x:v>
      </x:c>
      <x:c r="C42" s="19" t="str">
        <x:v>1</x:v>
      </x:c>
      <x:c r="D42" s="19" t="str">
        <x:v>939524136</x:v>
      </x:c>
      <x:c r="E42" s="19" t="str">
        <x:v>588</x:v>
      </x:c>
      <x:c r="F42" s="19" t="str">
        <x:v>4</x:v>
      </x:c>
      <x:c r="G42" s="19" t="str">
        <x:v>5</x:v>
      </x:c>
      <x:c r="H42" s="19" t="str">
        <x:v>105</x:v>
      </x:c>
      <x:c r="I42" s="19" t="str">
        <x:v>105</x:v>
      </x:c>
      <x:c r="J42" s="31" t="str">
        <x:v>0.03648559999419376</x:v>
      </x:c>
      <x:c r="K42" s="13" t="str">
        <x:v>False</x:v>
      </x:c>
      <x:c r="L42" s="19" t="str">
        <x:v>90</x:v>
      </x:c>
      <x:c r="M42" s="19" t="str">
        <x:v>90</x:v>
      </x:c>
      <x:c r="N42" s="31" t="str">
        <x:v>0.027155400021001697</x:v>
      </x:c>
      <x:c r="O42" s="13" t="str">
        <x:v>False</x:v>
      </x:c>
      <x:c r="P42" s="37" t="str">
        <x:v>-15</x:v>
      </x:c>
      <x:c r="Q42" s="13" t="str">
        <x:v>neither</x:v>
      </x:c>
    </x:row>
    <x:row r="43">
      <x:c r="A43" s="19" t="str">
        <x:v>200</x:v>
      </x:c>
      <x:c r="B43" s="25" t="str">
        <x:v>0.1</x:v>
      </x:c>
      <x:c r="C43" s="19" t="str">
        <x:v>2</x:v>
      </x:c>
      <x:c r="D43" s="19" t="str">
        <x:v>1347873630</x:v>
      </x:c>
      <x:c r="E43" s="19" t="str">
        <x:v>625</x:v>
      </x:c>
      <x:c r="F43" s="19" t="str">
        <x:v>4</x:v>
      </x:c>
      <x:c r="G43" s="19" t="str">
        <x:v>5</x:v>
      </x:c>
      <x:c r="H43" s="19" t="str">
        <x:v>125</x:v>
      </x:c>
      <x:c r="I43" s="19" t="str">
        <x:v>125</x:v>
      </x:c>
      <x:c r="J43" s="31" t="str">
        <x:v>0.03414930001599714</x:v>
      </x:c>
      <x:c r="K43" s="13" t="str">
        <x:v>False</x:v>
      </x:c>
      <x:c r="L43" s="19" t="str">
        <x:v>91</x:v>
      </x:c>
      <x:c r="M43" s="19" t="str">
        <x:v>91</x:v>
      </x:c>
      <x:c r="N43" s="31" t="str">
        <x:v>0.029719999991357327</x:v>
      </x:c>
      <x:c r="O43" s="13" t="str">
        <x:v>False</x:v>
      </x:c>
      <x:c r="P43" s="37" t="str">
        <x:v>-34</x:v>
      </x:c>
      <x:c r="Q43" s="13" t="str">
        <x:v>neither</x:v>
      </x:c>
    </x:row>
    <x:row r="44">
      <x:c r="A44" s="19" t="str">
        <x:v>200</x:v>
      </x:c>
      <x:c r="B44" s="25" t="str">
        <x:v>0.1</x:v>
      </x:c>
      <x:c r="C44" s="19" t="str">
        <x:v>3</x:v>
      </x:c>
      <x:c r="D44" s="19" t="str">
        <x:v>2878186126</x:v>
      </x:c>
      <x:c r="E44" s="19" t="str">
        <x:v>551</x:v>
      </x:c>
      <x:c r="F44" s="19" t="str">
        <x:v>4</x:v>
      </x:c>
      <x:c r="G44" s="19" t="str">
        <x:v>5</x:v>
      </x:c>
      <x:c r="H44" s="19" t="str">
        <x:v>108</x:v>
      </x:c>
      <x:c r="I44" s="19" t="str">
        <x:v>108</x:v>
      </x:c>
      <x:c r="J44" s="31" t="str">
        <x:v>0.027849100006278604</x:v>
      </x:c>
      <x:c r="K44" s="13" t="str">
        <x:v>False</x:v>
      </x:c>
      <x:c r="L44" s="19" t="str">
        <x:v>83</x:v>
      </x:c>
      <x:c r="M44" s="19" t="str">
        <x:v>83</x:v>
      </x:c>
      <x:c r="N44" s="31" t="str">
        <x:v>0.021580800006631762</x:v>
      </x:c>
      <x:c r="O44" s="13" t="str">
        <x:v>False</x:v>
      </x:c>
      <x:c r="P44" s="37" t="str">
        <x:v>-25</x:v>
      </x:c>
      <x:c r="Q44" s="13" t="str">
        <x:v>neither</x:v>
      </x:c>
    </x:row>
    <x:row r="45">
      <x:c r="A45" s="19" t="str">
        <x:v>200</x:v>
      </x:c>
      <x:c r="B45" s="25" t="str">
        <x:v>0.1</x:v>
      </x:c>
      <x:c r="C45" s="19" t="str">
        <x:v>4</x:v>
      </x:c>
      <x:c r="D45" s="19" t="str">
        <x:v>3637230664</x:v>
      </x:c>
      <x:c r="E45" s="19" t="str">
        <x:v>605</x:v>
      </x:c>
      <x:c r="F45" s="19" t="str">
        <x:v>9</x:v>
      </x:c>
      <x:c r="G45" s="19" t="str">
        <x:v>5</x:v>
      </x:c>
      <x:c r="H45" s="19" t="str">
        <x:v>119</x:v>
      </x:c>
      <x:c r="I45" s="19" t="str">
        <x:v>119</x:v>
      </x:c>
      <x:c r="J45" s="31" t="str">
        <x:v>0.038556299987249076</x:v>
      </x:c>
      <x:c r="K45" s="13" t="str">
        <x:v>False</x:v>
      </x:c>
      <x:c r="L45" s="19" t="str">
        <x:v>89</x:v>
      </x:c>
      <x:c r="M45" s="19" t="str">
        <x:v>89</x:v>
      </x:c>
      <x:c r="N45" s="31" t="str">
        <x:v>0.02224330004537478</x:v>
      </x:c>
      <x:c r="O45" s="13" t="str">
        <x:v>False</x:v>
      </x:c>
      <x:c r="P45" s="37" t="str">
        <x:v>-30</x:v>
      </x:c>
      <x:c r="Q45" s="13" t="str">
        <x:v>neither</x:v>
      </x:c>
    </x:row>
    <x:row r="46">
      <x:c r="A46" s="19" t="str">
        <x:v>200</x:v>
      </x:c>
      <x:c r="B46" s="25" t="str">
        <x:v>0.1</x:v>
      </x:c>
      <x:c r="C46" s="19" t="str">
        <x:v>5</x:v>
      </x:c>
      <x:c r="D46" s="19" t="str">
        <x:v>3349815536</x:v>
      </x:c>
      <x:c r="E46" s="19" t="str">
        <x:v>555</x:v>
      </x:c>
      <x:c r="F46" s="19" t="str">
        <x:v>5</x:v>
      </x:c>
      <x:c r="G46" s="19" t="str">
        <x:v>5</x:v>
      </x:c>
      <x:c r="H46" s="19" t="str">
        <x:v>124</x:v>
      </x:c>
      <x:c r="I46" s="19" t="str">
        <x:v>37</x:v>
      </x:c>
      <x:c r="J46" s="31" t="str">
        <x:v>0.09568850003415719</x:v>
      </x:c>
      <x:c r="K46" s="13" t="str">
        <x:v>True</x:v>
      </x:c>
      <x:c r="L46" s="19" t="str">
        <x:v>84</x:v>
      </x:c>
      <x:c r="M46" s="19" t="str">
        <x:v>84</x:v>
      </x:c>
      <x:c r="N46" s="31" t="str">
        <x:v>0.020256899995729327</x:v>
      </x:c>
      <x:c r="O46" s="13" t="str">
        <x:v>False</x:v>
      </x:c>
      <x:c r="P46" s="37" t="str">
        <x:v>47</x:v>
      </x:c>
      <x:c r="Q46" s="13" t="str">
        <x:v>entropy</x:v>
      </x:c>
    </x:row>
    <x:row r="47">
      <x:c r="A47" s="19" t="str">
        <x:v>200</x:v>
      </x:c>
      <x:c r="B47" s="25" t="str">
        <x:v>0.3</x:v>
      </x:c>
      <x:c r="C47" s="19" t="str">
        <x:v>1</x:v>
      </x:c>
      <x:c r="D47" s="19" t="str">
        <x:v>4094034264</x:v>
      </x:c>
      <x:c r="E47" s="19" t="str">
        <x:v>4225</x:v>
      </x:c>
      <x:c r="F47" s="19" t="str">
        <x:v>1</x:v>
      </x:c>
      <x:c r="G47" s="19" t="str">
        <x:v>5</x:v>
      </x:c>
      <x:c r="H47" s="19" t="str">
        <x:v>103</x:v>
      </x:c>
      <x:c r="I47" s="19" t="str">
        <x:v>32</x:v>
      </x:c>
      <x:c r="J47" s="31" t="str">
        <x:v>0.1203353000455536</x:v>
      </x:c>
      <x:c r="K47" s="13" t="str">
        <x:v>True</x:v>
      </x:c>
      <x:c r="L47" s="19" t="str">
        <x:v>63</x:v>
      </x:c>
      <x:c r="M47" s="19" t="str">
        <x:v>63</x:v>
      </x:c>
      <x:c r="N47" s="31" t="str">
        <x:v>0.07549650000873953</x:v>
      </x:c>
      <x:c r="O47" s="13" t="str">
        <x:v>False</x:v>
      </x:c>
      <x:c r="P47" s="37" t="str">
        <x:v>31</x:v>
      </x:c>
      <x:c r="Q47" s="13" t="str">
        <x:v>entropy</x:v>
      </x:c>
    </x:row>
    <x:row r="48">
      <x:c r="A48" s="19" t="str">
        <x:v>200</x:v>
      </x:c>
      <x:c r="B48" s="25" t="str">
        <x:v>0.3</x:v>
      </x:c>
      <x:c r="C48" s="19" t="str">
        <x:v>2</x:v>
      </x:c>
      <x:c r="D48" s="19" t="str">
        <x:v>4002244073</x:v>
      </x:c>
      <x:c r="E48" s="19" t="str">
        <x:v>4098</x:v>
      </x:c>
      <x:c r="F48" s="19" t="str">
        <x:v>1</x:v>
      </x:c>
      <x:c r="G48" s="19" t="str">
        <x:v>5</x:v>
      </x:c>
      <x:c r="H48" s="19" t="str">
        <x:v>145</x:v>
      </x:c>
      <x:c r="I48" s="19" t="str">
        <x:v>32</x:v>
      </x:c>
      <x:c r="J48" s="31" t="str">
        <x:v>0.17813279997790232</x:v>
      </x:c>
      <x:c r="K48" s="13" t="str">
        <x:v>True</x:v>
      </x:c>
      <x:c r="L48" s="19" t="str">
        <x:v>66</x:v>
      </x:c>
      <x:c r="M48" s="19" t="str">
        <x:v>34</x:v>
      </x:c>
      <x:c r="N48" s="31" t="str">
        <x:v>0.11134310002671555</x:v>
      </x:c>
      <x:c r="O48" s="13" t="str">
        <x:v>True</x:v>
      </x:c>
      <x:c r="P48" s="37" t="str">
        <x:v>2</x:v>
      </x:c>
      <x:c r="Q48" s="13" t="str">
        <x:v>entropy</x:v>
      </x:c>
    </x:row>
    <x:row r="49">
      <x:c r="A49" s="19" t="str">
        <x:v>200</x:v>
      </x:c>
      <x:c r="B49" s="25" t="str">
        <x:v>0.3</x:v>
      </x:c>
      <x:c r="C49" s="19" t="str">
        <x:v>3</x:v>
      </x:c>
      <x:c r="D49" s="19" t="str">
        <x:v>4148558017</x:v>
      </x:c>
      <x:c r="E49" s="19" t="str">
        <x:v>4250</x:v>
      </x:c>
      <x:c r="F49" s="19" t="str">
        <x:v>1</x:v>
      </x:c>
      <x:c r="G49" s="19" t="str">
        <x:v>5</x:v>
      </x:c>
      <x:c r="H49" s="19" t="str">
        <x:v>158</x:v>
      </x:c>
      <x:c r="I49" s="19" t="str">
        <x:v>29</x:v>
      </x:c>
      <x:c r="J49" s="31" t="str">
        <x:v>0.15340719994856045</x:v>
      </x:c>
      <x:c r="K49" s="13" t="str">
        <x:v>True</x:v>
      </x:c>
      <x:c r="L49" s="19" t="str">
        <x:v>66</x:v>
      </x:c>
      <x:c r="M49" s="19" t="str">
        <x:v>66</x:v>
      </x:c>
      <x:c r="N49" s="31" t="str">
        <x:v>0.08582380000734702</x:v>
      </x:c>
      <x:c r="O49" s="13" t="str">
        <x:v>False</x:v>
      </x:c>
      <x:c r="P49" s="37" t="str">
        <x:v>37</x:v>
      </x:c>
      <x:c r="Q49" s="13" t="str">
        <x:v>entropy</x:v>
      </x:c>
    </x:row>
    <x:row r="50">
      <x:c r="A50" s="19" t="str">
        <x:v>200</x:v>
      </x:c>
      <x:c r="B50" s="25" t="str">
        <x:v>0.3</x:v>
      </x:c>
      <x:c r="C50" s="19" t="str">
        <x:v>4</x:v>
      </x:c>
      <x:c r="D50" s="19" t="str">
        <x:v>2765484395</x:v>
      </x:c>
      <x:c r="E50" s="19" t="str">
        <x:v>4421</x:v>
      </x:c>
      <x:c r="F50" s="19" t="str">
        <x:v>1</x:v>
      </x:c>
      <x:c r="G50" s="19" t="str">
        <x:v>5</x:v>
      </x:c>
      <x:c r="H50" s="19" t="str">
        <x:v>174</x:v>
      </x:c>
      <x:c r="I50" s="19" t="str">
        <x:v>30</x:v>
      </x:c>
      <x:c r="J50" s="31" t="str">
        <x:v>0.18598840001504868</x:v>
      </x:c>
      <x:c r="K50" s="13" t="str">
        <x:v>True</x:v>
      </x:c>
      <x:c r="L50" s="19" t="str">
        <x:v>68</x:v>
      </x:c>
      <x:c r="M50" s="19" t="str">
        <x:v>32</x:v>
      </x:c>
      <x:c r="N50" s="31" t="str">
        <x:v>0.1084639000473544</x:v>
      </x:c>
      <x:c r="O50" s="13" t="str">
        <x:v>True</x:v>
      </x:c>
      <x:c r="P50" s="37" t="str">
        <x:v>2</x:v>
      </x:c>
      <x:c r="Q50" s="13" t="str">
        <x:v>entropy</x:v>
      </x:c>
    </x:row>
    <x:row r="51">
      <x:c r="A51" s="19" t="str">
        <x:v>200</x:v>
      </x:c>
      <x:c r="B51" s="25" t="str">
        <x:v>0.3</x:v>
      </x:c>
      <x:c r="C51" s="19" t="str">
        <x:v>5</x:v>
      </x:c>
      <x:c r="D51" s="19" t="str">
        <x:v>3650103186</x:v>
      </x:c>
      <x:c r="E51" s="19" t="str">
        <x:v>4585</x:v>
      </x:c>
      <x:c r="F51" s="19" t="str">
        <x:v>1</x:v>
      </x:c>
      <x:c r="G51" s="19" t="str">
        <x:v>5</x:v>
      </x:c>
      <x:c r="H51" s="19" t="str">
        <x:v>144</x:v>
      </x:c>
      <x:c r="I51" s="19" t="str">
        <x:v>35</x:v>
      </x:c>
      <x:c r="J51" s="31" t="str">
        <x:v>0.1463272999972105</x:v>
      </x:c>
      <x:c r="K51" s="13" t="str">
        <x:v>True</x:v>
      </x:c>
      <x:c r="L51" s="19" t="str">
        <x:v>66</x:v>
      </x:c>
      <x:c r="M51" s="19" t="str">
        <x:v>32</x:v>
      </x:c>
      <x:c r="N51" s="31" t="str">
        <x:v>0.11876240000128746</x:v>
      </x:c>
      <x:c r="O51" s="13" t="str">
        <x:v>True</x:v>
      </x:c>
      <x:c r="P51" s="37" t="str">
        <x:v>-3</x:v>
      </x:c>
      <x:c r="Q51" s="13" t="str">
        <x:v>collision</x:v>
      </x:c>
    </x:row>
    <x:row r="52">
      <x:c r="A52" s="19" t="str">
        <x:v>200</x:v>
      </x:c>
      <x:c r="B52" s="25" t="str">
        <x:v>0.5</x:v>
      </x:c>
      <x:c r="C52" s="19" t="str">
        <x:v>1</x:v>
      </x:c>
      <x:c r="D52" s="19" t="str">
        <x:v>147788190</x:v>
      </x:c>
      <x:c r="E52" s="19" t="str">
        <x:v>9644</x:v>
      </x:c>
      <x:c r="F52" s="19" t="str">
        <x:v>1</x:v>
      </x:c>
      <x:c r="G52" s="19" t="str">
        <x:v>5</x:v>
      </x:c>
      <x:c r="H52" s="19" t="str">
        <x:v>172</x:v>
      </x:c>
      <x:c r="I52" s="19" t="str">
        <x:v>42</x:v>
      </x:c>
      <x:c r="J52" s="31" t="str">
        <x:v>1.1547402999713086</x:v>
      </x:c>
      <x:c r="K52" s="13" t="str">
        <x:v>True</x:v>
      </x:c>
      <x:c r="L52" s="19" t="str">
        <x:v>45</x:v>
      </x:c>
      <x:c r="M52" s="19" t="str">
        <x:v>43</x:v>
      </x:c>
      <x:c r="N52" s="31" t="str">
        <x:v>0.810756599996239</x:v>
      </x:c>
      <x:c r="O52" s="13" t="str">
        <x:v>True</x:v>
      </x:c>
      <x:c r="P52" s="37" t="str">
        <x:v>1</x:v>
      </x:c>
      <x:c r="Q52" s="13" t="str">
        <x:v>entropy</x:v>
      </x:c>
    </x:row>
    <x:row r="53">
      <x:c r="A53" s="19" t="str">
        <x:v>200</x:v>
      </x:c>
      <x:c r="B53" s="25" t="str">
        <x:v>0.5</x:v>
      </x:c>
      <x:c r="C53" s="19" t="str">
        <x:v>2</x:v>
      </x:c>
      <x:c r="D53" s="19" t="str">
        <x:v>3783753959</x:v>
      </x:c>
      <x:c r="E53" s="19" t="str">
        <x:v>9955</x:v>
      </x:c>
      <x:c r="F53" s="19" t="str">
        <x:v>1</x:v>
      </x:c>
      <x:c r="G53" s="19" t="str">
        <x:v>5</x:v>
      </x:c>
      <x:c r="H53" s="19" t="str">
        <x:v>139</x:v>
      </x:c>
      <x:c r="I53" s="19" t="str">
        <x:v>47</x:v>
      </x:c>
      <x:c r="J53" s="31" t="str">
        <x:v>1.1691405999590643</x:v>
      </x:c>
      <x:c r="K53" s="13" t="str">
        <x:v>True</x:v>
      </x:c>
      <x:c r="L53" s="19" t="str">
        <x:v>37</x:v>
      </x:c>
      <x:c r="M53" s="19" t="str">
        <x:v>36</x:v>
      </x:c>
      <x:c r="N53" s="31" t="str">
        <x:v>0.7319240000215359</x:v>
      </x:c>
      <x:c r="O53" s="13" t="str">
        <x:v>True</x:v>
      </x:c>
      <x:c r="P53" s="37" t="str">
        <x:v>-11</x:v>
      </x:c>
      <x:c r="Q53" s="13" t="str">
        <x:v>collision</x:v>
      </x:c>
    </x:row>
    <x:row r="54">
      <x:c r="A54" s="19" t="str">
        <x:v>200</x:v>
      </x:c>
      <x:c r="B54" s="25" t="str">
        <x:v>0.5</x:v>
      </x:c>
      <x:c r="C54" s="19" t="str">
        <x:v>3</x:v>
      </x:c>
      <x:c r="D54" s="19" t="str">
        <x:v>4158363785</x:v>
      </x:c>
      <x:c r="E54" s="19" t="str">
        <x:v>9551</x:v>
      </x:c>
      <x:c r="F54" s="19" t="str">
        <x:v>1</x:v>
      </x:c>
      <x:c r="G54" s="19" t="str">
        <x:v>5</x:v>
      </x:c>
      <x:c r="H54" s="19" t="str">
        <x:v>147</x:v>
      </x:c>
      <x:c r="I54" s="19" t="str">
        <x:v>45</x:v>
      </x:c>
      <x:c r="J54" s="31" t="str">
        <x:v>1.1798675000318326</x:v>
      </x:c>
      <x:c r="K54" s="13" t="str">
        <x:v>True</x:v>
      </x:c>
      <x:c r="L54" s="19" t="str">
        <x:v>40</x:v>
      </x:c>
      <x:c r="M54" s="19" t="str">
        <x:v>39</x:v>
      </x:c>
      <x:c r="N54" s="31" t="str">
        <x:v>0.7072318000136875</x:v>
      </x:c>
      <x:c r="O54" s="13" t="str">
        <x:v>True</x:v>
      </x:c>
      <x:c r="P54" s="37" t="str">
        <x:v>-6</x:v>
      </x:c>
      <x:c r="Q54" s="13" t="str">
        <x:v>collision</x:v>
      </x:c>
    </x:row>
    <x:row r="55">
      <x:c r="A55" s="19" t="str">
        <x:v>200</x:v>
      </x:c>
      <x:c r="B55" s="25" t="str">
        <x:v>0.5</x:v>
      </x:c>
      <x:c r="C55" s="19" t="str">
        <x:v>4</x:v>
      </x:c>
      <x:c r="D55" s="19" t="str">
        <x:v>2855682961</x:v>
      </x:c>
      <x:c r="E55" s="19" t="str">
        <x:v>9334</x:v>
      </x:c>
      <x:c r="F55" s="19" t="str">
        <x:v>1</x:v>
      </x:c>
      <x:c r="G55" s="19" t="str">
        <x:v>5</x:v>
      </x:c>
      <x:c r="H55" s="19" t="str">
        <x:v>163</x:v>
      </x:c>
      <x:c r="I55" s="19" t="str">
        <x:v>48</x:v>
      </x:c>
      <x:c r="J55" s="31" t="str">
        <x:v>1.290705599996727</x:v>
      </x:c>
      <x:c r="K55" s="13" t="str">
        <x:v>True</x:v>
      </x:c>
      <x:c r="L55" s="19" t="str">
        <x:v>44</x:v>
      </x:c>
      <x:c r="M55" s="19" t="str">
        <x:v>42</x:v>
      </x:c>
      <x:c r="N55" s="31" t="str">
        <x:v>0.7388017000048421</x:v>
      </x:c>
      <x:c r="O55" s="13" t="str">
        <x:v>True</x:v>
      </x:c>
      <x:c r="P55" s="37" t="str">
        <x:v>-6</x:v>
      </x:c>
      <x:c r="Q55" s="13" t="str">
        <x:v>collision</x:v>
      </x:c>
    </x:row>
    <x:row r="56">
      <x:c r="A56" s="19" t="str">
        <x:v>200</x:v>
      </x:c>
      <x:c r="B56" s="25" t="str">
        <x:v>0.5</x:v>
      </x:c>
      <x:c r="C56" s="19" t="str">
        <x:v>5</x:v>
      </x:c>
      <x:c r="D56" s="19" t="str">
        <x:v>1160990887</x:v>
      </x:c>
      <x:c r="E56" s="19" t="str">
        <x:v>9370</x:v>
      </x:c>
      <x:c r="F56" s="19" t="str">
        <x:v>1</x:v>
      </x:c>
      <x:c r="G56" s="19" t="str">
        <x:v>5</x:v>
      </x:c>
      <x:c r="H56" s="19" t="str">
        <x:v>149</x:v>
      </x:c>
      <x:c r="I56" s="19" t="str">
        <x:v>45</x:v>
      </x:c>
      <x:c r="J56" s="31" t="str">
        <x:v>1.19248329999391</x:v>
      </x:c>
      <x:c r="K56" s="13" t="str">
        <x:v>True</x:v>
      </x:c>
      <x:c r="L56" s="19" t="str">
        <x:v>39</x:v>
      </x:c>
      <x:c r="M56" s="19" t="str">
        <x:v>38</x:v>
      </x:c>
      <x:c r="N56" s="31" t="str">
        <x:v>0.724795299989637</x:v>
      </x:c>
      <x:c r="O56" s="13" t="str">
        <x:v>True</x:v>
      </x:c>
      <x:c r="P56" s="37" t="str">
        <x:v>-7</x:v>
      </x:c>
      <x:c r="Q56" s="13" t="str">
        <x:v>collision</x:v>
      </x:c>
    </x:row>
    <x:row r="57">
      <x:c r="A57" s="19" t="str">
        <x:v>200</x:v>
      </x:c>
      <x:c r="B57" s="25" t="str">
        <x:v>0.7</x:v>
      </x:c>
      <x:c r="C57" s="19" t="str">
        <x:v>1</x:v>
      </x:c>
      <x:c r="D57" s="19" t="str">
        <x:v>2481587838</x:v>
      </x:c>
      <x:c r="E57" s="19" t="str">
        <x:v>15262</x:v>
      </x:c>
      <x:c r="F57" s="19" t="str">
        <x:v>1</x:v>
      </x:c>
      <x:c r="G57" s="19" t="str">
        <x:v>5</x:v>
      </x:c>
      <x:c r="H57" s="19" t="str">
        <x:v>169</x:v>
      </x:c>
      <x:c r="I57" s="19" t="str">
        <x:v>56</x:v>
      </x:c>
      <x:c r="J57" s="31" t="str">
        <x:v>1.2426160000031814</x:v>
      </x:c>
      <x:c r="K57" s="13" t="str">
        <x:v>True</x:v>
      </x:c>
      <x:c r="L57" s="19" t="str">
        <x:v>47</x:v>
      </x:c>
      <x:c r="M57" s="19" t="str">
        <x:v>44</x:v>
      </x:c>
      <x:c r="N57" s="31" t="str">
        <x:v>0.8008906999602914</x:v>
      </x:c>
      <x:c r="O57" s="13" t="str">
        <x:v>True</x:v>
      </x:c>
      <x:c r="P57" s="37" t="str">
        <x:v>-12</x:v>
      </x:c>
      <x:c r="Q57" s="13" t="str">
        <x:v>collision</x:v>
      </x:c>
    </x:row>
    <x:row r="58">
      <x:c r="A58" s="19" t="str">
        <x:v>200</x:v>
      </x:c>
      <x:c r="B58" s="25" t="str">
        <x:v>0.7</x:v>
      </x:c>
      <x:c r="C58" s="19" t="str">
        <x:v>2</x:v>
      </x:c>
      <x:c r="D58" s="19" t="str">
        <x:v>3542853903</x:v>
      </x:c>
      <x:c r="E58" s="19" t="str">
        <x:v>14379</x:v>
      </x:c>
      <x:c r="F58" s="19" t="str">
        <x:v>1</x:v>
      </x:c>
      <x:c r="G58" s="19" t="str">
        <x:v>5</x:v>
      </x:c>
      <x:c r="H58" s="19" t="str">
        <x:v>163</x:v>
      </x:c>
      <x:c r="I58" s="19" t="str">
        <x:v>61</x:v>
      </x:c>
      <x:c r="J58" s="31" t="str">
        <x:v>1.2993963999906555</x:v>
      </x:c>
      <x:c r="K58" s="13" t="str">
        <x:v>True</x:v>
      </x:c>
      <x:c r="L58" s="19" t="str">
        <x:v>50</x:v>
      </x:c>
      <x:c r="M58" s="19" t="str">
        <x:v>50</x:v>
      </x:c>
      <x:c r="N58" s="31" t="str">
        <x:v>0.7854974999791011</x:v>
      </x:c>
      <x:c r="O58" s="13" t="str">
        <x:v>True</x:v>
      </x:c>
      <x:c r="P58" s="37" t="str">
        <x:v>-11</x:v>
      </x:c>
      <x:c r="Q58" s="13" t="str">
        <x:v>collision</x:v>
      </x:c>
    </x:row>
    <x:row r="59">
      <x:c r="A59" s="19" t="str">
        <x:v>200</x:v>
      </x:c>
      <x:c r="B59" s="25" t="str">
        <x:v>0.7</x:v>
      </x:c>
      <x:c r="C59" s="19" t="str">
        <x:v>3</x:v>
      </x:c>
      <x:c r="D59" s="19" t="str">
        <x:v>656982734</x:v>
      </x:c>
      <x:c r="E59" s="19" t="str">
        <x:v>15432</x:v>
      </x:c>
      <x:c r="F59" s="19" t="str">
        <x:v>1</x:v>
      </x:c>
      <x:c r="G59" s="19" t="str">
        <x:v>5</x:v>
      </x:c>
      <x:c r="H59" s="19" t="str">
        <x:v>174</x:v>
      </x:c>
      <x:c r="I59" s="19" t="str">
        <x:v>58</x:v>
      </x:c>
      <x:c r="J59" s="31" t="str">
        <x:v>1.2521717000054196</x:v>
      </x:c>
      <x:c r="K59" s="13" t="str">
        <x:v>True</x:v>
      </x:c>
      <x:c r="L59" s="19" t="str">
        <x:v>60</x:v>
      </x:c>
      <x:c r="M59" s="19" t="str">
        <x:v>57</x:v>
      </x:c>
      <x:c r="N59" s="31" t="str">
        <x:v>0.8839981000055559</x:v>
      </x:c>
      <x:c r="O59" s="13" t="str">
        <x:v>True</x:v>
      </x:c>
      <x:c r="P59" s="37" t="str">
        <x:v>-1</x:v>
      </x:c>
      <x:c r="Q59" s="13" t="str">
        <x:v>collision</x:v>
      </x:c>
    </x:row>
    <x:row r="60">
      <x:c r="A60" s="19" t="str">
        <x:v>200</x:v>
      </x:c>
      <x:c r="B60" s="25" t="str">
        <x:v>0.7</x:v>
      </x:c>
      <x:c r="C60" s="19" t="str">
        <x:v>4</x:v>
      </x:c>
      <x:c r="D60" s="19" t="str">
        <x:v>888796244</x:v>
      </x:c>
      <x:c r="E60" s="19" t="str">
        <x:v>14650</x:v>
      </x:c>
      <x:c r="F60" s="19" t="str">
        <x:v>1</x:v>
      </x:c>
      <x:c r="G60" s="19" t="str">
        <x:v>5</x:v>
      </x:c>
      <x:c r="H60" s="19" t="str">
        <x:v>175</x:v>
      </x:c>
      <x:c r="I60" s="19" t="str">
        <x:v>63</x:v>
      </x:c>
      <x:c r="J60" s="31" t="str">
        <x:v>1.2644847999908961</x:v>
      </x:c>
      <x:c r="K60" s="13" t="str">
        <x:v>True</x:v>
      </x:c>
      <x:c r="L60" s="19" t="str">
        <x:v>59</x:v>
      </x:c>
      <x:c r="M60" s="19" t="str">
        <x:v>56</x:v>
      </x:c>
      <x:c r="N60" s="31" t="str">
        <x:v>0.835713200038299</x:v>
      </x:c>
      <x:c r="O60" s="13" t="str">
        <x:v>True</x:v>
      </x:c>
      <x:c r="P60" s="37" t="str">
        <x:v>-7</x:v>
      </x:c>
      <x:c r="Q60" s="13" t="str">
        <x:v>collision</x:v>
      </x:c>
    </x:row>
    <x:row r="61">
      <x:c r="A61" s="19" t="str">
        <x:v>200</x:v>
      </x:c>
      <x:c r="B61" s="25" t="str">
        <x:v>0.7</x:v>
      </x:c>
      <x:c r="C61" s="19" t="str">
        <x:v>5</x:v>
      </x:c>
      <x:c r="D61" s="19" t="str">
        <x:v>3176331658</x:v>
      </x:c>
      <x:c r="E61" s="19" t="str">
        <x:v>15141</x:v>
      </x:c>
      <x:c r="F61" s="19" t="str">
        <x:v>1</x:v>
      </x:c>
      <x:c r="G61" s="19" t="str">
        <x:v>5</x:v>
      </x:c>
      <x:c r="H61" s="19" t="str">
        <x:v>188</x:v>
      </x:c>
      <x:c r="I61" s="19" t="str">
        <x:v>62</x:v>
      </x:c>
      <x:c r="J61" s="31" t="str">
        <x:v>1.135935900034383</x:v>
      </x:c>
      <x:c r="K61" s="13" t="str">
        <x:v>True</x:v>
      </x:c>
      <x:c r="L61" s="19" t="str">
        <x:v>57</x:v>
      </x:c>
      <x:c r="M61" s="19" t="str">
        <x:v>57</x:v>
      </x:c>
      <x:c r="N61" s="31" t="str">
        <x:v>0.9639667000155896</x:v>
      </x:c>
      <x:c r="O61" s="13" t="str">
        <x:v>True</x:v>
      </x:c>
      <x:c r="P61" s="37" t="str">
        <x:v>-5</x:v>
      </x:c>
      <x:c r="Q61" s="13" t="str">
        <x:v>collision</x:v>
      </x:c>
    </x:row>
    <x:row r="62">
      <x:c r="A62" s="19" t="str">
        <x:v>500</x:v>
      </x:c>
      <x:c r="B62" s="25" t="str">
        <x:v>0.1</x:v>
      </x:c>
      <x:c r="C62" s="19" t="str">
        <x:v>1</x:v>
      </x:c>
      <x:c r="D62" s="19" t="str">
        <x:v>3558751442</x:v>
      </x:c>
      <x:c r="E62" s="19" t="str">
        <x:v>3445</x:v>
      </x:c>
      <x:c r="F62" s="19" t="str">
        <x:v>1</x:v>
      </x:c>
      <x:c r="G62" s="19" t="str">
        <x:v>5</x:v>
      </x:c>
      <x:c r="H62" s="19" t="str">
        <x:v>333</x:v>
      </x:c>
      <x:c r="I62" s="19" t="str">
        <x:v>61</x:v>
      </x:c>
      <x:c r="J62" s="31" t="str">
        <x:v>1.1262894000392407</x:v>
      </x:c>
      <x:c r="K62" s="13" t="str">
        <x:v>True</x:v>
      </x:c>
      <x:c r="L62" s="19" t="str">
        <x:v>176</x:v>
      </x:c>
      <x:c r="M62" s="19" t="str">
        <x:v>176</x:v>
      </x:c>
      <x:c r="N62" s="31" t="str">
        <x:v>0.1953374000149779</x:v>
      </x:c>
      <x:c r="O62" s="13" t="str">
        <x:v>False</x:v>
      </x:c>
      <x:c r="P62" s="37" t="str">
        <x:v>115</x:v>
      </x:c>
      <x:c r="Q62" s="13" t="str">
        <x:v>entropy</x:v>
      </x:c>
    </x:row>
    <x:row r="63">
      <x:c r="A63" s="19" t="str">
        <x:v>500</x:v>
      </x:c>
      <x:c r="B63" s="25" t="str">
        <x:v>0.1</x:v>
      </x:c>
      <x:c r="C63" s="19" t="str">
        <x:v>2</x:v>
      </x:c>
      <x:c r="D63" s="19" t="str">
        <x:v>2392341163</x:v>
      </x:c>
      <x:c r="E63" s="19" t="str">
        <x:v>3549</x:v>
      </x:c>
      <x:c r="F63" s="19" t="str">
        <x:v>1</x:v>
      </x:c>
      <x:c r="G63" s="19" t="str">
        <x:v>5</x:v>
      </x:c>
      <x:c r="H63" s="19" t="str">
        <x:v>363</x:v>
      </x:c>
      <x:c r="I63" s="19" t="str">
        <x:v>65</x:v>
      </x:c>
      <x:c r="J63" s="31" t="str">
        <x:v>1.7223022000398487</x:v>
      </x:c>
      <x:c r="K63" s="13" t="str">
        <x:v>True</x:v>
      </x:c>
      <x:c r="L63" s="19" t="str">
        <x:v>192</x:v>
      </x:c>
      <x:c r="M63" s="19" t="str">
        <x:v>66</x:v>
      </x:c>
      <x:c r="N63" s="31" t="str">
        <x:v>0.8193178999936208</x:v>
      </x:c>
      <x:c r="O63" s="13" t="str">
        <x:v>True</x:v>
      </x:c>
      <x:c r="P63" s="37" t="str">
        <x:v>1</x:v>
      </x:c>
      <x:c r="Q63" s="13" t="str">
        <x:v>entropy</x:v>
      </x:c>
    </x:row>
    <x:row r="64">
      <x:c r="A64" s="19" t="str">
        <x:v>500</x:v>
      </x:c>
      <x:c r="B64" s="25" t="str">
        <x:v>0.1</x:v>
      </x:c>
      <x:c r="C64" s="19" t="str">
        <x:v>3</x:v>
      </x:c>
      <x:c r="D64" s="19" t="str">
        <x:v>1094265484</x:v>
      </x:c>
      <x:c r="E64" s="19" t="str">
        <x:v>3593</x:v>
      </x:c>
      <x:c r="F64" s="19" t="str">
        <x:v>1</x:v>
      </x:c>
      <x:c r="G64" s="19" t="str">
        <x:v>5</x:v>
      </x:c>
      <x:c r="H64" s="19" t="str">
        <x:v>363</x:v>
      </x:c>
      <x:c r="I64" s="19" t="str">
        <x:v>64</x:v>
      </x:c>
      <x:c r="J64" s="31" t="str">
        <x:v>1.4314542000065558</x:v>
      </x:c>
      <x:c r="K64" s="13" t="str">
        <x:v>True</x:v>
      </x:c>
      <x:c r="L64" s="19" t="str">
        <x:v>189</x:v>
      </x:c>
      <x:c r="M64" s="19" t="str">
        <x:v>61</x:v>
      </x:c>
      <x:c r="N64" s="31" t="str">
        <x:v>0.808720999979414</x:v>
      </x:c>
      <x:c r="O64" s="13" t="str">
        <x:v>True</x:v>
      </x:c>
      <x:c r="P64" s="37" t="str">
        <x:v>-3</x:v>
      </x:c>
      <x:c r="Q64" s="13" t="str">
        <x:v>collision</x:v>
      </x:c>
    </x:row>
    <x:row r="65">
      <x:c r="A65" s="19" t="str">
        <x:v>500</x:v>
      </x:c>
      <x:c r="B65" s="25" t="str">
        <x:v>0.1</x:v>
      </x:c>
      <x:c r="C65" s="19" t="str">
        <x:v>4</x:v>
      </x:c>
      <x:c r="D65" s="19" t="str">
        <x:v>3007103438</x:v>
      </x:c>
      <x:c r="E65" s="19" t="str">
        <x:v>3529</x:v>
      </x:c>
      <x:c r="F65" s="19" t="str">
        <x:v>1</x:v>
      </x:c>
      <x:c r="G65" s="19" t="str">
        <x:v>5</x:v>
      </x:c>
      <x:c r="H65" s="19" t="str">
        <x:v>311</x:v>
      </x:c>
      <x:c r="I65" s="19" t="str">
        <x:v>53</x:v>
      </x:c>
      <x:c r="J65" s="31" t="str">
        <x:v>0.9903639999683946</x:v>
      </x:c>
      <x:c r="K65" s="13" t="str">
        <x:v>True</x:v>
      </x:c>
      <x:c r="L65" s="19" t="str">
        <x:v>180</x:v>
      </x:c>
      <x:c r="M65" s="19" t="str">
        <x:v>180</x:v>
      </x:c>
      <x:c r="N65" s="31" t="str">
        <x:v>0.1573903000098653</x:v>
      </x:c>
      <x:c r="O65" s="13" t="str">
        <x:v>False</x:v>
      </x:c>
      <x:c r="P65" s="37" t="str">
        <x:v>127</x:v>
      </x:c>
      <x:c r="Q65" s="13" t="str">
        <x:v>entropy</x:v>
      </x:c>
    </x:row>
    <x:row r="66">
      <x:c r="A66" s="19" t="str">
        <x:v>500</x:v>
      </x:c>
      <x:c r="B66" s="25" t="str">
        <x:v>0.1</x:v>
      </x:c>
      <x:c r="C66" s="19" t="str">
        <x:v>5</x:v>
      </x:c>
      <x:c r="D66" s="19" t="str">
        <x:v>1886674721</x:v>
      </x:c>
      <x:c r="E66" s="19" t="str">
        <x:v>3702</x:v>
      </x:c>
      <x:c r="F66" s="19" t="str">
        <x:v>2</x:v>
      </x:c>
      <x:c r="G66" s="19" t="str">
        <x:v>5</x:v>
      </x:c>
      <x:c r="H66" s="19" t="str">
        <x:v>339</x:v>
      </x:c>
      <x:c r="I66" s="19" t="str">
        <x:v>64</x:v>
      </x:c>
      <x:c r="J66" s="31" t="str">
        <x:v>1.1832865999895148</x:v>
      </x:c>
      <x:c r="K66" s="13" t="str">
        <x:v>True</x:v>
      </x:c>
      <x:c r="L66" s="19" t="str">
        <x:v>180</x:v>
      </x:c>
      <x:c r="M66" s="19" t="str">
        <x:v>180</x:v>
      </x:c>
      <x:c r="N66" s="31" t="str">
        <x:v>0.15676929999608546</x:v>
      </x:c>
      <x:c r="O66" s="13" t="str">
        <x:v>False</x:v>
      </x:c>
      <x:c r="P66" s="37" t="str">
        <x:v>116</x:v>
      </x:c>
      <x:c r="Q66" s="13" t="str">
        <x:v>entropy</x:v>
      </x:c>
    </x:row>
    <x:row r="67">
      <x:c r="A67" s="19" t="str">
        <x:v>500</x:v>
      </x:c>
      <x:c r="B67" s="25" t="str">
        <x:v>0.3</x:v>
      </x:c>
      <x:c r="C67" s="19" t="str">
        <x:v>1</x:v>
      </x:c>
      <x:c r="D67" s="19" t="str">
        <x:v>3115399071</x:v>
      </x:c>
      <x:c r="E67" s="19" t="str">
        <x:v>25523</x:v>
      </x:c>
      <x:c r="F67" s="19" t="str">
        <x:v>1</x:v>
      </x:c>
      <x:c r="G67" s="19" t="str">
        <x:v>5</x:v>
      </x:c>
      <x:c r="H67" s="19" t="str">
        <x:v>405</x:v>
      </x:c>
      <x:c r="I67" s="19" t="str">
        <x:v>63</x:v>
      </x:c>
      <x:c r="J67" s="31" t="str">
        <x:v>1.968428699998185</x:v>
      </x:c>
      <x:c r="K67" s="13" t="str">
        <x:v>True</x:v>
      </x:c>
      <x:c r="L67" s="19" t="str">
        <x:v>132</x:v>
      </x:c>
      <x:c r="M67" s="19" t="str">
        <x:v>68</x:v>
      </x:c>
      <x:c r="N67" s="31" t="str">
        <x:v>1.369092200009618</x:v>
      </x:c>
      <x:c r="O67" s="13" t="str">
        <x:v>True</x:v>
      </x:c>
      <x:c r="P67" s="37" t="str">
        <x:v>5</x:v>
      </x:c>
      <x:c r="Q67" s="13" t="str">
        <x:v>entropy</x:v>
      </x:c>
    </x:row>
    <x:row r="68">
      <x:c r="A68" s="19" t="str">
        <x:v>500</x:v>
      </x:c>
      <x:c r="B68" s="25" t="str">
        <x:v>0.3</x:v>
      </x:c>
      <x:c r="C68" s="19" t="str">
        <x:v>2</x:v>
      </x:c>
      <x:c r="D68" s="19" t="str">
        <x:v>3461816012</x:v>
      </x:c>
      <x:c r="E68" s="19" t="str">
        <x:v>27363</x:v>
      </x:c>
      <x:c r="F68" s="19" t="str">
        <x:v>1</x:v>
      </x:c>
      <x:c r="G68" s="19" t="str">
        <x:v>5</x:v>
      </x:c>
      <x:c r="H68" s="19" t="str">
        <x:v>385</x:v>
      </x:c>
      <x:c r="I68" s="19" t="str">
        <x:v>60</x:v>
      </x:c>
      <x:c r="J68" s="31" t="str">
        <x:v>2.094719199987594</x:v>
      </x:c>
      <x:c r="K68" s="13" t="str">
        <x:v>True</x:v>
      </x:c>
      <x:c r="L68" s="19" t="str">
        <x:v>129</x:v>
      </x:c>
      <x:c r="M68" s="19" t="str">
        <x:v>56</x:v>
      </x:c>
      <x:c r="N68" s="31" t="str">
        <x:v>1.29902979999315</x:v>
      </x:c>
      <x:c r="O68" s="13" t="str">
        <x:v>True</x:v>
      </x:c>
      <x:c r="P68" s="37" t="str">
        <x:v>-4</x:v>
      </x:c>
      <x:c r="Q68" s="13" t="str">
        <x:v>collision</x:v>
      </x:c>
    </x:row>
    <x:row r="69">
      <x:c r="A69" s="19" t="str">
        <x:v>500</x:v>
      </x:c>
      <x:c r="B69" s="25" t="str">
        <x:v>0.3</x:v>
      </x:c>
      <x:c r="C69" s="19" t="str">
        <x:v>3</x:v>
      </x:c>
      <x:c r="D69" s="19" t="str">
        <x:v>3812837972</x:v>
      </x:c>
      <x:c r="E69" s="19" t="str">
        <x:v>26494</x:v>
      </x:c>
      <x:c r="F69" s="19" t="str">
        <x:v>1</x:v>
      </x:c>
      <x:c r="G69" s="19" t="str">
        <x:v>5</x:v>
      </x:c>
      <x:c r="H69" s="19" t="str">
        <x:v>389</x:v>
      </x:c>
      <x:c r="I69" s="19" t="str">
        <x:v>58</x:v>
      </x:c>
      <x:c r="J69" s="31" t="str">
        <x:v>1.8636132000247017</x:v>
      </x:c>
      <x:c r="K69" s="13" t="str">
        <x:v>True</x:v>
      </x:c>
      <x:c r="L69" s="19" t="str">
        <x:v>121</x:v>
      </x:c>
      <x:c r="M69" s="19" t="str">
        <x:v>60</x:v>
      </x:c>
      <x:c r="N69" s="31" t="str">
        <x:v>1.208740400034003</x:v>
      </x:c>
      <x:c r="O69" s="13" t="str">
        <x:v>True</x:v>
      </x:c>
      <x:c r="P69" s="37" t="str">
        <x:v>2</x:v>
      </x:c>
      <x:c r="Q69" s="13" t="str">
        <x:v>entropy</x:v>
      </x:c>
    </x:row>
    <x:row r="70">
      <x:c r="A70" s="19" t="str">
        <x:v>500</x:v>
      </x:c>
      <x:c r="B70" s="25" t="str">
        <x:v>0.3</x:v>
      </x:c>
      <x:c r="C70" s="19" t="str">
        <x:v>4</x:v>
      </x:c>
      <x:c r="D70" s="19" t="str">
        <x:v>919112873</x:v>
      </x:c>
      <x:c r="E70" s="19" t="str">
        <x:v>26776</x:v>
      </x:c>
      <x:c r="F70" s="19" t="str">
        <x:v>1</x:v>
      </x:c>
      <x:c r="G70" s="19" t="str">
        <x:v>5</x:v>
      </x:c>
      <x:c r="H70" s="19" t="str">
        <x:v>403</x:v>
      </x:c>
      <x:c r="I70" s="19" t="str">
        <x:v>68</x:v>
      </x:c>
      <x:c r="J70" s="31" t="str">
        <x:v>2.179769699985627</x:v>
      </x:c>
      <x:c r="K70" s="13" t="str">
        <x:v>True</x:v>
      </x:c>
      <x:c r="L70" s="19" t="str">
        <x:v>140</x:v>
      </x:c>
      <x:c r="M70" s="19" t="str">
        <x:v>61</x:v>
      </x:c>
      <x:c r="N70" s="31" t="str">
        <x:v>1.3429458999889903</x:v>
      </x:c>
      <x:c r="O70" s="13" t="str">
        <x:v>True</x:v>
      </x:c>
      <x:c r="P70" s="37" t="str">
        <x:v>-7</x:v>
      </x:c>
      <x:c r="Q70" s="13" t="str">
        <x:v>collision</x:v>
      </x:c>
    </x:row>
    <x:row r="71">
      <x:c r="A71" s="19" t="str">
        <x:v>500</x:v>
      </x:c>
      <x:c r="B71" s="25" t="str">
        <x:v>0.3</x:v>
      </x:c>
      <x:c r="C71" s="19" t="str">
        <x:v>5</x:v>
      </x:c>
      <x:c r="D71" s="19" t="str">
        <x:v>1501937940</x:v>
      </x:c>
      <x:c r="E71" s="19" t="str">
        <x:v>27912</x:v>
      </x:c>
      <x:c r="F71" s="19" t="str">
        <x:v>1</x:v>
      </x:c>
      <x:c r="G71" s="19" t="str">
        <x:v>5</x:v>
      </x:c>
      <x:c r="H71" s="19" t="str">
        <x:v>353</x:v>
      </x:c>
      <x:c r="I71" s="19" t="str">
        <x:v>58</x:v>
      </x:c>
      <x:c r="J71" s="31" t="str">
        <x:v>2.095286999945529</x:v>
      </x:c>
      <x:c r="K71" s="13" t="str">
        <x:v>True</x:v>
      </x:c>
      <x:c r="L71" s="19" t="str">
        <x:v>136</x:v>
      </x:c>
      <x:c r="M71" s="19" t="str">
        <x:v>56</x:v>
      </x:c>
      <x:c r="N71" s="31" t="str">
        <x:v>1.3738017000141554</x:v>
      </x:c>
      <x:c r="O71" s="13" t="str">
        <x:v>True</x:v>
      </x:c>
      <x:c r="P71" s="37" t="str">
        <x:v>-2</x:v>
      </x:c>
      <x:c r="Q71" s="13" t="str">
        <x:v>collision</x:v>
      </x:c>
    </x:row>
    <x:row r="72">
      <x:c r="A72" s="19" t="str">
        <x:v>500</x:v>
      </x:c>
      <x:c r="B72" s="25" t="str">
        <x:v>0.5</x:v>
      </x:c>
      <x:c r="C72" s="19" t="str">
        <x:v>1</x:v>
      </x:c>
      <x:c r="D72" s="19" t="str">
        <x:v>64529857</x:v>
      </x:c>
      <x:c r="E72" s="19" t="str">
        <x:v>60591</x:v>
      </x:c>
      <x:c r="F72" s="19" t="str">
        <x:v>1</x:v>
      </x:c>
      <x:c r="G72" s="19" t="str">
        <x:v>5</x:v>
      </x:c>
      <x:c r="H72" s="19" t="str">
        <x:v>386</x:v>
      </x:c>
      <x:c r="I72" s="19" t="str">
        <x:v>91</x:v>
      </x:c>
      <x:c r="J72" s="31" t="str">
        <x:v>17.907693499990273</x:v>
      </x:c>
      <x:c r="K72" s="13" t="str">
        <x:v>True</x:v>
      </x:c>
      <x:c r="L72" s="19" t="str">
        <x:v>77</x:v>
      </x:c>
      <x:c r="M72" s="19" t="str">
        <x:v>74</x:v>
      </x:c>
      <x:c r="N72" s="31" t="str">
        <x:v>9.032666500017513</x:v>
      </x:c>
      <x:c r="O72" s="13" t="str">
        <x:v>True</x:v>
      </x:c>
      <x:c r="P72" s="37" t="str">
        <x:v>-17</x:v>
      </x:c>
      <x:c r="Q72" s="13" t="str">
        <x:v>collision</x:v>
      </x:c>
    </x:row>
    <x:row r="73">
      <x:c r="A73" s="19" t="str">
        <x:v>500</x:v>
      </x:c>
      <x:c r="B73" s="25" t="str">
        <x:v>0.5</x:v>
      </x:c>
      <x:c r="C73" s="19" t="str">
        <x:v>2</x:v>
      </x:c>
      <x:c r="D73" s="19" t="str">
        <x:v>972785437</x:v>
      </x:c>
      <x:c r="E73" s="19" t="str">
        <x:v>60824</x:v>
      </x:c>
      <x:c r="F73" s="19" t="str">
        <x:v>1</x:v>
      </x:c>
      <x:c r="G73" s="19" t="str">
        <x:v>5</x:v>
      </x:c>
      <x:c r="H73" s="19" t="str">
        <x:v>372</x:v>
      </x:c>
      <x:c r="I73" s="19" t="str">
        <x:v>90</x:v>
      </x:c>
      <x:c r="J73" s="31" t="str">
        <x:v>16.810122399998363</x:v>
      </x:c>
      <x:c r="K73" s="13" t="str">
        <x:v>True</x:v>
      </x:c>
      <x:c r="L73" s="19" t="str">
        <x:v>79</x:v>
      </x:c>
      <x:c r="M73" s="19" t="str">
        <x:v>77</x:v>
      </x:c>
      <x:c r="N73" s="31" t="str">
        <x:v>9.487511999963317</x:v>
      </x:c>
      <x:c r="O73" s="13" t="str">
        <x:v>True</x:v>
      </x:c>
      <x:c r="P73" s="37" t="str">
        <x:v>-13</x:v>
      </x:c>
      <x:c r="Q73" s="13" t="str">
        <x:v>collision</x:v>
      </x:c>
    </x:row>
    <x:row r="74">
      <x:c r="A74" s="19" t="str">
        <x:v>500</x:v>
      </x:c>
      <x:c r="B74" s="25" t="str">
        <x:v>0.5</x:v>
      </x:c>
      <x:c r="C74" s="19" t="str">
        <x:v>3</x:v>
      </x:c>
      <x:c r="D74" s="19" t="str">
        <x:v>328867640</x:v>
      </x:c>
      <x:c r="E74" s="19" t="str">
        <x:v>60095</x:v>
      </x:c>
      <x:c r="F74" s="19" t="str">
        <x:v>1</x:v>
      </x:c>
      <x:c r="G74" s="19" t="str">
        <x:v>5</x:v>
      </x:c>
      <x:c r="H74" s="19" t="str">
        <x:v>409</x:v>
      </x:c>
      <x:c r="I74" s="19" t="str">
        <x:v>90</x:v>
      </x:c>
      <x:c r="J74" s="31" t="str">
        <x:v>16.730173100018874</x:v>
      </x:c>
      <x:c r="K74" s="13" t="str">
        <x:v>True</x:v>
      </x:c>
      <x:c r="L74" s="19" t="str">
        <x:v>76</x:v>
      </x:c>
      <x:c r="M74" s="19" t="str">
        <x:v>73</x:v>
      </x:c>
      <x:c r="N74" s="31" t="str">
        <x:v>8.280502900015563</x:v>
      </x:c>
      <x:c r="O74" s="13" t="str">
        <x:v>True</x:v>
      </x:c>
      <x:c r="P74" s="37" t="str">
        <x:v>-17</x:v>
      </x:c>
      <x:c r="Q74" s="13" t="str">
        <x:v>collision</x:v>
      </x:c>
    </x:row>
    <x:row r="75">
      <x:c r="A75" s="19" t="str">
        <x:v>500</x:v>
      </x:c>
      <x:c r="B75" s="25" t="str">
        <x:v>0.5</x:v>
      </x:c>
      <x:c r="C75" s="19" t="str">
        <x:v>4</x:v>
      </x:c>
      <x:c r="D75" s="19" t="str">
        <x:v>2342420752</x:v>
      </x:c>
      <x:c r="E75" s="19" t="str">
        <x:v>58068</x:v>
      </x:c>
      <x:c r="F75" s="19" t="str">
        <x:v>1</x:v>
      </x:c>
      <x:c r="G75" s="19" t="str">
        <x:v>5</x:v>
      </x:c>
      <x:c r="H75" s="19" t="str">
        <x:v>445</x:v>
      </x:c>
      <x:c r="I75" s="19" t="str">
        <x:v>95</x:v>
      </x:c>
      <x:c r="J75" s="31" t="str">
        <x:v>17.2414002000005</x:v>
      </x:c>
      <x:c r="K75" s="13" t="str">
        <x:v>True</x:v>
      </x:c>
      <x:c r="L75" s="19" t="str">
        <x:v>81</x:v>
      </x:c>
      <x:c r="M75" s="19" t="str">
        <x:v>79</x:v>
      </x:c>
      <x:c r="N75" s="31" t="str">
        <x:v>8.854253700003028</x:v>
      </x:c>
      <x:c r="O75" s="13" t="str">
        <x:v>True</x:v>
      </x:c>
      <x:c r="P75" s="37" t="str">
        <x:v>-16</x:v>
      </x:c>
      <x:c r="Q75" s="13" t="str">
        <x:v>collision</x:v>
      </x:c>
    </x:row>
    <x:row r="76">
      <x:c r="A76" s="19" t="str">
        <x:v>500</x:v>
      </x:c>
      <x:c r="B76" s="25" t="str">
        <x:v>0.5</x:v>
      </x:c>
      <x:c r="C76" s="19" t="str">
        <x:v>5</x:v>
      </x:c>
      <x:c r="D76" s="19" t="str">
        <x:v>2111740721</x:v>
      </x:c>
      <x:c r="E76" s="19" t="str">
        <x:v>59229</x:v>
      </x:c>
      <x:c r="F76" s="19" t="str">
        <x:v>1</x:v>
      </x:c>
      <x:c r="G76" s="19" t="str">
        <x:v>5</x:v>
      </x:c>
      <x:c r="H76" s="19" t="str">
        <x:v>352</x:v>
      </x:c>
      <x:c r="I76" s="19" t="str">
        <x:v>88</x:v>
      </x:c>
      <x:c r="J76" s="31" t="str">
        <x:v>16.426354499999434</x:v>
      </x:c>
      <x:c r="K76" s="13" t="str">
        <x:v>True</x:v>
      </x:c>
      <x:c r="L76" s="19" t="str">
        <x:v>86</x:v>
      </x:c>
      <x:c r="M76" s="19" t="str">
        <x:v>82</x:v>
      </x:c>
      <x:c r="N76" s="31" t="str">
        <x:v>9.338726699992549</x:v>
      </x:c>
      <x:c r="O76" s="13" t="str">
        <x:v>True</x:v>
      </x:c>
      <x:c r="P76" s="37" t="str">
        <x:v>-6</x:v>
      </x:c>
      <x:c r="Q76" s="13" t="str">
        <x:v>collision</x:v>
      </x:c>
    </x:row>
    <x:row r="77">
      <x:c r="A77" s="19" t="str">
        <x:v>500</x:v>
      </x:c>
      <x:c r="B77" s="25" t="str">
        <x:v>0.7</x:v>
      </x:c>
      <x:c r="C77" s="19" t="str">
        <x:v>1</x:v>
      </x:c>
      <x:c r="D77" s="19" t="str">
        <x:v>3922821348</x:v>
      </x:c>
      <x:c r="E77" s="19" t="str">
        <x:v>90593</x:v>
      </x:c>
      <x:c r="F77" s="19" t="str">
        <x:v>1</x:v>
      </x:c>
      <x:c r="G77" s="19" t="str">
        <x:v>5</x:v>
      </x:c>
      <x:c r="H77" s="19" t="str">
        <x:v>442</x:v>
      </x:c>
      <x:c r="I77" s="19" t="str">
        <x:v>115</x:v>
      </x:c>
      <x:c r="J77" s="31" t="str">
        <x:v>17.119174499996006</x:v>
      </x:c>
      <x:c r="K77" s="13" t="str">
        <x:v>True</x:v>
      </x:c>
      <x:c r="L77" s="19" t="str">
        <x:v>102</x:v>
      </x:c>
      <x:c r="M77" s="19" t="str">
        <x:v>99</x:v>
      </x:c>
      <x:c r="N77" s="31" t="str">
        <x:v>11.320378399977926</x:v>
      </x:c>
      <x:c r="O77" s="13" t="str">
        <x:v>True</x:v>
      </x:c>
      <x:c r="P77" s="37" t="str">
        <x:v>-16</x:v>
      </x:c>
      <x:c r="Q77" s="13" t="str">
        <x:v>collision</x:v>
      </x:c>
    </x:row>
    <x:row r="78">
      <x:c r="A78" s="19" t="str">
        <x:v>500</x:v>
      </x:c>
      <x:c r="B78" s="25" t="str">
        <x:v>0.7</x:v>
      </x:c>
      <x:c r="C78" s="19" t="str">
        <x:v>2</x:v>
      </x:c>
      <x:c r="D78" s="19" t="str">
        <x:v>3812956346</x:v>
      </x:c>
      <x:c r="E78" s="19" t="str">
        <x:v>95186</x:v>
      </x:c>
      <x:c r="F78" s="19" t="str">
        <x:v>1</x:v>
      </x:c>
      <x:c r="G78" s="19" t="str">
        <x:v>5</x:v>
      </x:c>
      <x:c r="H78" s="19" t="str">
        <x:v>432</x:v>
      </x:c>
      <x:c r="I78" s="19" t="str">
        <x:v>112</x:v>
      </x:c>
      <x:c r="J78" s="31" t="str">
        <x:v>16.874222100013867</x:v>
      </x:c>
      <x:c r="K78" s="13" t="str">
        <x:v>True</x:v>
      </x:c>
      <x:c r="L78" s="19" t="str">
        <x:v>93</x:v>
      </x:c>
      <x:c r="M78" s="19" t="str">
        <x:v>91</x:v>
      </x:c>
      <x:c r="N78" s="31" t="str">
        <x:v>9.616003300005104</x:v>
      </x:c>
      <x:c r="O78" s="13" t="str">
        <x:v>True</x:v>
      </x:c>
      <x:c r="P78" s="37" t="str">
        <x:v>-21</x:v>
      </x:c>
      <x:c r="Q78" s="13" t="str">
        <x:v>collision</x:v>
      </x:c>
    </x:row>
    <x:row r="79">
      <x:c r="A79" s="19" t="str">
        <x:v>500</x:v>
      </x:c>
      <x:c r="B79" s="25" t="str">
        <x:v>0.7</x:v>
      </x:c>
      <x:c r="C79" s="19" t="str">
        <x:v>3</x:v>
      </x:c>
      <x:c r="D79" s="19" t="str">
        <x:v>3140206626</x:v>
      </x:c>
      <x:c r="E79" s="19" t="str">
        <x:v>91822</x:v>
      </x:c>
      <x:c r="F79" s="19" t="str">
        <x:v>1</x:v>
      </x:c>
      <x:c r="G79" s="19" t="str">
        <x:v>5</x:v>
      </x:c>
      <x:c r="H79" s="19" t="str">
        <x:v>414</x:v>
      </x:c>
      <x:c r="I79" s="19" t="str">
        <x:v>107</x:v>
      </x:c>
      <x:c r="J79" s="31" t="str">
        <x:v>16.726141799998004</x:v>
      </x:c>
      <x:c r="K79" s="13" t="str">
        <x:v>True</x:v>
      </x:c>
      <x:c r="L79" s="19" t="str">
        <x:v>95</x:v>
      </x:c>
      <x:c r="M79" s="19" t="str">
        <x:v>89</x:v>
      </x:c>
      <x:c r="N79" s="31" t="str">
        <x:v>9.942694999976084</x:v>
      </x:c>
      <x:c r="O79" s="13" t="str">
        <x:v>True</x:v>
      </x:c>
      <x:c r="P79" s="37" t="str">
        <x:v>-18</x:v>
      </x:c>
      <x:c r="Q79" s="13" t="str">
        <x:v>collision</x:v>
      </x:c>
    </x:row>
    <x:row r="80">
      <x:c r="A80" s="19" t="str">
        <x:v>500</x:v>
      </x:c>
      <x:c r="B80" s="25" t="str">
        <x:v>0.7</x:v>
      </x:c>
      <x:c r="C80" s="19" t="str">
        <x:v>4</x:v>
      </x:c>
      <x:c r="D80" s="19" t="str">
        <x:v>953953598</x:v>
      </x:c>
      <x:c r="E80" s="19" t="str">
        <x:v>91458</x:v>
      </x:c>
      <x:c r="F80" s="19" t="str">
        <x:v>1</x:v>
      </x:c>
      <x:c r="G80" s="19" t="str">
        <x:v>5</x:v>
      </x:c>
      <x:c r="H80" s="19" t="str">
        <x:v>482</x:v>
      </x:c>
      <x:c r="I80" s="19" t="str">
        <x:v>105</x:v>
      </x:c>
      <x:c r="J80" s="31" t="str">
        <x:v>18.584798800002318</x:v>
      </x:c>
      <x:c r="K80" s="13" t="str">
        <x:v>True</x:v>
      </x:c>
      <x:c r="L80" s="19" t="str">
        <x:v>101</x:v>
      </x:c>
      <x:c r="M80" s="19" t="str">
        <x:v>98</x:v>
      </x:c>
      <x:c r="N80" s="31" t="str">
        <x:v>11.317329100042116</x:v>
      </x:c>
      <x:c r="O80" s="13" t="str">
        <x:v>True</x:v>
      </x:c>
      <x:c r="P80" s="37" t="str">
        <x:v>-7</x:v>
      </x:c>
      <x:c r="Q80" s="13" t="str">
        <x:v>collision</x:v>
      </x:c>
    </x:row>
    <x:row r="81">
      <x:c r="A81" s="20" t="str">
        <x:v>500</x:v>
      </x:c>
      <x:c r="B81" s="26" t="str">
        <x:v>0.7</x:v>
      </x:c>
      <x:c r="C81" s="20" t="str">
        <x:v>5</x:v>
      </x:c>
      <x:c r="D81" s="20" t="str">
        <x:v>1177779363</x:v>
      </x:c>
      <x:c r="E81" s="20" t="str">
        <x:v>90271</x:v>
      </x:c>
      <x:c r="F81" s="20" t="str">
        <x:v>1</x:v>
      </x:c>
      <x:c r="G81" s="20" t="str">
        <x:v>5</x:v>
      </x:c>
      <x:c r="H81" s="20" t="str">
        <x:v>468</x:v>
      </x:c>
      <x:c r="I81" s="20" t="str">
        <x:v>106</x:v>
      </x:c>
      <x:c r="J81" s="32" t="str">
        <x:v>19.52918909996515</x:v>
      </x:c>
      <x:c r="K81" s="14" t="str">
        <x:v>True</x:v>
      </x:c>
      <x:c r="L81" s="20" t="str">
        <x:v>90</x:v>
      </x:c>
      <x:c r="M81" s="20" t="str">
        <x:v>86</x:v>
      </x:c>
      <x:c r="N81" s="32" t="str">
        <x:v>10.145846300001722</x:v>
      </x:c>
      <x:c r="O81" s="14" t="str">
        <x:v>True</x:v>
      </x:c>
      <x:c r="P81" s="38" t="str">
        <x:v>-20</x:v>
      </x:c>
      <x:c r="Q81" s="14" t="str">
        <x:v>collision</x:v>
      </x:c>
    </x:row>
  </x:sheetData>
  <x:pageMargins left="0.7" right="0.7" top="0.75" bottom="0.75" header="0.3" footer="0.3"/>
  <x:tableParts count="1">
    <x:tablePart xmlns:r="http://schemas.openxmlformats.org/officeDocument/2006/relationships" r:id="R8c9c4464c68d4e6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0" hidden="0" customWidth="1"/>
    <x:col min="3" max="3" width="9" hidden="0" customWidth="1"/>
    <x:col min="4" max="4" width="13" hidden="0" customWidth="1"/>
    <x:col min="5" max="5" width="25" hidden="0" customWidth="1"/>
    <x:col min="6" max="6" width="20" hidden="0" customWidth="1"/>
    <x:col min="7" max="7" width="26" hidden="0" customWidth="1"/>
    <x:col min="8" max="8" width="18" hidden="0" customWidth="1"/>
    <x:col min="9" max="9" width="23" hidden="0" customWidth="1"/>
  </x:cols>
  <x:sheetData>
    <x:row r="1" ht="38" customHeight="1">
      <x:c r="A1" s="10" t="str">
        <x:v>n</x:v>
      </x:c>
      <x:c r="B1" s="10" t="str">
        <x:v>radius</x:v>
      </x:c>
      <x:c r="C1" s="10" t="str">
        <x:v>repeat</x:v>
      </x:c>
      <x:c r="D1" s="10" t="str">
        <x:v>both_valid</x:v>
      </x:c>
      <x:c r="E1" s="10" t="str">
        <x:v>collision_minus_grid_size</x:v>
      </x:c>
      <x:c r="F1" s="10" t="str">
        <x:v>valid_size_winner</x:v>
      </x:c>
      <x:c r="G1" s="10" t="str">
        <x:v>collision_minus_grid_time_s</x:v>
      </x:c>
      <x:c r="H1" s="10" t="str">
        <x:v>faster_method</x:v>
      </x:c>
      <x:c r="I1" s="10" t="str">
        <x:v>collision_grid_time_ratio</x:v>
      </x:c>
    </x:row>
    <x:row r="2">
      <x:c r="A2" s="54" t="str">
        <x:f>'Raw Results'!A2</x:f>
        <x:v>50</x:v>
      </x:c>
      <x:c r="B2" s="55" t="str">
        <x:f>'Raw Results'!B2</x:f>
        <x:v>0.1</x:v>
      </x:c>
      <x:c r="C2" s="54" t="str">
        <x:f>'Raw Results'!C2</x:f>
        <x:v>1</x:v>
      </x:c>
      <x:c r="D2" s="54" t="n">
        <x:f>IF(AND('Raw Results'!K2="True",'Raw Results'!O2="True"),1,0)</x:f>
        <x:v>0</x:v>
      </x:c>
      <x:c r="E2" s="56" t="n">
        <x:f>'Raw Results'!M2-'Raw Results'!I2</x:f>
        <x:v>-1</x:v>
      </x:c>
      <x:c r="F2" s="57" t="str">
        <x:f>IF(D2=0,"Excluded",IF(E2&lt;0,"Grid Collision",IF(E2&gt;0,"Grid","Tie")))</x:f>
        <x:v>Excluded</x:v>
      </x:c>
      <x:c r="G2" s="58" t="n">
        <x:f>'Raw Results'!N2-'Raw Results'!J2</x:f>
        <x:v>-0.00020890007726848125</x:v>
      </x:c>
      <x:c r="H2" s="57" t="str">
        <x:f>IF(G2&lt;0,"Grid Collision",IF(G2&gt;0,"Grid","Tie"))</x:f>
        <x:v>Grid Collision</x:v>
      </x:c>
      <x:c r="I2" s="59" t="n">
        <x:f>IF('Raw Results'!J2=0,"",'Raw Results'!N2/'Raw Results'!J2)</x:f>
        <x:v>0.8927782826843342</x:v>
      </x:c>
    </x:row>
    <x:row r="3">
      <x:c r="A3" s="60" t="str">
        <x:f>'Raw Results'!A3</x:f>
        <x:v>50</x:v>
      </x:c>
      <x:c r="B3" s="61" t="str">
        <x:f>'Raw Results'!B3</x:f>
        <x:v>0.1</x:v>
      </x:c>
      <x:c r="C3" s="60" t="str">
        <x:f>'Raw Results'!C3</x:f>
        <x:v>2</x:v>
      </x:c>
      <x:c r="D3" s="60" t="n">
        <x:f>IF(AND('Raw Results'!K3="True",'Raw Results'!O3="True"),1,0)</x:f>
        <x:v>0</x:v>
      </x:c>
      <x:c r="E3" s="62" t="n">
        <x:f>'Raw Results'!M3-'Raw Results'!I3</x:f>
        <x:v>0</x:v>
      </x:c>
      <x:c r="F3" s="63" t="str">
        <x:f>IF(D3=0,"Excluded",IF(E3&lt;0,"Grid Collision",IF(E3&gt;0,"Grid","Tie")))</x:f>
        <x:v>Excluded</x:v>
      </x:c>
      <x:c r="G3" s="64" t="n">
        <x:f>'Raw Results'!N3-'Raw Results'!J3</x:f>
        <x:v>-0.00010369997471570969</x:v>
      </x:c>
      <x:c r="H3" s="63" t="str">
        <x:f>IF(G3&lt;0,"Grid Collision",IF(G3&gt;0,"Grid","Tie"))</x:f>
        <x:v>Grid Collision</x:v>
      </x:c>
      <x:c r="I3" s="65" t="n">
        <x:f>IF('Raw Results'!J3=0,"",'Raw Results'!N3/'Raw Results'!J3)</x:f>
        <x:v>0.9474138058772146</x:v>
      </x:c>
    </x:row>
    <x:row r="4">
      <x:c r="A4" s="60" t="str">
        <x:f>'Raw Results'!A4</x:f>
        <x:v>50</x:v>
      </x:c>
      <x:c r="B4" s="61" t="str">
        <x:f>'Raw Results'!B4</x:f>
        <x:v>0.1</x:v>
      </x:c>
      <x:c r="C4" s="60" t="str">
        <x:f>'Raw Results'!C4</x:f>
        <x:v>3</x:v>
      </x:c>
      <x:c r="D4" s="60" t="n">
        <x:f>IF(AND('Raw Results'!K4="True",'Raw Results'!O4="True"),1,0)</x:f>
        <x:v>0</x:v>
      </x:c>
      <x:c r="E4" s="62" t="n">
        <x:f>'Raw Results'!M4-'Raw Results'!I4</x:f>
        <x:v>-1</x:v>
      </x:c>
      <x:c r="F4" s="63" t="str">
        <x:f>IF(D4=0,"Excluded",IF(E4&lt;0,"Grid Collision",IF(E4&gt;0,"Grid","Tie")))</x:f>
        <x:v>Excluded</x:v>
      </x:c>
      <x:c r="G4" s="64" t="n">
        <x:f>'Raw Results'!N4-'Raw Results'!J4</x:f>
        <x:v>-0.00011520000407472253</x:v>
      </x:c>
      <x:c r="H4" s="63" t="str">
        <x:f>IF(G4&lt;0,"Grid Collision",IF(G4&gt;0,"Grid","Tie"))</x:f>
        <x:v>Grid Collision</x:v>
      </x:c>
      <x:c r="I4" s="65" t="n">
        <x:f>IF('Raw Results'!J4=0,"",'Raw Results'!N4/'Raw Results'!J4)</x:f>
        <x:v>0.9427321517317112</x:v>
      </x:c>
    </x:row>
    <x:row r="5">
      <x:c r="A5" s="60" t="str">
        <x:f>'Raw Results'!A5</x:f>
        <x:v>50</x:v>
      </x:c>
      <x:c r="B5" s="61" t="str">
        <x:f>'Raw Results'!B5</x:f>
        <x:v>0.1</x:v>
      </x:c>
      <x:c r="C5" s="60" t="str">
        <x:f>'Raw Results'!C5</x:f>
        <x:v>4</x:v>
      </x:c>
      <x:c r="D5" s="60" t="n">
        <x:f>IF(AND('Raw Results'!K5="True",'Raw Results'!O5="True"),1,0)</x:f>
        <x:v>0</x:v>
      </x:c>
      <x:c r="E5" s="62" t="n">
        <x:f>'Raw Results'!M5-'Raw Results'!I5</x:f>
        <x:v>-1</x:v>
      </x:c>
      <x:c r="F5" s="63" t="str">
        <x:f>IF(D5=0,"Excluded",IF(E5&lt;0,"Grid Collision",IF(E5&gt;0,"Grid","Tie")))</x:f>
        <x:v>Excluded</x:v>
      </x:c>
      <x:c r="G5" s="64" t="n">
        <x:f>'Raw Results'!N5-'Raw Results'!J5</x:f>
        <x:v>0.000040199956856667995</x:v>
      </x:c>
      <x:c r="H5" s="63" t="str">
        <x:f>IF(G5&lt;0,"Grid Collision",IF(G5&gt;0,"Grid","Tie"))</x:f>
        <x:v>Grid</x:v>
      </x:c>
      <x:c r="I5" s="65" t="n">
        <x:f>IF('Raw Results'!J5=0,"",'Raw Results'!N5/'Raw Results'!J5)</x:f>
        <x:v>1.0161147905651229</x:v>
      </x:c>
    </x:row>
    <x:row r="6">
      <x:c r="A6" s="60" t="str">
        <x:f>'Raw Results'!A6</x:f>
        <x:v>50</x:v>
      </x:c>
      <x:c r="B6" s="61" t="str">
        <x:f>'Raw Results'!B6</x:f>
        <x:v>0.1</x:v>
      </x:c>
      <x:c r="C6" s="60" t="str">
        <x:f>'Raw Results'!C6</x:f>
        <x:v>5</x:v>
      </x:c>
      <x:c r="D6" s="60" t="n">
        <x:f>IF(AND('Raw Results'!K6="True",'Raw Results'!O6="True"),1,0)</x:f>
        <x:v>0</x:v>
      </x:c>
      <x:c r="E6" s="62" t="n">
        <x:f>'Raw Results'!M6-'Raw Results'!I6</x:f>
        <x:v>0</x:v>
      </x:c>
      <x:c r="F6" s="63" t="str">
        <x:f>IF(D6=0,"Excluded",IF(E6&lt;0,"Grid Collision",IF(E6&gt;0,"Grid","Tie")))</x:f>
        <x:v>Excluded</x:v>
      </x:c>
      <x:c r="G6" s="64" t="n">
        <x:f>'Raw Results'!N6-'Raw Results'!J6</x:f>
        <x:v>-8.00006091594696e-7</x:v>
      </x:c>
      <x:c r="H6" s="63" t="str">
        <x:f>IF(G6&lt;0,"Grid Collision",IF(G6&gt;0,"Grid","Tie"))</x:f>
        <x:v>Grid Collision</x:v>
      </x:c>
      <x:c r="I6" s="65" t="n">
        <x:f>IF('Raw Results'!J6=0,"",'Raw Results'!N6/'Raw Results'!J6)</x:f>
        <x:v>0.9996037808486044</x:v>
      </x:c>
    </x:row>
    <x:row r="7">
      <x:c r="A7" s="60" t="str">
        <x:f>'Raw Results'!A7</x:f>
        <x:v>50</x:v>
      </x:c>
      <x:c r="B7" s="61" t="str">
        <x:f>'Raw Results'!B7</x:f>
        <x:v>0.3</x:v>
      </x:c>
      <x:c r="C7" s="60" t="str">
        <x:f>'Raw Results'!C7</x:f>
        <x:v>1</x:v>
      </x:c>
      <x:c r="D7" s="60" t="n">
        <x:f>IF(AND('Raw Results'!K7="True",'Raw Results'!O7="True"),1,0)</x:f>
        <x:v>1</x:v>
      </x:c>
      <x:c r="E7" s="62" t="n">
        <x:f>'Raw Results'!M7-'Raw Results'!I7</x:f>
        <x:v>0</x:v>
      </x:c>
      <x:c r="F7" s="63" t="str">
        <x:f>IF(D7=0,"Excluded",IF(E7&lt;0,"Grid Collision",IF(E7&gt;0,"Grid","Tie")))</x:f>
        <x:v>Tie</x:v>
      </x:c>
      <x:c r="G7" s="64" t="n">
        <x:f>'Raw Results'!N7-'Raw Results'!J7</x:f>
        <x:v>-0.0015207999385893345</x:v>
      </x:c>
      <x:c r="H7" s="63" t="str">
        <x:f>IF(G7&lt;0,"Grid Collision",IF(G7&gt;0,"Grid","Tie"))</x:f>
        <x:v>Grid Collision</x:v>
      </x:c>
      <x:c r="I7" s="65" t="n">
        <x:f>IF('Raw Results'!J7=0,"",'Raw Results'!N7/'Raw Results'!J7)</x:f>
        <x:v>0.7715212971243472</x:v>
      </x:c>
    </x:row>
    <x:row r="8">
      <x:c r="A8" s="60" t="str">
        <x:f>'Raw Results'!A8</x:f>
        <x:v>50</x:v>
      </x:c>
      <x:c r="B8" s="61" t="str">
        <x:f>'Raw Results'!B8</x:f>
        <x:v>0.3</x:v>
      </x:c>
      <x:c r="C8" s="60" t="str">
        <x:f>'Raw Results'!C8</x:f>
        <x:v>2</x:v>
      </x:c>
      <x:c r="D8" s="60" t="n">
        <x:f>IF(AND('Raw Results'!K8="True",'Raw Results'!O8="True"),1,0)</x:f>
        <x:v>0</x:v>
      </x:c>
      <x:c r="E8" s="62" t="n">
        <x:f>'Raw Results'!M8-'Raw Results'!I8</x:f>
        <x:v>9</x:v>
      </x:c>
      <x:c r="F8" s="63" t="str">
        <x:f>IF(D8=0,"Excluded",IF(E8&lt;0,"Grid Collision",IF(E8&gt;0,"Grid","Tie")))</x:f>
        <x:v>Excluded</x:v>
      </x:c>
      <x:c r="G8" s="64" t="n">
        <x:f>'Raw Results'!N8-'Raw Results'!J8</x:f>
        <x:v>-0.0015263999812304974</x:v>
      </x:c>
      <x:c r="H8" s="63" t="str">
        <x:f>IF(G8&lt;0,"Grid Collision",IF(G8&gt;0,"Grid","Tie"))</x:f>
        <x:v>Grid Collision</x:v>
      </x:c>
      <x:c r="I8" s="65" t="n">
        <x:f>IF('Raw Results'!J8=0,"",'Raw Results'!N8/'Raw Results'!J8)</x:f>
        <x:v>0.7038014517069451</x:v>
      </x:c>
    </x:row>
    <x:row r="9">
      <x:c r="A9" s="60" t="str">
        <x:f>'Raw Results'!A9</x:f>
        <x:v>50</x:v>
      </x:c>
      <x:c r="B9" s="61" t="str">
        <x:f>'Raw Results'!B9</x:f>
        <x:v>0.3</x:v>
      </x:c>
      <x:c r="C9" s="60" t="str">
        <x:f>'Raw Results'!C9</x:f>
        <x:v>3</x:v>
      </x:c>
      <x:c r="D9" s="60" t="n">
        <x:f>IF(AND('Raw Results'!K9="True",'Raw Results'!O9="True"),1,0)</x:f>
        <x:v>1</x:v>
      </x:c>
      <x:c r="E9" s="62" t="n">
        <x:f>'Raw Results'!M9-'Raw Results'!I9</x:f>
        <x:v>1</x:v>
      </x:c>
      <x:c r="F9" s="63" t="str">
        <x:f>IF(D9=0,"Excluded",IF(E9&lt;0,"Grid Collision",IF(E9&gt;0,"Grid","Tie")))</x:f>
        <x:v>Grid</x:v>
      </x:c>
      <x:c r="G9" s="64" t="n">
        <x:f>'Raw Results'!N9-'Raw Results'!J9</x:f>
        <x:v>0.001309199957177043</x:v>
      </x:c>
      <x:c r="H9" s="63" t="str">
        <x:f>IF(G9&lt;0,"Grid Collision",IF(G9&gt;0,"Grid","Tie"))</x:f>
        <x:v>Grid</x:v>
      </x:c>
      <x:c r="I9" s="65" t="n">
        <x:f>IF('Raw Results'!J9=0,"",'Raw Results'!N9/'Raw Results'!J9)</x:f>
        <x:v>1.2235884751575044</x:v>
      </x:c>
    </x:row>
    <x:row r="10">
      <x:c r="A10" s="60" t="str">
        <x:f>'Raw Results'!A10</x:f>
        <x:v>50</x:v>
      </x:c>
      <x:c r="B10" s="61" t="str">
        <x:f>'Raw Results'!B10</x:f>
        <x:v>0.3</x:v>
      </x:c>
      <x:c r="C10" s="60" t="str">
        <x:f>'Raw Results'!C10</x:f>
        <x:v>4</x:v>
      </x:c>
      <x:c r="D10" s="60" t="n">
        <x:f>IF(AND('Raw Results'!K10="True",'Raw Results'!O10="True"),1,0)</x:f>
        <x:v>1</x:v>
      </x:c>
      <x:c r="E10" s="62" t="n">
        <x:f>'Raw Results'!M10-'Raw Results'!I10</x:f>
        <x:v>-2</x:v>
      </x:c>
      <x:c r="F10" s="63" t="str">
        <x:f>IF(D10=0,"Excluded",IF(E10&lt;0,"Grid Collision",IF(E10&gt;0,"Grid","Tie")))</x:f>
        <x:v>Grid Collision</x:v>
      </x:c>
      <x:c r="G10" s="64" t="n">
        <x:f>'Raw Results'!N10-'Raw Results'!J10</x:f>
        <x:v>-0.0004263999289833009</x:v>
      </x:c>
      <x:c r="H10" s="63" t="str">
        <x:f>IF(G10&lt;0,"Grid Collision",IF(G10&gt;0,"Grid","Tie"))</x:f>
        <x:v>Grid Collision</x:v>
      </x:c>
      <x:c r="I10" s="65" t="n">
        <x:f>IF('Raw Results'!J10=0,"",'Raw Results'!N10/'Raw Results'!J10)</x:f>
        <x:v>0.9127570471167051</x:v>
      </x:c>
    </x:row>
    <x:row r="11">
      <x:c r="A11" s="60" t="str">
        <x:f>'Raw Results'!A11</x:f>
        <x:v>50</x:v>
      </x:c>
      <x:c r="B11" s="61" t="str">
        <x:f>'Raw Results'!B11</x:f>
        <x:v>0.3</x:v>
      </x:c>
      <x:c r="C11" s="60" t="str">
        <x:f>'Raw Results'!C11</x:f>
        <x:v>5</x:v>
      </x:c>
      <x:c r="D11" s="60" t="n">
        <x:f>IF(AND('Raw Results'!K11="True",'Raw Results'!O11="True"),1,0)</x:f>
        <x:v>1</x:v>
      </x:c>
      <x:c r="E11" s="62" t="n">
        <x:f>'Raw Results'!M11-'Raw Results'!I11</x:f>
        <x:v>0</x:v>
      </x:c>
      <x:c r="F11" s="63" t="str">
        <x:f>IF(D11=0,"Excluded",IF(E11&lt;0,"Grid Collision",IF(E11&gt;0,"Grid","Tie")))</x:f>
        <x:v>Tie</x:v>
      </x:c>
      <x:c r="G11" s="64" t="n">
        <x:f>'Raw Results'!N11-'Raw Results'!J11</x:f>
        <x:v>-0.0008282999624498188</x:v>
      </x:c>
      <x:c r="H11" s="63" t="str">
        <x:f>IF(G11&lt;0,"Grid Collision",IF(G11&gt;0,"Grid","Tie"))</x:f>
        <x:v>Grid Collision</x:v>
      </x:c>
      <x:c r="I11" s="65" t="n">
        <x:f>IF('Raw Results'!J11=0,"",'Raw Results'!N11/'Raw Results'!J11)</x:f>
        <x:v>0.833410436641515</x:v>
      </x:c>
    </x:row>
    <x:row r="12">
      <x:c r="A12" s="60" t="str">
        <x:f>'Raw Results'!A12</x:f>
        <x:v>50</x:v>
      </x:c>
      <x:c r="B12" s="61" t="str">
        <x:f>'Raw Results'!B12</x:f>
        <x:v>0.5</x:v>
      </x:c>
      <x:c r="C12" s="60" t="str">
        <x:f>'Raw Results'!C12</x:f>
        <x:v>1</x:v>
      </x:c>
      <x:c r="D12" s="60" t="n">
        <x:f>IF(AND('Raw Results'!K12="True",'Raw Results'!O12="True"),1,0)</x:f>
        <x:v>1</x:v>
      </x:c>
      <x:c r="E12" s="62" t="n">
        <x:f>'Raw Results'!M12-'Raw Results'!I12</x:f>
        <x:v>0</x:v>
      </x:c>
      <x:c r="F12" s="63" t="str">
        <x:f>IF(D12=0,"Excluded",IF(E12&lt;0,"Grid Collision",IF(E12&gt;0,"Grid","Tie")))</x:f>
        <x:v>Tie</x:v>
      </x:c>
      <x:c r="G12" s="64" t="n">
        <x:f>'Raw Results'!N12-'Raw Results'!J12</x:f>
        <x:v>-0.004607100039720535</x:v>
      </x:c>
      <x:c r="H12" s="63" t="str">
        <x:f>IF(G12&lt;0,"Grid Collision",IF(G12&gt;0,"Grid","Tie"))</x:f>
        <x:v>Grid Collision</x:v>
      </x:c>
      <x:c r="I12" s="65" t="n">
        <x:f>IF('Raw Results'!J12=0,"",'Raw Results'!N12/'Raw Results'!J12)</x:f>
        <x:v>0.785997963766063</x:v>
      </x:c>
    </x:row>
    <x:row r="13">
      <x:c r="A13" s="60" t="str">
        <x:f>'Raw Results'!A13</x:f>
        <x:v>50</x:v>
      </x:c>
      <x:c r="B13" s="61" t="str">
        <x:f>'Raw Results'!B13</x:f>
        <x:v>0.5</x:v>
      </x:c>
      <x:c r="C13" s="60" t="str">
        <x:f>'Raw Results'!C13</x:f>
        <x:v>2</x:v>
      </x:c>
      <x:c r="D13" s="60" t="n">
        <x:f>IF(AND('Raw Results'!K13="True",'Raw Results'!O13="True"),1,0)</x:f>
        <x:v>1</x:v>
      </x:c>
      <x:c r="E13" s="62" t="n">
        <x:f>'Raw Results'!M13-'Raw Results'!I13</x:f>
        <x:v>-2</x:v>
      </x:c>
      <x:c r="F13" s="63" t="str">
        <x:f>IF(D13=0,"Excluded",IF(E13&lt;0,"Grid Collision",IF(E13&gt;0,"Grid","Tie")))</x:f>
        <x:v>Grid Collision</x:v>
      </x:c>
      <x:c r="G13" s="64" t="n">
        <x:f>'Raw Results'!N13-'Raw Results'!J13</x:f>
        <x:v>-0.0067229000851511955</x:v>
      </x:c>
      <x:c r="H13" s="63" t="str">
        <x:f>IF(G13&lt;0,"Grid Collision",IF(G13&gt;0,"Grid","Tie"))</x:f>
        <x:v>Grid Collision</x:v>
      </x:c>
      <x:c r="I13" s="65" t="n">
        <x:f>IF('Raw Results'!J13=0,"",'Raw Results'!N13/'Raw Results'!J13)</x:f>
        <x:v>0.682594610656765</x:v>
      </x:c>
    </x:row>
    <x:row r="14">
      <x:c r="A14" s="60" t="str">
        <x:f>'Raw Results'!A14</x:f>
        <x:v>50</x:v>
      </x:c>
      <x:c r="B14" s="61" t="str">
        <x:f>'Raw Results'!B14</x:f>
        <x:v>0.5</x:v>
      </x:c>
      <x:c r="C14" s="60" t="str">
        <x:f>'Raw Results'!C14</x:f>
        <x:v>3</x:v>
      </x:c>
      <x:c r="D14" s="60" t="n">
        <x:f>IF(AND('Raw Results'!K14="True",'Raw Results'!O14="True"),1,0)</x:f>
        <x:v>1</x:v>
      </x:c>
      <x:c r="E14" s="62" t="n">
        <x:f>'Raw Results'!M14-'Raw Results'!I14</x:f>
        <x:v>0</x:v>
      </x:c>
      <x:c r="F14" s="63" t="str">
        <x:f>IF(D14=0,"Excluded",IF(E14&lt;0,"Grid Collision",IF(E14&gt;0,"Grid","Tie")))</x:f>
        <x:v>Tie</x:v>
      </x:c>
      <x:c r="G14" s="64" t="n">
        <x:f>'Raw Results'!N14-'Raw Results'!J14</x:f>
        <x:v>-0.003311700013000518</x:v>
      </x:c>
      <x:c r="H14" s="63" t="str">
        <x:f>IF(G14&lt;0,"Grid Collision",IF(G14&gt;0,"Grid","Tie"))</x:f>
        <x:v>Grid Collision</x:v>
      </x:c>
      <x:c r="I14" s="65" t="n">
        <x:f>IF('Raw Results'!J14=0,"",'Raw Results'!N14/'Raw Results'!J14)</x:f>
        <x:v>0.8551553104289394</x:v>
      </x:c>
    </x:row>
    <x:row r="15">
      <x:c r="A15" s="60" t="str">
        <x:f>'Raw Results'!A15</x:f>
        <x:v>50</x:v>
      </x:c>
      <x:c r="B15" s="61" t="str">
        <x:f>'Raw Results'!B15</x:f>
        <x:v>0.5</x:v>
      </x:c>
      <x:c r="C15" s="60" t="str">
        <x:f>'Raw Results'!C15</x:f>
        <x:v>4</x:v>
      </x:c>
      <x:c r="D15" s="60" t="n">
        <x:f>IF(AND('Raw Results'!K15="True",'Raw Results'!O15="True"),1,0)</x:f>
        <x:v>1</x:v>
      </x:c>
      <x:c r="E15" s="62" t="n">
        <x:f>'Raw Results'!M15-'Raw Results'!I15</x:f>
        <x:v>-2</x:v>
      </x:c>
      <x:c r="F15" s="63" t="str">
        <x:f>IF(D15=0,"Excluded",IF(E15&lt;0,"Grid Collision",IF(E15&gt;0,"Grid","Tie")))</x:f>
        <x:v>Grid Collision</x:v>
      </x:c>
      <x:c r="G15" s="64" t="n">
        <x:f>'Raw Results'!N15-'Raw Results'!J15</x:f>
        <x:v>-0.004107900022063404</x:v>
      </x:c>
      <x:c r="H15" s="63" t="str">
        <x:f>IF(G15&lt;0,"Grid Collision",IF(G15&gt;0,"Grid","Tie"))</x:f>
        <x:v>Grid Collision</x:v>
      </x:c>
      <x:c r="I15" s="65" t="n">
        <x:f>IF('Raw Results'!J15=0,"",'Raw Results'!N15/'Raw Results'!J15)</x:f>
        <x:v>0.7815237328243325</x:v>
      </x:c>
    </x:row>
    <x:row r="16">
      <x:c r="A16" s="60" t="str">
        <x:f>'Raw Results'!A16</x:f>
        <x:v>50</x:v>
      </x:c>
      <x:c r="B16" s="61" t="str">
        <x:f>'Raw Results'!B16</x:f>
        <x:v>0.5</x:v>
      </x:c>
      <x:c r="C16" s="60" t="str">
        <x:f>'Raw Results'!C16</x:f>
        <x:v>5</x:v>
      </x:c>
      <x:c r="D16" s="60" t="n">
        <x:f>IF(AND('Raw Results'!K16="True",'Raw Results'!O16="True"),1,0)</x:f>
        <x:v>1</x:v>
      </x:c>
      <x:c r="E16" s="62" t="n">
        <x:f>'Raw Results'!M16-'Raw Results'!I16</x:f>
        <x:v>1</x:v>
      </x:c>
      <x:c r="F16" s="63" t="str">
        <x:f>IF(D16=0,"Excluded",IF(E16&lt;0,"Grid Collision",IF(E16&gt;0,"Grid","Tie")))</x:f>
        <x:v>Grid</x:v>
      </x:c>
      <x:c r="G16" s="64" t="n">
        <x:f>'Raw Results'!N16-'Raw Results'!J16</x:f>
        <x:v>-0.0027990000089630485</x:v>
      </x:c>
      <x:c r="H16" s="63" t="str">
        <x:f>IF(G16&lt;0,"Grid Collision",IF(G16&gt;0,"Grid","Tie"))</x:f>
        <x:v>Grid Collision</x:v>
      </x:c>
      <x:c r="I16" s="65" t="n">
        <x:f>IF('Raw Results'!J16=0,"",'Raw Results'!N16/'Raw Results'!J16)</x:f>
        <x:v>0.8614863859118485</x:v>
      </x:c>
    </x:row>
    <x:row r="17">
      <x:c r="A17" s="60" t="str">
        <x:f>'Raw Results'!A17</x:f>
        <x:v>50</x:v>
      </x:c>
      <x:c r="B17" s="61" t="str">
        <x:f>'Raw Results'!B17</x:f>
        <x:v>0.7</x:v>
      </x:c>
      <x:c r="C17" s="60" t="str">
        <x:f>'Raw Results'!C17</x:f>
        <x:v>1</x:v>
      </x:c>
      <x:c r="D17" s="60" t="n">
        <x:f>IF(AND('Raw Results'!K17="True",'Raw Results'!O17="True"),1,0)</x:f>
        <x:v>1</x:v>
      </x:c>
      <x:c r="E17" s="62" t="n">
        <x:f>'Raw Results'!M17-'Raw Results'!I17</x:f>
        <x:v>-2</x:v>
      </x:c>
      <x:c r="F17" s="63" t="str">
        <x:f>IF(D17=0,"Excluded",IF(E17&lt;0,"Grid Collision",IF(E17&gt;0,"Grid","Tie")))</x:f>
        <x:v>Grid Collision</x:v>
      </x:c>
      <x:c r="G17" s="64" t="n">
        <x:f>'Raw Results'!N17-'Raw Results'!J17</x:f>
        <x:v>-0.0034680000389926136</x:v>
      </x:c>
      <x:c r="H17" s="63" t="str">
        <x:f>IF(G17&lt;0,"Grid Collision",IF(G17&gt;0,"Grid","Tie"))</x:f>
        <x:v>Grid Collision</x:v>
      </x:c>
      <x:c r="I17" s="65" t="n">
        <x:f>IF('Raw Results'!J17=0,"",'Raw Results'!N17/'Raw Results'!J17)</x:f>
        <x:v>0.8186353705730515</x:v>
      </x:c>
    </x:row>
    <x:row r="18">
      <x:c r="A18" s="60" t="str">
        <x:f>'Raw Results'!A18</x:f>
        <x:v>50</x:v>
      </x:c>
      <x:c r="B18" s="61" t="str">
        <x:f>'Raw Results'!B18</x:f>
        <x:v>0.7</x:v>
      </x:c>
      <x:c r="C18" s="60" t="str">
        <x:f>'Raw Results'!C18</x:f>
        <x:v>2</x:v>
      </x:c>
      <x:c r="D18" s="60" t="n">
        <x:f>IF(AND('Raw Results'!K18="True",'Raw Results'!O18="True"),1,0)</x:f>
        <x:v>1</x:v>
      </x:c>
      <x:c r="E18" s="62" t="n">
        <x:f>'Raw Results'!M18-'Raw Results'!I18</x:f>
        <x:v>-2</x:v>
      </x:c>
      <x:c r="F18" s="63" t="str">
        <x:f>IF(D18=0,"Excluded",IF(E18&lt;0,"Grid Collision",IF(E18&gt;0,"Grid","Tie")))</x:f>
        <x:v>Grid Collision</x:v>
      </x:c>
      <x:c r="G18" s="64" t="n">
        <x:f>'Raw Results'!N18-'Raw Results'!J18</x:f>
        <x:v>-0.0005388000281527638</x:v>
      </x:c>
      <x:c r="H18" s="63" t="str">
        <x:f>IF(G18&lt;0,"Grid Collision",IF(G18&gt;0,"Grid","Tie"))</x:f>
        <x:v>Grid Collision</x:v>
      </x:c>
      <x:c r="I18" s="65" t="n">
        <x:f>IF('Raw Results'!J18=0,"",'Raw Results'!N18/'Raw Results'!J18)</x:f>
        <x:v>0.9713045547515552</x:v>
      </x:c>
    </x:row>
    <x:row r="19">
      <x:c r="A19" s="60" t="str">
        <x:f>'Raw Results'!A19</x:f>
        <x:v>50</x:v>
      </x:c>
      <x:c r="B19" s="61" t="str">
        <x:f>'Raw Results'!B19</x:f>
        <x:v>0.7</x:v>
      </x:c>
      <x:c r="C19" s="60" t="str">
        <x:f>'Raw Results'!C19</x:f>
        <x:v>3</x:v>
      </x:c>
      <x:c r="D19" s="60" t="n">
        <x:f>IF(AND('Raw Results'!K19="True",'Raw Results'!O19="True"),1,0)</x:f>
        <x:v>1</x:v>
      </x:c>
      <x:c r="E19" s="62" t="n">
        <x:f>'Raw Results'!M19-'Raw Results'!I19</x:f>
        <x:v>-1</x:v>
      </x:c>
      <x:c r="F19" s="63" t="str">
        <x:f>IF(D19=0,"Excluded",IF(E19&lt;0,"Grid Collision",IF(E19&gt;0,"Grid","Tie")))</x:f>
        <x:v>Grid Collision</x:v>
      </x:c>
      <x:c r="G19" s="64" t="n">
        <x:f>'Raw Results'!N19-'Raw Results'!J19</x:f>
        <x:v>-0.0004393999697640538</x:v>
      </x:c>
      <x:c r="H19" s="63" t="str">
        <x:f>IF(G19&lt;0,"Grid Collision",IF(G19&gt;0,"Grid","Tie"))</x:f>
        <x:v>Grid Collision</x:v>
      </x:c>
      <x:c r="I19" s="65" t="n">
        <x:f>IF('Raw Results'!J19=0,"",'Raw Results'!N19/'Raw Results'!J19)</x:f>
        <x:v>0.980012192380638</x:v>
      </x:c>
    </x:row>
    <x:row r="20">
      <x:c r="A20" s="60" t="str">
        <x:f>'Raw Results'!A20</x:f>
        <x:v>50</x:v>
      </x:c>
      <x:c r="B20" s="61" t="str">
        <x:f>'Raw Results'!B20</x:f>
        <x:v>0.7</x:v>
      </x:c>
      <x:c r="C20" s="60" t="str">
        <x:f>'Raw Results'!C20</x:f>
        <x:v>4</x:v>
      </x:c>
      <x:c r="D20" s="60" t="n">
        <x:f>IF(AND('Raw Results'!K20="True",'Raw Results'!O20="True"),1,0)</x:f>
        <x:v>1</x:v>
      </x:c>
      <x:c r="E20" s="62" t="n">
        <x:f>'Raw Results'!M20-'Raw Results'!I20</x:f>
        <x:v>0</x:v>
      </x:c>
      <x:c r="F20" s="63" t="str">
        <x:f>IF(D20=0,"Excluded",IF(E20&lt;0,"Grid Collision",IF(E20&gt;0,"Grid","Tie")))</x:f>
        <x:v>Tie</x:v>
      </x:c>
      <x:c r="G20" s="64" t="n">
        <x:f>'Raw Results'!N20-'Raw Results'!J20</x:f>
        <x:v>0.00215419998858124</x:v>
      </x:c>
      <x:c r="H20" s="63" t="str">
        <x:f>IF(G20&lt;0,"Grid Collision",IF(G20&gt;0,"Grid","Tie"))</x:f>
        <x:v>Grid</x:v>
      </x:c>
      <x:c r="I20" s="65" t="n">
        <x:f>IF('Raw Results'!J20=0,"",'Raw Results'!N20/'Raw Results'!J20)</x:f>
        <x:v>1.1010754095311839</x:v>
      </x:c>
    </x:row>
    <x:row r="21">
      <x:c r="A21" s="60" t="str">
        <x:f>'Raw Results'!A21</x:f>
        <x:v>50</x:v>
      </x:c>
      <x:c r="B21" s="61" t="str">
        <x:f>'Raw Results'!B21</x:f>
        <x:v>0.7</x:v>
      </x:c>
      <x:c r="C21" s="60" t="str">
        <x:f>'Raw Results'!C21</x:f>
        <x:v>5</x:v>
      </x:c>
      <x:c r="D21" s="60" t="n">
        <x:f>IF(AND('Raw Results'!K21="True",'Raw Results'!O21="True"),1,0)</x:f>
        <x:v>1</x:v>
      </x:c>
      <x:c r="E21" s="62" t="n">
        <x:f>'Raw Results'!M21-'Raw Results'!I21</x:f>
        <x:v>0</x:v>
      </x:c>
      <x:c r="F21" s="63" t="str">
        <x:f>IF(D21=0,"Excluded",IF(E21&lt;0,"Grid Collision",IF(E21&gt;0,"Grid","Tie")))</x:f>
        <x:v>Tie</x:v>
      </x:c>
      <x:c r="G21" s="64" t="n">
        <x:f>'Raw Results'!N21-'Raw Results'!J21</x:f>
        <x:v>-0.004229700018186122</x:v>
      </x:c>
      <x:c r="H21" s="63" t="str">
        <x:f>IF(G21&lt;0,"Grid Collision",IF(G21&gt;0,"Grid","Tie"))</x:f>
        <x:v>Grid Collision</x:v>
      </x:c>
      <x:c r="I21" s="65" t="n">
        <x:f>IF('Raw Results'!J21=0,"",'Raw Results'!N21/'Raw Results'!J21)</x:f>
        <x:v>0.8004689069144582</x:v>
      </x:c>
    </x:row>
    <x:row r="22">
      <x:c r="A22" s="60" t="str">
        <x:f>'Raw Results'!A22</x:f>
        <x:v>100</x:v>
      </x:c>
      <x:c r="B22" s="61" t="str">
        <x:f>'Raw Results'!B22</x:f>
        <x:v>0.1</x:v>
      </x:c>
      <x:c r="C22" s="60" t="str">
        <x:f>'Raw Results'!C22</x:f>
        <x:v>1</x:v>
      </x:c>
      <x:c r="D22" s="60" t="n">
        <x:f>IF(AND('Raw Results'!K22="True",'Raw Results'!O22="True"),1,0)</x:f>
        <x:v>0</x:v>
      </x:c>
      <x:c r="E22" s="62" t="n">
        <x:f>'Raw Results'!M22-'Raw Results'!I22</x:f>
        <x:v>-4</x:v>
      </x:c>
      <x:c r="F22" s="63" t="str">
        <x:f>IF(D22=0,"Excluded",IF(E22&lt;0,"Grid Collision",IF(E22&gt;0,"Grid","Tie")))</x:f>
        <x:v>Excluded</x:v>
      </x:c>
      <x:c r="G22" s="64" t="n">
        <x:f>'Raw Results'!N22-'Raw Results'!J22</x:f>
        <x:v>-0.0005532000213861465</x:v>
      </x:c>
      <x:c r="H22" s="63" t="str">
        <x:f>IF(G22&lt;0,"Grid Collision",IF(G22&gt;0,"Grid","Tie"))</x:f>
        <x:v>Grid Collision</x:v>
      </x:c>
      <x:c r="I22" s="65" t="n">
        <x:f>IF('Raw Results'!J22=0,"",'Raw Results'!N22/'Raw Results'!J22)</x:f>
        <x:v>0.9054181092731822</x:v>
      </x:c>
    </x:row>
    <x:row r="23">
      <x:c r="A23" s="60" t="str">
        <x:f>'Raw Results'!A23</x:f>
        <x:v>100</x:v>
      </x:c>
      <x:c r="B23" s="61" t="str">
        <x:f>'Raw Results'!B23</x:f>
        <x:v>0.1</x:v>
      </x:c>
      <x:c r="C23" s="60" t="str">
        <x:f>'Raw Results'!C23</x:f>
        <x:v>2</x:v>
      </x:c>
      <x:c r="D23" s="60" t="n">
        <x:f>IF(AND('Raw Results'!K23="True",'Raw Results'!O23="True"),1,0)</x:f>
        <x:v>0</x:v>
      </x:c>
      <x:c r="E23" s="62" t="n">
        <x:f>'Raw Results'!M23-'Raw Results'!I23</x:f>
        <x:v>-8</x:v>
      </x:c>
      <x:c r="F23" s="63" t="str">
        <x:f>IF(D23=0,"Excluded",IF(E23&lt;0,"Grid Collision",IF(E23&gt;0,"Grid","Tie")))</x:f>
        <x:v>Excluded</x:v>
      </x:c>
      <x:c r="G23" s="64" t="n">
        <x:f>'Raw Results'!N23-'Raw Results'!J23</x:f>
        <x:v>0.0008048999588936567</x:v>
      </x:c>
      <x:c r="H23" s="63" t="str">
        <x:f>IF(G23&lt;0,"Grid Collision",IF(G23&gt;0,"Grid","Tie"))</x:f>
        <x:v>Grid</x:v>
      </x:c>
      <x:c r="I23" s="65" t="n">
        <x:f>IF('Raw Results'!J23=0,"",'Raw Results'!N23/'Raw Results'!J23)</x:f>
        <x:v>1.1363844245897992</x:v>
      </x:c>
    </x:row>
    <x:row r="24">
      <x:c r="A24" s="60" t="str">
        <x:f>'Raw Results'!A24</x:f>
        <x:v>100</x:v>
      </x:c>
      <x:c r="B24" s="61" t="str">
        <x:f>'Raw Results'!B24</x:f>
        <x:v>0.1</x:v>
      </x:c>
      <x:c r="C24" s="60" t="str">
        <x:f>'Raw Results'!C24</x:f>
        <x:v>3</x:v>
      </x:c>
      <x:c r="D24" s="60" t="n">
        <x:f>IF(AND('Raw Results'!K24="True",'Raw Results'!O24="True"),1,0)</x:f>
        <x:v>0</x:v>
      </x:c>
      <x:c r="E24" s="62" t="n">
        <x:f>'Raw Results'!M24-'Raw Results'!I24</x:f>
        <x:v>-2</x:v>
      </x:c>
      <x:c r="F24" s="63" t="str">
        <x:f>IF(D24=0,"Excluded",IF(E24&lt;0,"Grid Collision",IF(E24&gt;0,"Grid","Tie")))</x:f>
        <x:v>Excluded</x:v>
      </x:c>
      <x:c r="G24" s="64" t="n">
        <x:f>'Raw Results'!N24-'Raw Results'!J24</x:f>
        <x:v>0.00017630000365898013</x:v>
      </x:c>
      <x:c r="H24" s="63" t="str">
        <x:f>IF(G24&lt;0,"Grid Collision",IF(G24&gt;0,"Grid","Tie"))</x:f>
        <x:v>Grid</x:v>
      </x:c>
      <x:c r="I24" s="65" t="n">
        <x:f>IF('Raw Results'!J24=0,"",'Raw Results'!N24/'Raw Results'!J24)</x:f>
        <x:v>1.0358486351795484</x:v>
      </x:c>
    </x:row>
    <x:row r="25">
      <x:c r="A25" s="60" t="str">
        <x:f>'Raw Results'!A25</x:f>
        <x:v>100</x:v>
      </x:c>
      <x:c r="B25" s="61" t="str">
        <x:f>'Raw Results'!B25</x:f>
        <x:v>0.1</x:v>
      </x:c>
      <x:c r="C25" s="60" t="str">
        <x:f>'Raw Results'!C25</x:f>
        <x:v>4</x:v>
      </x:c>
      <x:c r="D25" s="60" t="n">
        <x:f>IF(AND('Raw Results'!K25="True",'Raw Results'!O25="True"),1,0)</x:f>
        <x:v>0</x:v>
      </x:c>
      <x:c r="E25" s="62" t="n">
        <x:f>'Raw Results'!M25-'Raw Results'!I25</x:f>
        <x:v>-10</x:v>
      </x:c>
      <x:c r="F25" s="63" t="str">
        <x:f>IF(D25=0,"Excluded",IF(E25&lt;0,"Grid Collision",IF(E25&gt;0,"Grid","Tie")))</x:f>
        <x:v>Excluded</x:v>
      </x:c>
      <x:c r="G25" s="64" t="n">
        <x:f>'Raw Results'!N25-'Raw Results'!J25</x:f>
        <x:v>-0.0009803999564610422</x:v>
      </x:c>
      <x:c r="H25" s="63" t="str">
        <x:f>IF(G25&lt;0,"Grid Collision",IF(G25&gt;0,"Grid","Tie"))</x:f>
        <x:v>Grid Collision</x:v>
      </x:c>
      <x:c r="I25" s="65" t="n">
        <x:f>IF('Raw Results'!J25=0,"",'Raw Results'!N25/'Raw Results'!J25)</x:f>
        <x:v>0.8405101650446797</x:v>
      </x:c>
    </x:row>
    <x:row r="26">
      <x:c r="A26" s="60" t="str">
        <x:f>'Raw Results'!A26</x:f>
        <x:v>100</x:v>
      </x:c>
      <x:c r="B26" s="61" t="str">
        <x:f>'Raw Results'!B26</x:f>
        <x:v>0.1</x:v>
      </x:c>
      <x:c r="C26" s="60" t="str">
        <x:f>'Raw Results'!C26</x:f>
        <x:v>5</x:v>
      </x:c>
      <x:c r="D26" s="60" t="n">
        <x:f>IF(AND('Raw Results'!K26="True",'Raw Results'!O26="True"),1,0)</x:f>
        <x:v>0</x:v>
      </x:c>
      <x:c r="E26" s="62" t="n">
        <x:f>'Raw Results'!M26-'Raw Results'!I26</x:f>
        <x:v>-8</x:v>
      </x:c>
      <x:c r="F26" s="63" t="str">
        <x:f>IF(D26=0,"Excluded",IF(E26&lt;0,"Grid Collision",IF(E26&gt;0,"Grid","Tie")))</x:f>
        <x:v>Excluded</x:v>
      </x:c>
      <x:c r="G26" s="64" t="n">
        <x:f>'Raw Results'!N26-'Raw Results'!J26</x:f>
        <x:v>-0.00044049997813999653</x:v>
      </x:c>
      <x:c r="H26" s="63" t="str">
        <x:f>IF(G26&lt;0,"Grid Collision",IF(G26&gt;0,"Grid","Tie"))</x:f>
        <x:v>Grid Collision</x:v>
      </x:c>
      <x:c r="I26" s="65" t="n">
        <x:f>IF('Raw Results'!J26=0,"",'Raw Results'!N26/'Raw Results'!J26)</x:f>
        <x:v>0.9182654881719612</x:v>
      </x:c>
    </x:row>
    <x:row r="27">
      <x:c r="A27" s="60" t="str">
        <x:f>'Raw Results'!A27</x:f>
        <x:v>100</x:v>
      </x:c>
      <x:c r="B27" s="61" t="str">
        <x:f>'Raw Results'!B27</x:f>
        <x:v>0.3</x:v>
      </x:c>
      <x:c r="C27" s="60" t="str">
        <x:f>'Raw Results'!C27</x:f>
        <x:v>1</x:v>
      </x:c>
      <x:c r="D27" s="60" t="n">
        <x:f>IF(AND('Raw Results'!K27="True",'Raw Results'!O27="True"),1,0)</x:f>
        <x:v>0</x:v>
      </x:c>
      <x:c r="E27" s="62" t="n">
        <x:f>'Raw Results'!M27-'Raw Results'!I27</x:f>
        <x:v>18</x:v>
      </x:c>
      <x:c r="F27" s="63" t="str">
        <x:f>IF(D27=0,"Excluded",IF(E27&lt;0,"Grid Collision",IF(E27&gt;0,"Grid","Tie")))</x:f>
        <x:v>Excluded</x:v>
      </x:c>
      <x:c r="G27" s="64" t="n">
        <x:f>'Raw Results'!N27-'Raw Results'!J27</x:f>
        <x:v>-0.010232799977529794</x:v>
      </x:c>
      <x:c r="H27" s="63" t="str">
        <x:f>IF(G27&lt;0,"Grid Collision",IF(G27&gt;0,"Grid","Tie"))</x:f>
        <x:v>Grid Collision</x:v>
      </x:c>
      <x:c r="I27" s="65" t="n">
        <x:f>IF('Raw Results'!J27=0,"",'Raw Results'!N27/'Raw Results'!J27)</x:f>
        <x:v>0.6149463785441694</x:v>
      </x:c>
    </x:row>
    <x:row r="28">
      <x:c r="A28" s="60" t="str">
        <x:f>'Raw Results'!A28</x:f>
        <x:v>100</x:v>
      </x:c>
      <x:c r="B28" s="61" t="str">
        <x:f>'Raw Results'!B28</x:f>
        <x:v>0.3</x:v>
      </x:c>
      <x:c r="C28" s="60" t="str">
        <x:f>'Raw Results'!C28</x:f>
        <x:v>2</x:v>
      </x:c>
      <x:c r="D28" s="60" t="n">
        <x:f>IF(AND('Raw Results'!K28="True",'Raw Results'!O28="True"),1,0)</x:f>
        <x:v>1</x:v>
      </x:c>
      <x:c r="E28" s="62" t="n">
        <x:f>'Raw Results'!M28-'Raw Results'!I28</x:f>
        <x:v>-1</x:v>
      </x:c>
      <x:c r="F28" s="63" t="str">
        <x:f>IF(D28=0,"Excluded",IF(E28&lt;0,"Grid Collision",IF(E28&gt;0,"Grid","Tie")))</x:f>
        <x:v>Grid Collision</x:v>
      </x:c>
      <x:c r="G28" s="64" t="n">
        <x:f>'Raw Results'!N28-'Raw Results'!J28</x:f>
        <x:v>-0.0022328999475575984</x:v>
      </x:c>
      <x:c r="H28" s="63" t="str">
        <x:f>IF(G28&lt;0,"Grid Collision",IF(G28&gt;0,"Grid","Tie"))</x:f>
        <x:v>Grid Collision</x:v>
      </x:c>
      <x:c r="I28" s="65" t="n">
        <x:f>IF('Raw Results'!J28=0,"",'Raw Results'!N28/'Raw Results'!J28)</x:f>
        <x:v>0.8890572700642884</x:v>
      </x:c>
    </x:row>
    <x:row r="29">
      <x:c r="A29" s="60" t="str">
        <x:f>'Raw Results'!A29</x:f>
        <x:v>100</x:v>
      </x:c>
      <x:c r="B29" s="61" t="str">
        <x:f>'Raw Results'!B29</x:f>
        <x:v>0.3</x:v>
      </x:c>
      <x:c r="C29" s="60" t="str">
        <x:f>'Raw Results'!C29</x:f>
        <x:v>3</x:v>
      </x:c>
      <x:c r="D29" s="60" t="n">
        <x:f>IF(AND('Raw Results'!K29="True",'Raw Results'!O29="True"),1,0)</x:f>
        <x:v>1</x:v>
      </x:c>
      <x:c r="E29" s="62" t="n">
        <x:f>'Raw Results'!M29-'Raw Results'!I29</x:f>
        <x:v>-1</x:v>
      </x:c>
      <x:c r="F29" s="63" t="str">
        <x:f>IF(D29=0,"Excluded",IF(E29&lt;0,"Grid Collision",IF(E29&gt;0,"Grid","Tie")))</x:f>
        <x:v>Grid Collision</x:v>
      </x:c>
      <x:c r="G29" s="64" t="n">
        <x:f>'Raw Results'!N29-'Raw Results'!J29</x:f>
        <x:v>-0.012374999991152436</x:v>
      </x:c>
      <x:c r="H29" s="63" t="str">
        <x:f>IF(G29&lt;0,"Grid Collision",IF(G29&gt;0,"Grid","Tie"))</x:f>
        <x:v>Grid Collision</x:v>
      </x:c>
      <x:c r="I29" s="65" t="n">
        <x:f>IF('Raw Results'!J29=0,"",'Raw Results'!N29/'Raw Results'!J29)</x:f>
        <x:v>0.5790701789861022</x:v>
      </x:c>
    </x:row>
    <x:row r="30">
      <x:c r="A30" s="60" t="str">
        <x:f>'Raw Results'!A30</x:f>
        <x:v>100</x:v>
      </x:c>
      <x:c r="B30" s="61" t="str">
        <x:f>'Raw Results'!B30</x:f>
        <x:v>0.3</x:v>
      </x:c>
      <x:c r="C30" s="60" t="str">
        <x:f>'Raw Results'!C30</x:f>
        <x:v>4</x:v>
      </x:c>
      <x:c r="D30" s="60" t="n">
        <x:f>IF(AND('Raw Results'!K30="True",'Raw Results'!O30="True"),1,0)</x:f>
        <x:v>1</x:v>
      </x:c>
      <x:c r="E30" s="62" t="n">
        <x:f>'Raw Results'!M30-'Raw Results'!I30</x:f>
        <x:v>2</x:v>
      </x:c>
      <x:c r="F30" s="63" t="str">
        <x:f>IF(D30=0,"Excluded",IF(E30&lt;0,"Grid Collision",IF(E30&gt;0,"Grid","Tie")))</x:f>
        <x:v>Grid</x:v>
      </x:c>
      <x:c r="G30" s="64" t="n">
        <x:f>'Raw Results'!N30-'Raw Results'!J30</x:f>
        <x:v>-0.005417199980001897</x:v>
      </x:c>
      <x:c r="H30" s="63" t="str">
        <x:f>IF(G30&lt;0,"Grid Collision",IF(G30&gt;0,"Grid","Tie"))</x:f>
        <x:v>Grid Collision</x:v>
      </x:c>
      <x:c r="I30" s="65" t="n">
        <x:f>IF('Raw Results'!J30=0,"",'Raw Results'!N30/'Raw Results'!J30)</x:f>
        <x:v>0.7342425438132225</x:v>
      </x:c>
    </x:row>
    <x:row r="31">
      <x:c r="A31" s="60" t="str">
        <x:f>'Raw Results'!A31</x:f>
        <x:v>100</x:v>
      </x:c>
      <x:c r="B31" s="61" t="str">
        <x:f>'Raw Results'!B31</x:f>
        <x:v>0.3</x:v>
      </x:c>
      <x:c r="C31" s="60" t="str">
        <x:f>'Raw Results'!C31</x:f>
        <x:v>5</x:v>
      </x:c>
      <x:c r="D31" s="60" t="n">
        <x:f>IF(AND('Raw Results'!K31="True",'Raw Results'!O31="True"),1,0)</x:f>
        <x:v>1</x:v>
      </x:c>
      <x:c r="E31" s="62" t="n">
        <x:f>'Raw Results'!M31-'Raw Results'!I31</x:f>
        <x:v>0</x:v>
      </x:c>
      <x:c r="F31" s="63" t="str">
        <x:f>IF(D31=0,"Excluded",IF(E31&lt;0,"Grid Collision",IF(E31&gt;0,"Grid","Tie")))</x:f>
        <x:v>Tie</x:v>
      </x:c>
      <x:c r="G31" s="64" t="n">
        <x:f>'Raw Results'!N31-'Raw Results'!J31</x:f>
        <x:v>-0.008030799974221736</x:v>
      </x:c>
      <x:c r="H31" s="63" t="str">
        <x:f>IF(G31&lt;0,"Grid Collision",IF(G31&gt;0,"Grid","Tie"))</x:f>
        <x:v>Grid Collision</x:v>
      </x:c>
      <x:c r="I31" s="65" t="n">
        <x:f>IF('Raw Results'!J31=0,"",'Raw Results'!N31/'Raw Results'!J31)</x:f>
        <x:v>0.6906125884111359</x:v>
      </x:c>
    </x:row>
    <x:row r="32">
      <x:c r="A32" s="60" t="str">
        <x:f>'Raw Results'!A32</x:f>
        <x:v>100</x:v>
      </x:c>
      <x:c r="B32" s="61" t="str">
        <x:f>'Raw Results'!B32</x:f>
        <x:v>0.5</x:v>
      </x:c>
      <x:c r="C32" s="60" t="str">
        <x:f>'Raw Results'!C32</x:f>
        <x:v>1</x:v>
      </x:c>
      <x:c r="D32" s="60" t="n">
        <x:f>IF(AND('Raw Results'!K32="True",'Raw Results'!O32="True"),1,0)</x:f>
        <x:v>1</x:v>
      </x:c>
      <x:c r="E32" s="62" t="n">
        <x:f>'Raw Results'!M32-'Raw Results'!I32</x:f>
        <x:v>-2</x:v>
      </x:c>
      <x:c r="F32" s="63" t="str">
        <x:f>IF(D32=0,"Excluded",IF(E32&lt;0,"Grid Collision",IF(E32&gt;0,"Grid","Tie")))</x:f>
        <x:v>Grid Collision</x:v>
      </x:c>
      <x:c r="G32" s="64" t="n">
        <x:f>'Raw Results'!N32-'Raw Results'!J32</x:f>
        <x:v>-0.045503899978939444</x:v>
      </x:c>
      <x:c r="H32" s="63" t="str">
        <x:f>IF(G32&lt;0,"Grid Collision",IF(G32&gt;0,"Grid","Tie"))</x:f>
        <x:v>Grid Collision</x:v>
      </x:c>
      <x:c r="I32" s="65" t="n">
        <x:f>IF('Raw Results'!J32=0,"",'Raw Results'!N32/'Raw Results'!J32)</x:f>
        <x:v>0.6528905259014951</x:v>
      </x:c>
    </x:row>
    <x:row r="33">
      <x:c r="A33" s="60" t="str">
        <x:f>'Raw Results'!A33</x:f>
        <x:v>100</x:v>
      </x:c>
      <x:c r="B33" s="61" t="str">
        <x:f>'Raw Results'!B33</x:f>
        <x:v>0.5</x:v>
      </x:c>
      <x:c r="C33" s="60" t="str">
        <x:f>'Raw Results'!C33</x:f>
        <x:v>2</x:v>
      </x:c>
      <x:c r="D33" s="60" t="n">
        <x:f>IF(AND('Raw Results'!K33="True",'Raw Results'!O33="True"),1,0)</x:f>
        <x:v>1</x:v>
      </x:c>
      <x:c r="E33" s="62" t="n">
        <x:f>'Raw Results'!M33-'Raw Results'!I33</x:f>
        <x:v>-3</x:v>
      </x:c>
      <x:c r="F33" s="63" t="str">
        <x:f>IF(D33=0,"Excluded",IF(E33&lt;0,"Grid Collision",IF(E33&gt;0,"Grid","Tie")))</x:f>
        <x:v>Grid Collision</x:v>
      </x:c>
      <x:c r="G33" s="64" t="n">
        <x:f>'Raw Results'!N33-'Raw Results'!J33</x:f>
        <x:v>-0.03696930001024157</x:v>
      </x:c>
      <x:c r="H33" s="63" t="str">
        <x:f>IF(G33&lt;0,"Grid Collision",IF(G33&gt;0,"Grid","Tie"))</x:f>
        <x:v>Grid Collision</x:v>
      </x:c>
      <x:c r="I33" s="65" t="n">
        <x:f>IF('Raw Results'!J33=0,"",'Raw Results'!N33/'Raw Results'!J33)</x:f>
        <x:v>0.6993935716891763</x:v>
      </x:c>
    </x:row>
    <x:row r="34">
      <x:c r="A34" s="60" t="str">
        <x:f>'Raw Results'!A34</x:f>
        <x:v>100</x:v>
      </x:c>
      <x:c r="B34" s="61" t="str">
        <x:f>'Raw Results'!B34</x:f>
        <x:v>0.5</x:v>
      </x:c>
      <x:c r="C34" s="60" t="str">
        <x:f>'Raw Results'!C34</x:f>
        <x:v>3</x:v>
      </x:c>
      <x:c r="D34" s="60" t="n">
        <x:f>IF(AND('Raw Results'!K34="True",'Raw Results'!O34="True"),1,0)</x:f>
        <x:v>1</x:v>
      </x:c>
      <x:c r="E34" s="62" t="n">
        <x:f>'Raw Results'!M34-'Raw Results'!I34</x:f>
        <x:v>-4</x:v>
      </x:c>
      <x:c r="F34" s="63" t="str">
        <x:f>IF(D34=0,"Excluded",IF(E34&lt;0,"Grid Collision",IF(E34&gt;0,"Grid","Tie")))</x:f>
        <x:v>Grid Collision</x:v>
      </x:c>
      <x:c r="G34" s="64" t="n">
        <x:f>'Raw Results'!N34-'Raw Results'!J34</x:f>
        <x:v>-0.045173500024247915</x:v>
      </x:c>
      <x:c r="H34" s="63" t="str">
        <x:f>IF(G34&lt;0,"Grid Collision",IF(G34&gt;0,"Grid","Tie"))</x:f>
        <x:v>Grid Collision</x:v>
      </x:c>
      <x:c r="I34" s="65" t="n">
        <x:f>IF('Raw Results'!J34=0,"",'Raw Results'!N34/'Raw Results'!J34)</x:f>
        <x:v>0.6705196661735522</x:v>
      </x:c>
    </x:row>
    <x:row r="35">
      <x:c r="A35" s="60" t="str">
        <x:f>'Raw Results'!A35</x:f>
        <x:v>100</x:v>
      </x:c>
      <x:c r="B35" s="61" t="str">
        <x:f>'Raw Results'!B35</x:f>
        <x:v>0.5</x:v>
      </x:c>
      <x:c r="C35" s="60" t="str">
        <x:f>'Raw Results'!C35</x:f>
        <x:v>4</x:v>
      </x:c>
      <x:c r="D35" s="60" t="n">
        <x:f>IF(AND('Raw Results'!K35="True",'Raw Results'!O35="True"),1,0)</x:f>
        <x:v>1</x:v>
      </x:c>
      <x:c r="E35" s="62" t="n">
        <x:f>'Raw Results'!M35-'Raw Results'!I35</x:f>
        <x:v>-5</x:v>
      </x:c>
      <x:c r="F35" s="63" t="str">
        <x:f>IF(D35=0,"Excluded",IF(E35&lt;0,"Grid Collision",IF(E35&gt;0,"Grid","Tie")))</x:f>
        <x:v>Grid Collision</x:v>
      </x:c>
      <x:c r="G35" s="64" t="n">
        <x:f>'Raw Results'!N35-'Raw Results'!J35</x:f>
        <x:v>-0.02723350003361702</x:v>
      </x:c>
      <x:c r="H35" s="63" t="str">
        <x:f>IF(G35&lt;0,"Grid Collision",IF(G35&gt;0,"Grid","Tie"))</x:f>
        <x:v>Grid Collision</x:v>
      </x:c>
      <x:c r="I35" s="65" t="n">
        <x:f>IF('Raw Results'!J35=0,"",'Raw Results'!N35/'Raw Results'!J35)</x:f>
        <x:v>0.7591400908788096</x:v>
      </x:c>
    </x:row>
    <x:row r="36">
      <x:c r="A36" s="60" t="str">
        <x:f>'Raw Results'!A36</x:f>
        <x:v>100</x:v>
      </x:c>
      <x:c r="B36" s="61" t="str">
        <x:f>'Raw Results'!B36</x:f>
        <x:v>0.5</x:v>
      </x:c>
      <x:c r="C36" s="60" t="str">
        <x:f>'Raw Results'!C36</x:f>
        <x:v>5</x:v>
      </x:c>
      <x:c r="D36" s="60" t="n">
        <x:f>IF(AND('Raw Results'!K36="True",'Raw Results'!O36="True"),1,0)</x:f>
        <x:v>1</x:v>
      </x:c>
      <x:c r="E36" s="62" t="n">
        <x:f>'Raw Results'!M36-'Raw Results'!I36</x:f>
        <x:v>-1</x:v>
      </x:c>
      <x:c r="F36" s="63" t="str">
        <x:f>IF(D36=0,"Excluded",IF(E36&lt;0,"Grid Collision",IF(E36&gt;0,"Grid","Tie")))</x:f>
        <x:v>Grid Collision</x:v>
      </x:c>
      <x:c r="G36" s="64" t="n">
        <x:f>'Raw Results'!N36-'Raw Results'!J36</x:f>
        <x:v>-0.036972900037653744</x:v>
      </x:c>
      <x:c r="H36" s="63" t="str">
        <x:f>IF(G36&lt;0,"Grid Collision",IF(G36&gt;0,"Grid","Tie"))</x:f>
        <x:v>Grid Collision</x:v>
      </x:c>
      <x:c r="I36" s="65" t="n">
        <x:f>IF('Raw Results'!J36=0,"",'Raw Results'!N36/'Raw Results'!J36)</x:f>
        <x:v>0.7185890212237788</x:v>
      </x:c>
    </x:row>
    <x:row r="37">
      <x:c r="A37" s="60" t="str">
        <x:f>'Raw Results'!A37</x:f>
        <x:v>100</x:v>
      </x:c>
      <x:c r="B37" s="61" t="str">
        <x:f>'Raw Results'!B37</x:f>
        <x:v>0.7</x:v>
      </x:c>
      <x:c r="C37" s="60" t="str">
        <x:f>'Raw Results'!C37</x:f>
        <x:v>1</x:v>
      </x:c>
      <x:c r="D37" s="60" t="n">
        <x:f>IF(AND('Raw Results'!K37="True",'Raw Results'!O37="True"),1,0)</x:f>
        <x:v>1</x:v>
      </x:c>
      <x:c r="E37" s="62" t="n">
        <x:f>'Raw Results'!M37-'Raw Results'!I37</x:f>
        <x:v>-3</x:v>
      </x:c>
      <x:c r="F37" s="63" t="str">
        <x:f>IF(D37=0,"Excluded",IF(E37&lt;0,"Grid Collision",IF(E37&gt;0,"Grid","Tie")))</x:f>
        <x:v>Grid Collision</x:v>
      </x:c>
      <x:c r="G37" s="64" t="n">
        <x:f>'Raw Results'!N37-'Raw Results'!J37</x:f>
        <x:v>-0.015377899981103837</x:v>
      </x:c>
      <x:c r="H37" s="63" t="str">
        <x:f>IF(G37&lt;0,"Grid Collision",IF(G37&gt;0,"Grid","Tie"))</x:f>
        <x:v>Grid Collision</x:v>
      </x:c>
      <x:c r="I37" s="65" t="n">
        <x:f>IF('Raw Results'!J37=0,"",'Raw Results'!N37/'Raw Results'!J37)</x:f>
        <x:v>0.895423081025358</x:v>
      </x:c>
    </x:row>
    <x:row r="38">
      <x:c r="A38" s="60" t="str">
        <x:f>'Raw Results'!A38</x:f>
        <x:v>100</x:v>
      </x:c>
      <x:c r="B38" s="61" t="str">
        <x:f>'Raw Results'!B38</x:f>
        <x:v>0.7</x:v>
      </x:c>
      <x:c r="C38" s="60" t="str">
        <x:f>'Raw Results'!C38</x:f>
        <x:v>2</x:v>
      </x:c>
      <x:c r="D38" s="60" t="n">
        <x:f>IF(AND('Raw Results'!K38="True",'Raw Results'!O38="True"),1,0)</x:f>
        <x:v>1</x:v>
      </x:c>
      <x:c r="E38" s="62" t="n">
        <x:f>'Raw Results'!M38-'Raw Results'!I38</x:f>
        <x:v>-5</x:v>
      </x:c>
      <x:c r="F38" s="63" t="str">
        <x:f>IF(D38=0,"Excluded",IF(E38&lt;0,"Grid Collision",IF(E38&gt;0,"Grid","Tie")))</x:f>
        <x:v>Grid Collision</x:v>
      </x:c>
      <x:c r="G38" s="64" t="n">
        <x:f>'Raw Results'!N38-'Raw Results'!J38</x:f>
        <x:v>-0.01839849998941645</x:v>
      </x:c>
      <x:c r="H38" s="63" t="str">
        <x:f>IF(G38&lt;0,"Grid Collision",IF(G38&gt;0,"Grid","Tie"))</x:f>
        <x:v>Grid Collision</x:v>
      </x:c>
      <x:c r="I38" s="65" t="n">
        <x:f>IF('Raw Results'!J38=0,"",'Raw Results'!N38/'Raw Results'!J38)</x:f>
        <x:v>0.8766812762850843</x:v>
      </x:c>
    </x:row>
    <x:row r="39">
      <x:c r="A39" s="60" t="str">
        <x:f>'Raw Results'!A39</x:f>
        <x:v>100</x:v>
      </x:c>
      <x:c r="B39" s="61" t="str">
        <x:f>'Raw Results'!B39</x:f>
        <x:v>0.7</x:v>
      </x:c>
      <x:c r="C39" s="60" t="str">
        <x:f>'Raw Results'!C39</x:f>
        <x:v>3</x:v>
      </x:c>
      <x:c r="D39" s="60" t="n">
        <x:f>IF(AND('Raw Results'!K39="True",'Raw Results'!O39="True"),1,0)</x:f>
        <x:v>1</x:v>
      </x:c>
      <x:c r="E39" s="62" t="n">
        <x:f>'Raw Results'!M39-'Raw Results'!I39</x:f>
        <x:v>-1</x:v>
      </x:c>
      <x:c r="F39" s="63" t="str">
        <x:f>IF(D39=0,"Excluded",IF(E39&lt;0,"Grid Collision",IF(E39&gt;0,"Grid","Tie")))</x:f>
        <x:v>Grid Collision</x:v>
      </x:c>
      <x:c r="G39" s="64" t="n">
        <x:f>'Raw Results'!N39-'Raw Results'!J39</x:f>
        <x:v>-0.03961800003889948</x:v>
      </x:c>
      <x:c r="H39" s="63" t="str">
        <x:f>IF(G39&lt;0,"Grid Collision",IF(G39&gt;0,"Grid","Tie"))</x:f>
        <x:v>Grid Collision</x:v>
      </x:c>
      <x:c r="I39" s="65" t="n">
        <x:f>IF('Raw Results'!J39=0,"",'Raw Results'!N39/'Raw Results'!J39)</x:f>
        <x:v>0.7412592205799245</x:v>
      </x:c>
    </x:row>
    <x:row r="40">
      <x:c r="A40" s="60" t="str">
        <x:f>'Raw Results'!A40</x:f>
        <x:v>100</x:v>
      </x:c>
      <x:c r="B40" s="61" t="str">
        <x:f>'Raw Results'!B40</x:f>
        <x:v>0.7</x:v>
      </x:c>
      <x:c r="C40" s="60" t="str">
        <x:f>'Raw Results'!C40</x:f>
        <x:v>4</x:v>
      </x:c>
      <x:c r="D40" s="60" t="n">
        <x:f>IF(AND('Raw Results'!K40="True",'Raw Results'!O40="True"),1,0)</x:f>
        <x:v>1</x:v>
      </x:c>
      <x:c r="E40" s="62" t="n">
        <x:f>'Raw Results'!M40-'Raw Results'!I40</x:f>
        <x:v>-4</x:v>
      </x:c>
      <x:c r="F40" s="63" t="str">
        <x:f>IF(D40=0,"Excluded",IF(E40&lt;0,"Grid Collision",IF(E40&gt;0,"Grid","Tie")))</x:f>
        <x:v>Grid Collision</x:v>
      </x:c>
      <x:c r="G40" s="64" t="n">
        <x:f>'Raw Results'!N40-'Raw Results'!J40</x:f>
        <x:v>-0.02862599998479709</x:v>
      </x:c>
      <x:c r="H40" s="63" t="str">
        <x:f>IF(G40&lt;0,"Grid Collision",IF(G40&gt;0,"Grid","Tie"))</x:f>
        <x:v>Grid Collision</x:v>
      </x:c>
      <x:c r="I40" s="65" t="n">
        <x:f>IF('Raw Results'!J40=0,"",'Raw Results'!N40/'Raw Results'!J40)</x:f>
        <x:v>0.8019999212389642</x:v>
      </x:c>
    </x:row>
    <x:row r="41">
      <x:c r="A41" s="60" t="str">
        <x:f>'Raw Results'!A41</x:f>
        <x:v>100</x:v>
      </x:c>
      <x:c r="B41" s="61" t="str">
        <x:f>'Raw Results'!B41</x:f>
        <x:v>0.7</x:v>
      </x:c>
      <x:c r="C41" s="60" t="str">
        <x:f>'Raw Results'!C41</x:f>
        <x:v>5</x:v>
      </x:c>
      <x:c r="D41" s="60" t="n">
        <x:f>IF(AND('Raw Results'!K41="True",'Raw Results'!O41="True"),1,0)</x:f>
        <x:v>1</x:v>
      </x:c>
      <x:c r="E41" s="62" t="n">
        <x:f>'Raw Results'!M41-'Raw Results'!I41</x:f>
        <x:v>-5</x:v>
      </x:c>
      <x:c r="F41" s="63" t="str">
        <x:f>IF(D41=0,"Excluded",IF(E41&lt;0,"Grid Collision",IF(E41&gt;0,"Grid","Tie")))</x:f>
        <x:v>Grid Collision</x:v>
      </x:c>
      <x:c r="G41" s="64" t="n">
        <x:f>'Raw Results'!N41-'Raw Results'!J41</x:f>
        <x:v>0.03461409994633868</x:v>
      </x:c>
      <x:c r="H41" s="63" t="str">
        <x:f>IF(G41&lt;0,"Grid Collision",IF(G41&gt;0,"Grid","Tie"))</x:f>
        <x:v>Grid</x:v>
      </x:c>
      <x:c r="I41" s="65" t="n">
        <x:f>IF('Raw Results'!J41=0,"",'Raw Results'!N41/'Raw Results'!J41)</x:f>
        <x:v>1.2424223107140815</x:v>
      </x:c>
    </x:row>
    <x:row r="42">
      <x:c r="A42" s="60" t="str">
        <x:f>'Raw Results'!A42</x:f>
        <x:v>200</x:v>
      </x:c>
      <x:c r="B42" s="61" t="str">
        <x:f>'Raw Results'!B42</x:f>
        <x:v>0.1</x:v>
      </x:c>
      <x:c r="C42" s="60" t="str">
        <x:f>'Raw Results'!C42</x:f>
        <x:v>1</x:v>
      </x:c>
      <x:c r="D42" s="60" t="n">
        <x:f>IF(AND('Raw Results'!K42="True",'Raw Results'!O42="True"),1,0)</x:f>
        <x:v>0</x:v>
      </x:c>
      <x:c r="E42" s="62" t="n">
        <x:f>'Raw Results'!M42-'Raw Results'!I42</x:f>
        <x:v>-15</x:v>
      </x:c>
      <x:c r="F42" s="63" t="str">
        <x:f>IF(D42=0,"Excluded",IF(E42&lt;0,"Grid Collision",IF(E42&gt;0,"Grid","Tie")))</x:f>
        <x:v>Excluded</x:v>
      </x:c>
      <x:c r="G42" s="64" t="n">
        <x:f>'Raw Results'!N42-'Raw Results'!J42</x:f>
        <x:v>-0.009330199973192066</x:v>
      </x:c>
      <x:c r="H42" s="63" t="str">
        <x:f>IF(G42&lt;0,"Grid Collision",IF(G42&gt;0,"Grid","Tie"))</x:f>
        <x:v>Grid Collision</x:v>
      </x:c>
      <x:c r="I42" s="65" t="n">
        <x:f>IF('Raw Results'!J42=0,"",'Raw Results'!N42/'Raw Results'!J42)</x:f>
        <x:v>0.7442771949844088</x:v>
      </x:c>
    </x:row>
    <x:row r="43">
      <x:c r="A43" s="60" t="str">
        <x:f>'Raw Results'!A43</x:f>
        <x:v>200</x:v>
      </x:c>
      <x:c r="B43" s="61" t="str">
        <x:f>'Raw Results'!B43</x:f>
        <x:v>0.1</x:v>
      </x:c>
      <x:c r="C43" s="60" t="str">
        <x:f>'Raw Results'!C43</x:f>
        <x:v>2</x:v>
      </x:c>
      <x:c r="D43" s="60" t="n">
        <x:f>IF(AND('Raw Results'!K43="True",'Raw Results'!O43="True"),1,0)</x:f>
        <x:v>0</x:v>
      </x:c>
      <x:c r="E43" s="62" t="n">
        <x:f>'Raw Results'!M43-'Raw Results'!I43</x:f>
        <x:v>-34</x:v>
      </x:c>
      <x:c r="F43" s="63" t="str">
        <x:f>IF(D43=0,"Excluded",IF(E43&lt;0,"Grid Collision",IF(E43&gt;0,"Grid","Tie")))</x:f>
        <x:v>Excluded</x:v>
      </x:c>
      <x:c r="G43" s="64" t="n">
        <x:f>'Raw Results'!N43-'Raw Results'!J43</x:f>
        <x:v>-0.004429300024639815</x:v>
      </x:c>
      <x:c r="H43" s="63" t="str">
        <x:f>IF(G43&lt;0,"Grid Collision",IF(G43&gt;0,"Grid","Tie"))</x:f>
        <x:v>Grid Collision</x:v>
      </x:c>
      <x:c r="I43" s="65" t="n">
        <x:f>IF('Raw Results'!J43=0,"",'Raw Results'!N43/'Raw Results'!J43)</x:f>
        <x:v>0.8702960229766079</x:v>
      </x:c>
    </x:row>
    <x:row r="44">
      <x:c r="A44" s="60" t="str">
        <x:f>'Raw Results'!A44</x:f>
        <x:v>200</x:v>
      </x:c>
      <x:c r="B44" s="61" t="str">
        <x:f>'Raw Results'!B44</x:f>
        <x:v>0.1</x:v>
      </x:c>
      <x:c r="C44" s="60" t="str">
        <x:f>'Raw Results'!C44</x:f>
        <x:v>3</x:v>
      </x:c>
      <x:c r="D44" s="60" t="n">
        <x:f>IF(AND('Raw Results'!K44="True",'Raw Results'!O44="True"),1,0)</x:f>
        <x:v>0</x:v>
      </x:c>
      <x:c r="E44" s="62" t="n">
        <x:f>'Raw Results'!M44-'Raw Results'!I44</x:f>
        <x:v>-25</x:v>
      </x:c>
      <x:c r="F44" s="63" t="str">
        <x:f>IF(D44=0,"Excluded",IF(E44&lt;0,"Grid Collision",IF(E44&gt;0,"Grid","Tie")))</x:f>
        <x:v>Excluded</x:v>
      </x:c>
      <x:c r="G44" s="64" t="n">
        <x:f>'Raw Results'!N44-'Raw Results'!J44</x:f>
        <x:v>-0.0062682999996468425</x:v>
      </x:c>
      <x:c r="H44" s="63" t="str">
        <x:f>IF(G44&lt;0,"Grid Collision",IF(G44&gt;0,"Grid","Tie"))</x:f>
        <x:v>Grid Collision</x:v>
      </x:c>
      <x:c r="I44" s="65" t="n">
        <x:f>IF('Raw Results'!J44=0,"",'Raw Results'!N44/'Raw Results'!J44)</x:f>
        <x:v>0.7749191177368874</x:v>
      </x:c>
    </x:row>
    <x:row r="45">
      <x:c r="A45" s="60" t="str">
        <x:f>'Raw Results'!A45</x:f>
        <x:v>200</x:v>
      </x:c>
      <x:c r="B45" s="61" t="str">
        <x:f>'Raw Results'!B45</x:f>
        <x:v>0.1</x:v>
      </x:c>
      <x:c r="C45" s="60" t="str">
        <x:f>'Raw Results'!C45</x:f>
        <x:v>4</x:v>
      </x:c>
      <x:c r="D45" s="60" t="n">
        <x:f>IF(AND('Raw Results'!K45="True",'Raw Results'!O45="True"),1,0)</x:f>
        <x:v>0</x:v>
      </x:c>
      <x:c r="E45" s="62" t="n">
        <x:f>'Raw Results'!M45-'Raw Results'!I45</x:f>
        <x:v>-30</x:v>
      </x:c>
      <x:c r="F45" s="63" t="str">
        <x:f>IF(D45=0,"Excluded",IF(E45&lt;0,"Grid Collision",IF(E45&gt;0,"Grid","Tie")))</x:f>
        <x:v>Excluded</x:v>
      </x:c>
      <x:c r="G45" s="64" t="n">
        <x:f>'Raw Results'!N45-'Raw Results'!J45</x:f>
        <x:v>-0.016312999941874295</x:v>
      </x:c>
      <x:c r="H45" s="63" t="str">
        <x:f>IF(G45&lt;0,"Grid Collision",IF(G45&gt;0,"Grid","Tie"))</x:f>
        <x:v>Grid Collision</x:v>
      </x:c>
      <x:c r="I45" s="65" t="n">
        <x:f>IF('Raw Results'!J45=0,"",'Raw Results'!N45/'Raw Results'!J45)</x:f>
        <x:v>0.5769044242505335</x:v>
      </x:c>
    </x:row>
    <x:row r="46">
      <x:c r="A46" s="60" t="str">
        <x:f>'Raw Results'!A46</x:f>
        <x:v>200</x:v>
      </x:c>
      <x:c r="B46" s="61" t="str">
        <x:f>'Raw Results'!B46</x:f>
        <x:v>0.1</x:v>
      </x:c>
      <x:c r="C46" s="60" t="str">
        <x:f>'Raw Results'!C46</x:f>
        <x:v>5</x:v>
      </x:c>
      <x:c r="D46" s="60" t="n">
        <x:f>IF(AND('Raw Results'!K46="True",'Raw Results'!O46="True"),1,0)</x:f>
        <x:v>0</x:v>
      </x:c>
      <x:c r="E46" s="62" t="n">
        <x:f>'Raw Results'!M46-'Raw Results'!I46</x:f>
        <x:v>47</x:v>
      </x:c>
      <x:c r="F46" s="63" t="str">
        <x:f>IF(D46=0,"Excluded",IF(E46&lt;0,"Grid Collision",IF(E46&gt;0,"Grid","Tie")))</x:f>
        <x:v>Excluded</x:v>
      </x:c>
      <x:c r="G46" s="64" t="n">
        <x:f>'Raw Results'!N46-'Raw Results'!J46</x:f>
        <x:v>-0.07543160003842786</x:v>
      </x:c>
      <x:c r="H46" s="63" t="str">
        <x:f>IF(G46&lt;0,"Grid Collision",IF(G46&gt;0,"Grid","Tie"))</x:f>
        <x:v>Grid Collision</x:v>
      </x:c>
      <x:c r="I46" s="65" t="n">
        <x:f>IF('Raw Results'!J46=0,"",'Raw Results'!N46/'Raw Results'!J46)</x:f>
        <x:v>0.21169628522234518</x:v>
      </x:c>
    </x:row>
    <x:row r="47">
      <x:c r="A47" s="60" t="str">
        <x:f>'Raw Results'!A47</x:f>
        <x:v>200</x:v>
      </x:c>
      <x:c r="B47" s="61" t="str">
        <x:f>'Raw Results'!B47</x:f>
        <x:v>0.3</x:v>
      </x:c>
      <x:c r="C47" s="60" t="str">
        <x:f>'Raw Results'!C47</x:f>
        <x:v>1</x:v>
      </x:c>
      <x:c r="D47" s="60" t="n">
        <x:f>IF(AND('Raw Results'!K47="True",'Raw Results'!O47="True"),1,0)</x:f>
        <x:v>0</x:v>
      </x:c>
      <x:c r="E47" s="62" t="n">
        <x:f>'Raw Results'!M47-'Raw Results'!I47</x:f>
        <x:v>31</x:v>
      </x:c>
      <x:c r="F47" s="63" t="str">
        <x:f>IF(D47=0,"Excluded",IF(E47&lt;0,"Grid Collision",IF(E47&gt;0,"Grid","Tie")))</x:f>
        <x:v>Excluded</x:v>
      </x:c>
      <x:c r="G47" s="64" t="n">
        <x:f>'Raw Results'!N47-'Raw Results'!J47</x:f>
        <x:v>-0.044838800036814064</x:v>
      </x:c>
      <x:c r="H47" s="63" t="str">
        <x:f>IF(G47&lt;0,"Grid Collision",IF(G47&gt;0,"Grid","Tie"))</x:f>
        <x:v>Grid Collision</x:v>
      </x:c>
      <x:c r="I47" s="65" t="n">
        <x:f>IF('Raw Results'!J47=0,"",'Raw Results'!N47/'Raw Results'!J47)</x:f>
        <x:v>0.6273844830250136</x:v>
      </x:c>
    </x:row>
    <x:row r="48">
      <x:c r="A48" s="60" t="str">
        <x:f>'Raw Results'!A48</x:f>
        <x:v>200</x:v>
      </x:c>
      <x:c r="B48" s="61" t="str">
        <x:f>'Raw Results'!B48</x:f>
        <x:v>0.3</x:v>
      </x:c>
      <x:c r="C48" s="60" t="str">
        <x:f>'Raw Results'!C48</x:f>
        <x:v>2</x:v>
      </x:c>
      <x:c r="D48" s="60" t="n">
        <x:f>IF(AND('Raw Results'!K48="True",'Raw Results'!O48="True"),1,0)</x:f>
        <x:v>1</x:v>
      </x:c>
      <x:c r="E48" s="62" t="n">
        <x:f>'Raw Results'!M48-'Raw Results'!I48</x:f>
        <x:v>2</x:v>
      </x:c>
      <x:c r="F48" s="63" t="str">
        <x:f>IF(D48=0,"Excluded",IF(E48&lt;0,"Grid Collision",IF(E48&gt;0,"Grid","Tie")))</x:f>
        <x:v>Grid</x:v>
      </x:c>
      <x:c r="G48" s="64" t="n">
        <x:f>'Raw Results'!N48-'Raw Results'!J48</x:f>
        <x:v>-0.06678969995118678</x:v>
      </x:c>
      <x:c r="H48" s="63" t="str">
        <x:f>IF(G48&lt;0,"Grid Collision",IF(G48&gt;0,"Grid","Tie"))</x:f>
        <x:v>Grid Collision</x:v>
      </x:c>
      <x:c r="I48" s="65" t="n">
        <x:f>IF('Raw Results'!J48=0,"",'Raw Results'!N48/'Raw Results'!J48)</x:f>
        <x:v>0.6250566994990695</x:v>
      </x:c>
    </x:row>
    <x:row r="49">
      <x:c r="A49" s="60" t="str">
        <x:f>'Raw Results'!A49</x:f>
        <x:v>200</x:v>
      </x:c>
      <x:c r="B49" s="61" t="str">
        <x:f>'Raw Results'!B49</x:f>
        <x:v>0.3</x:v>
      </x:c>
      <x:c r="C49" s="60" t="str">
        <x:f>'Raw Results'!C49</x:f>
        <x:v>3</x:v>
      </x:c>
      <x:c r="D49" s="60" t="n">
        <x:f>IF(AND('Raw Results'!K49="True",'Raw Results'!O49="True"),1,0)</x:f>
        <x:v>0</x:v>
      </x:c>
      <x:c r="E49" s="62" t="n">
        <x:f>'Raw Results'!M49-'Raw Results'!I49</x:f>
        <x:v>37</x:v>
      </x:c>
      <x:c r="F49" s="63" t="str">
        <x:f>IF(D49=0,"Excluded",IF(E49&lt;0,"Grid Collision",IF(E49&gt;0,"Grid","Tie")))</x:f>
        <x:v>Excluded</x:v>
      </x:c>
      <x:c r="G49" s="64" t="n">
        <x:f>'Raw Results'!N49-'Raw Results'!J49</x:f>
        <x:v>-0.06758339994121343</x:v>
      </x:c>
      <x:c r="H49" s="63" t="str">
        <x:f>IF(G49&lt;0,"Grid Collision",IF(G49&gt;0,"Grid","Tie"))</x:f>
        <x:v>Grid Collision</x:v>
      </x:c>
      <x:c r="I49" s="65" t="n">
        <x:f>IF('Raw Results'!J49=0,"",'Raw Results'!N49/'Raw Results'!J49)</x:f>
        <x:v>0.5594509256157789</x:v>
      </x:c>
    </x:row>
    <x:row r="50">
      <x:c r="A50" s="60" t="str">
        <x:f>'Raw Results'!A50</x:f>
        <x:v>200</x:v>
      </x:c>
      <x:c r="B50" s="61" t="str">
        <x:f>'Raw Results'!B50</x:f>
        <x:v>0.3</x:v>
      </x:c>
      <x:c r="C50" s="60" t="str">
        <x:f>'Raw Results'!C50</x:f>
        <x:v>4</x:v>
      </x:c>
      <x:c r="D50" s="60" t="n">
        <x:f>IF(AND('Raw Results'!K50="True",'Raw Results'!O50="True"),1,0)</x:f>
        <x:v>1</x:v>
      </x:c>
      <x:c r="E50" s="62" t="n">
        <x:f>'Raw Results'!M50-'Raw Results'!I50</x:f>
        <x:v>2</x:v>
      </x:c>
      <x:c r="F50" s="63" t="str">
        <x:f>IF(D50=0,"Excluded",IF(E50&lt;0,"Grid Collision",IF(E50&gt;0,"Grid","Tie")))</x:f>
        <x:v>Grid</x:v>
      </x:c>
      <x:c r="G50" s="64" t="n">
        <x:f>'Raw Results'!N50-'Raw Results'!J50</x:f>
        <x:v>-0.07752449996769428</x:v>
      </x:c>
      <x:c r="H50" s="63" t="str">
        <x:f>IF(G50&lt;0,"Grid Collision",IF(G50&gt;0,"Grid","Tie"))</x:f>
        <x:v>Grid Collision</x:v>
      </x:c>
      <x:c r="I50" s="65" t="n">
        <x:f>IF('Raw Results'!J50=0,"",'Raw Results'!N50/'Raw Results'!J50)</x:f>
        <x:v>0.5831756176115197</x:v>
      </x:c>
    </x:row>
    <x:row r="51">
      <x:c r="A51" s="60" t="str">
        <x:f>'Raw Results'!A51</x:f>
        <x:v>200</x:v>
      </x:c>
      <x:c r="B51" s="61" t="str">
        <x:f>'Raw Results'!B51</x:f>
        <x:v>0.3</x:v>
      </x:c>
      <x:c r="C51" s="60" t="str">
        <x:f>'Raw Results'!C51</x:f>
        <x:v>5</x:v>
      </x:c>
      <x:c r="D51" s="60" t="n">
        <x:f>IF(AND('Raw Results'!K51="True",'Raw Results'!O51="True"),1,0)</x:f>
        <x:v>1</x:v>
      </x:c>
      <x:c r="E51" s="62" t="n">
        <x:f>'Raw Results'!M51-'Raw Results'!I51</x:f>
        <x:v>-3</x:v>
      </x:c>
      <x:c r="F51" s="63" t="str">
        <x:f>IF(D51=0,"Excluded",IF(E51&lt;0,"Grid Collision",IF(E51&gt;0,"Grid","Tie")))</x:f>
        <x:v>Grid Collision</x:v>
      </x:c>
      <x:c r="G51" s="64" t="n">
        <x:f>'Raw Results'!N51-'Raw Results'!J51</x:f>
        <x:v>-0.027564899995923042</x:v>
      </x:c>
      <x:c r="H51" s="63" t="str">
        <x:f>IF(G51&lt;0,"Grid Collision",IF(G51&gt;0,"Grid","Tie"))</x:f>
        <x:v>Grid Collision</x:v>
      </x:c>
      <x:c r="I51" s="65" t="n">
        <x:f>IF('Raw Results'!J51=0,"",'Raw Results'!N51/'Raw Results'!J51)</x:f>
        <x:v>0.8116216181365438</x:v>
      </x:c>
    </x:row>
    <x:row r="52">
      <x:c r="A52" s="60" t="str">
        <x:f>'Raw Results'!A52</x:f>
        <x:v>200</x:v>
      </x:c>
      <x:c r="B52" s="61" t="str">
        <x:f>'Raw Results'!B52</x:f>
        <x:v>0.5</x:v>
      </x:c>
      <x:c r="C52" s="60" t="str">
        <x:f>'Raw Results'!C52</x:f>
        <x:v>1</x:v>
      </x:c>
      <x:c r="D52" s="60" t="n">
        <x:f>IF(AND('Raw Results'!K52="True",'Raw Results'!O52="True"),1,0)</x:f>
        <x:v>1</x:v>
      </x:c>
      <x:c r="E52" s="62" t="n">
        <x:f>'Raw Results'!M52-'Raw Results'!I52</x:f>
        <x:v>1</x:v>
      </x:c>
      <x:c r="F52" s="63" t="str">
        <x:f>IF(D52=0,"Excluded",IF(E52&lt;0,"Grid Collision",IF(E52&gt;0,"Grid","Tie")))</x:f>
        <x:v>Grid</x:v>
      </x:c>
      <x:c r="G52" s="64" t="n">
        <x:f>'Raw Results'!N52-'Raw Results'!J52</x:f>
        <x:v>-0.3439836999750696</x:v>
      </x:c>
      <x:c r="H52" s="63" t="str">
        <x:f>IF(G52&lt;0,"Grid Collision",IF(G52&gt;0,"Grid","Tie"))</x:f>
        <x:v>Grid Collision</x:v>
      </x:c>
      <x:c r="I52" s="65" t="n">
        <x:f>IF('Raw Results'!J52=0,"",'Raw Results'!N52/'Raw Results'!J52)</x:f>
        <x:v>0.7021116349852721</x:v>
      </x:c>
    </x:row>
    <x:row r="53">
      <x:c r="A53" s="60" t="str">
        <x:f>'Raw Results'!A53</x:f>
        <x:v>200</x:v>
      </x:c>
      <x:c r="B53" s="61" t="str">
        <x:f>'Raw Results'!B53</x:f>
        <x:v>0.5</x:v>
      </x:c>
      <x:c r="C53" s="60" t="str">
        <x:f>'Raw Results'!C53</x:f>
        <x:v>2</x:v>
      </x:c>
      <x:c r="D53" s="60" t="n">
        <x:f>IF(AND('Raw Results'!K53="True",'Raw Results'!O53="True"),1,0)</x:f>
        <x:v>1</x:v>
      </x:c>
      <x:c r="E53" s="62" t="n">
        <x:f>'Raw Results'!M53-'Raw Results'!I53</x:f>
        <x:v>-11</x:v>
      </x:c>
      <x:c r="F53" s="63" t="str">
        <x:f>IF(D53=0,"Excluded",IF(E53&lt;0,"Grid Collision",IF(E53&gt;0,"Grid","Tie")))</x:f>
        <x:v>Grid Collision</x:v>
      </x:c>
      <x:c r="G53" s="64" t="n">
        <x:f>'Raw Results'!N53-'Raw Results'!J53</x:f>
        <x:v>-0.43721659993752837</x:v>
      </x:c>
      <x:c r="H53" s="63" t="str">
        <x:f>IF(G53&lt;0,"Grid Collision",IF(G53&gt;0,"Grid","Tie"))</x:f>
        <x:v>Grid Collision</x:v>
      </x:c>
      <x:c r="I53" s="65" t="n">
        <x:f>IF('Raw Results'!J53=0,"",'Raw Results'!N53/'Raw Results'!J53)</x:f>
        <x:v>0.6260359105202258</x:v>
      </x:c>
    </x:row>
    <x:row r="54">
      <x:c r="A54" s="60" t="str">
        <x:f>'Raw Results'!A54</x:f>
        <x:v>200</x:v>
      </x:c>
      <x:c r="B54" s="61" t="str">
        <x:f>'Raw Results'!B54</x:f>
        <x:v>0.5</x:v>
      </x:c>
      <x:c r="C54" s="60" t="str">
        <x:f>'Raw Results'!C54</x:f>
        <x:v>3</x:v>
      </x:c>
      <x:c r="D54" s="60" t="n">
        <x:f>IF(AND('Raw Results'!K54="True",'Raw Results'!O54="True"),1,0)</x:f>
        <x:v>1</x:v>
      </x:c>
      <x:c r="E54" s="62" t="n">
        <x:f>'Raw Results'!M54-'Raw Results'!I54</x:f>
        <x:v>-6</x:v>
      </x:c>
      <x:c r="F54" s="63" t="str">
        <x:f>IF(D54=0,"Excluded",IF(E54&lt;0,"Grid Collision",IF(E54&gt;0,"Grid","Tie")))</x:f>
        <x:v>Grid Collision</x:v>
      </x:c>
      <x:c r="G54" s="64" t="n">
        <x:f>'Raw Results'!N54-'Raw Results'!J54</x:f>
        <x:v>-0.47263570001814514</x:v>
      </x:c>
      <x:c r="H54" s="63" t="str">
        <x:f>IF(G54&lt;0,"Grid Collision",IF(G54&gt;0,"Grid","Tie"))</x:f>
        <x:v>Grid Collision</x:v>
      </x:c>
      <x:c r="I54" s="65" t="n">
        <x:f>IF('Raw Results'!J54=0,"",'Raw Results'!N54/'Raw Results'!J54)</x:f>
        <x:v>0.599416290383968</x:v>
      </x:c>
    </x:row>
    <x:row r="55">
      <x:c r="A55" s="60" t="str">
        <x:f>'Raw Results'!A55</x:f>
        <x:v>200</x:v>
      </x:c>
      <x:c r="B55" s="61" t="str">
        <x:f>'Raw Results'!B55</x:f>
        <x:v>0.5</x:v>
      </x:c>
      <x:c r="C55" s="60" t="str">
        <x:f>'Raw Results'!C55</x:f>
        <x:v>4</x:v>
      </x:c>
      <x:c r="D55" s="60" t="n">
        <x:f>IF(AND('Raw Results'!K55="True",'Raw Results'!O55="True"),1,0)</x:f>
        <x:v>1</x:v>
      </x:c>
      <x:c r="E55" s="62" t="n">
        <x:f>'Raw Results'!M55-'Raw Results'!I55</x:f>
        <x:v>-6</x:v>
      </x:c>
      <x:c r="F55" s="63" t="str">
        <x:f>IF(D55=0,"Excluded",IF(E55&lt;0,"Grid Collision",IF(E55&gt;0,"Grid","Tie")))</x:f>
        <x:v>Grid Collision</x:v>
      </x:c>
      <x:c r="G55" s="64" t="n">
        <x:f>'Raw Results'!N55-'Raw Results'!J55</x:f>
        <x:v>-0.5519038999918848</x:v>
      </x:c>
      <x:c r="H55" s="63" t="str">
        <x:f>IF(G55&lt;0,"Grid Collision",IF(G55&gt;0,"Grid","Tie"))</x:f>
        <x:v>Grid Collision</x:v>
      </x:c>
      <x:c r="I55" s="65" t="n">
        <x:f>IF('Raw Results'!J55=0,"",'Raw Results'!N55/'Raw Results'!J55)</x:f>
        <x:v>0.5724014058718856</x:v>
      </x:c>
    </x:row>
    <x:row r="56">
      <x:c r="A56" s="60" t="str">
        <x:f>'Raw Results'!A56</x:f>
        <x:v>200</x:v>
      </x:c>
      <x:c r="B56" s="61" t="str">
        <x:f>'Raw Results'!B56</x:f>
        <x:v>0.5</x:v>
      </x:c>
      <x:c r="C56" s="60" t="str">
        <x:f>'Raw Results'!C56</x:f>
        <x:v>5</x:v>
      </x:c>
      <x:c r="D56" s="60" t="n">
        <x:f>IF(AND('Raw Results'!K56="True",'Raw Results'!O56="True"),1,0)</x:f>
        <x:v>1</x:v>
      </x:c>
      <x:c r="E56" s="62" t="n">
        <x:f>'Raw Results'!M56-'Raw Results'!I56</x:f>
        <x:v>-7</x:v>
      </x:c>
      <x:c r="F56" s="63" t="str">
        <x:f>IF(D56=0,"Excluded",IF(E56&lt;0,"Grid Collision",IF(E56&gt;0,"Grid","Tie")))</x:f>
        <x:v>Grid Collision</x:v>
      </x:c>
      <x:c r="G56" s="64" t="n">
        <x:f>'Raw Results'!N56-'Raw Results'!J56</x:f>
        <x:v>-0.4676880000042729</x:v>
      </x:c>
      <x:c r="H56" s="63" t="str">
        <x:f>IF(G56&lt;0,"Grid Collision",IF(G56&gt;0,"Grid","Tie"))</x:f>
        <x:v>Grid Collision</x:v>
      </x:c>
      <x:c r="I56" s="65" t="n">
        <x:f>IF('Raw Results'!J56=0,"",'Raw Results'!N56/'Raw Results'!J56)</x:f>
        <x:v>0.6078033126278066</x:v>
      </x:c>
    </x:row>
    <x:row r="57">
      <x:c r="A57" s="60" t="str">
        <x:f>'Raw Results'!A57</x:f>
        <x:v>200</x:v>
      </x:c>
      <x:c r="B57" s="61" t="str">
        <x:f>'Raw Results'!B57</x:f>
        <x:v>0.7</x:v>
      </x:c>
      <x:c r="C57" s="60" t="str">
        <x:f>'Raw Results'!C57</x:f>
        <x:v>1</x:v>
      </x:c>
      <x:c r="D57" s="60" t="n">
        <x:f>IF(AND('Raw Results'!K57="True",'Raw Results'!O57="True"),1,0)</x:f>
        <x:v>1</x:v>
      </x:c>
      <x:c r="E57" s="62" t="n">
        <x:f>'Raw Results'!M57-'Raw Results'!I57</x:f>
        <x:v>-12</x:v>
      </x:c>
      <x:c r="F57" s="63" t="str">
        <x:f>IF(D57=0,"Excluded",IF(E57&lt;0,"Grid Collision",IF(E57&gt;0,"Grid","Tie")))</x:f>
        <x:v>Grid Collision</x:v>
      </x:c>
      <x:c r="G57" s="64" t="n">
        <x:f>'Raw Results'!N57-'Raw Results'!J57</x:f>
        <x:v>-0.44172530004289</x:v>
      </x:c>
      <x:c r="H57" s="63" t="str">
        <x:f>IF(G57&lt;0,"Grid Collision",IF(G57&gt;0,"Grid","Tie"))</x:f>
        <x:v>Grid Collision</x:v>
      </x:c>
      <x:c r="I57" s="65" t="n">
        <x:f>IF('Raw Results'!J57=0,"",'Raw Results'!N57/'Raw Results'!J57)</x:f>
        <x:v>0.644519867729243</x:v>
      </x:c>
    </x:row>
    <x:row r="58">
      <x:c r="A58" s="60" t="str">
        <x:f>'Raw Results'!A58</x:f>
        <x:v>200</x:v>
      </x:c>
      <x:c r="B58" s="61" t="str">
        <x:f>'Raw Results'!B58</x:f>
        <x:v>0.7</x:v>
      </x:c>
      <x:c r="C58" s="60" t="str">
        <x:f>'Raw Results'!C58</x:f>
        <x:v>2</x:v>
      </x:c>
      <x:c r="D58" s="60" t="n">
        <x:f>IF(AND('Raw Results'!K58="True",'Raw Results'!O58="True"),1,0)</x:f>
        <x:v>1</x:v>
      </x:c>
      <x:c r="E58" s="62" t="n">
        <x:f>'Raw Results'!M58-'Raw Results'!I58</x:f>
        <x:v>-11</x:v>
      </x:c>
      <x:c r="F58" s="63" t="str">
        <x:f>IF(D58=0,"Excluded",IF(E58&lt;0,"Grid Collision",IF(E58&gt;0,"Grid","Tie")))</x:f>
        <x:v>Grid Collision</x:v>
      </x:c>
      <x:c r="G58" s="64" t="n">
        <x:f>'Raw Results'!N58-'Raw Results'!J58</x:f>
        <x:v>-0.5138989000115544</x:v>
      </x:c>
      <x:c r="H58" s="63" t="str">
        <x:f>IF(G58&lt;0,"Grid Collision",IF(G58&gt;0,"Grid","Tie"))</x:f>
        <x:v>Grid Collision</x:v>
      </x:c>
      <x:c r="I58" s="65" t="n">
        <x:f>IF('Raw Results'!J58=0,"",'Raw Results'!N58/'Raw Results'!J58)</x:f>
        <x:v>0.6045095245644438</x:v>
      </x:c>
    </x:row>
    <x:row r="59">
      <x:c r="A59" s="60" t="str">
        <x:f>'Raw Results'!A59</x:f>
        <x:v>200</x:v>
      </x:c>
      <x:c r="B59" s="61" t="str">
        <x:f>'Raw Results'!B59</x:f>
        <x:v>0.7</x:v>
      </x:c>
      <x:c r="C59" s="60" t="str">
        <x:f>'Raw Results'!C59</x:f>
        <x:v>3</x:v>
      </x:c>
      <x:c r="D59" s="60" t="n">
        <x:f>IF(AND('Raw Results'!K59="True",'Raw Results'!O59="True"),1,0)</x:f>
        <x:v>1</x:v>
      </x:c>
      <x:c r="E59" s="62" t="n">
        <x:f>'Raw Results'!M59-'Raw Results'!I59</x:f>
        <x:v>-1</x:v>
      </x:c>
      <x:c r="F59" s="63" t="str">
        <x:f>IF(D59=0,"Excluded",IF(E59&lt;0,"Grid Collision",IF(E59&gt;0,"Grid","Tie")))</x:f>
        <x:v>Grid Collision</x:v>
      </x:c>
      <x:c r="G59" s="64" t="n">
        <x:f>'Raw Results'!N59-'Raw Results'!J59</x:f>
        <x:v>-0.36817359999986365</x:v>
      </x:c>
      <x:c r="H59" s="63" t="str">
        <x:f>IF(G59&lt;0,"Grid Collision",IF(G59&gt;0,"Grid","Tie"))</x:f>
        <x:v>Grid Collision</x:v>
      </x:c>
      <x:c r="I59" s="65" t="n">
        <x:f>IF('Raw Results'!J59=0,"",'Raw Results'!N59/'Raw Results'!J59)</x:f>
        <x:v>0.7059719525698671</x:v>
      </x:c>
    </x:row>
    <x:row r="60">
      <x:c r="A60" s="60" t="str">
        <x:f>'Raw Results'!A60</x:f>
        <x:v>200</x:v>
      </x:c>
      <x:c r="B60" s="61" t="str">
        <x:f>'Raw Results'!B60</x:f>
        <x:v>0.7</x:v>
      </x:c>
      <x:c r="C60" s="60" t="str">
        <x:f>'Raw Results'!C60</x:f>
        <x:v>4</x:v>
      </x:c>
      <x:c r="D60" s="60" t="n">
        <x:f>IF(AND('Raw Results'!K60="True",'Raw Results'!O60="True"),1,0)</x:f>
        <x:v>1</x:v>
      </x:c>
      <x:c r="E60" s="62" t="n">
        <x:f>'Raw Results'!M60-'Raw Results'!I60</x:f>
        <x:v>-7</x:v>
      </x:c>
      <x:c r="F60" s="63" t="str">
        <x:f>IF(D60=0,"Excluded",IF(E60&lt;0,"Grid Collision",IF(E60&gt;0,"Grid","Tie")))</x:f>
        <x:v>Grid Collision</x:v>
      </x:c>
      <x:c r="G60" s="64" t="n">
        <x:f>'Raw Results'!N60-'Raw Results'!J60</x:f>
        <x:v>-0.42877159995259717</x:v>
      </x:c>
      <x:c r="H60" s="63" t="str">
        <x:f>IF(G60&lt;0,"Grid Collision",IF(G60&gt;0,"Grid","Tie"))</x:f>
        <x:v>Grid Collision</x:v>
      </x:c>
      <x:c r="I60" s="65" t="n">
        <x:f>IF('Raw Results'!J60=0,"",'Raw Results'!N60/'Raw Results'!J60)</x:f>
        <x:v>0.6609120173246178</x:v>
      </x:c>
    </x:row>
    <x:row r="61">
      <x:c r="A61" s="60" t="str">
        <x:f>'Raw Results'!A61</x:f>
        <x:v>200</x:v>
      </x:c>
      <x:c r="B61" s="61" t="str">
        <x:f>'Raw Results'!B61</x:f>
        <x:v>0.7</x:v>
      </x:c>
      <x:c r="C61" s="60" t="str">
        <x:f>'Raw Results'!C61</x:f>
        <x:v>5</x:v>
      </x:c>
      <x:c r="D61" s="60" t="n">
        <x:f>IF(AND('Raw Results'!K61="True",'Raw Results'!O61="True"),1,0)</x:f>
        <x:v>1</x:v>
      </x:c>
      <x:c r="E61" s="62" t="n">
        <x:f>'Raw Results'!M61-'Raw Results'!I61</x:f>
        <x:v>-5</x:v>
      </x:c>
      <x:c r="F61" s="63" t="str">
        <x:f>IF(D61=0,"Excluded",IF(E61&lt;0,"Grid Collision",IF(E61&gt;0,"Grid","Tie")))</x:f>
        <x:v>Grid Collision</x:v>
      </x:c>
      <x:c r="G61" s="64" t="n">
        <x:f>'Raw Results'!N61-'Raw Results'!J61</x:f>
        <x:v>-0.17196920001879334</x:v>
      </x:c>
      <x:c r="H61" s="63" t="str">
        <x:f>IF(G61&lt;0,"Grid Collision",IF(G61&gt;0,"Grid","Tie"))</x:f>
        <x:v>Grid Collision</x:v>
      </x:c>
      <x:c r="I61" s="65" t="n">
        <x:f>IF('Raw Results'!J61=0,"",'Raw Results'!N61/'Raw Results'!J61)</x:f>
        <x:v>0.8486101196259507</x:v>
      </x:c>
    </x:row>
    <x:row r="62">
      <x:c r="A62" s="60" t="str">
        <x:f>'Raw Results'!A62</x:f>
        <x:v>500</x:v>
      </x:c>
      <x:c r="B62" s="61" t="str">
        <x:f>'Raw Results'!B62</x:f>
        <x:v>0.1</x:v>
      </x:c>
      <x:c r="C62" s="60" t="str">
        <x:f>'Raw Results'!C62</x:f>
        <x:v>1</x:v>
      </x:c>
      <x:c r="D62" s="60" t="n">
        <x:f>IF(AND('Raw Results'!K62="True",'Raw Results'!O62="True"),1,0)</x:f>
        <x:v>0</x:v>
      </x:c>
      <x:c r="E62" s="62" t="n">
        <x:f>'Raw Results'!M62-'Raw Results'!I62</x:f>
        <x:v>115</x:v>
      </x:c>
      <x:c r="F62" s="63" t="str">
        <x:f>IF(D62=0,"Excluded",IF(E62&lt;0,"Grid Collision",IF(E62&gt;0,"Grid","Tie")))</x:f>
        <x:v>Excluded</x:v>
      </x:c>
      <x:c r="G62" s="64" t="n">
        <x:f>'Raw Results'!N62-'Raw Results'!J62</x:f>
        <x:v>-0.9309520000242628</x:v>
      </x:c>
      <x:c r="H62" s="63" t="str">
        <x:f>IF(G62&lt;0,"Grid Collision",IF(G62&gt;0,"Grid","Tie"))</x:f>
        <x:v>Grid Collision</x:v>
      </x:c>
      <x:c r="I62" s="65" t="n">
        <x:f>IF('Raw Results'!J62=0,"",'Raw Results'!N62/'Raw Results'!J62)</x:f>
        <x:v>0.17343446542973076</x:v>
      </x:c>
    </x:row>
    <x:row r="63">
      <x:c r="A63" s="60" t="str">
        <x:f>'Raw Results'!A63</x:f>
        <x:v>500</x:v>
      </x:c>
      <x:c r="B63" s="61" t="str">
        <x:f>'Raw Results'!B63</x:f>
        <x:v>0.1</x:v>
      </x:c>
      <x:c r="C63" s="60" t="str">
        <x:f>'Raw Results'!C63</x:f>
        <x:v>2</x:v>
      </x:c>
      <x:c r="D63" s="60" t="n">
        <x:f>IF(AND('Raw Results'!K63="True",'Raw Results'!O63="True"),1,0)</x:f>
        <x:v>1</x:v>
      </x:c>
      <x:c r="E63" s="62" t="n">
        <x:f>'Raw Results'!M63-'Raw Results'!I63</x:f>
        <x:v>1</x:v>
      </x:c>
      <x:c r="F63" s="63" t="str">
        <x:f>IF(D63=0,"Excluded",IF(E63&lt;0,"Grid Collision",IF(E63&gt;0,"Grid","Tie")))</x:f>
        <x:v>Grid</x:v>
      </x:c>
      <x:c r="G63" s="64" t="n">
        <x:f>'Raw Results'!N63-'Raw Results'!J63</x:f>
        <x:v>-0.9029843000462279</x:v>
      </x:c>
      <x:c r="H63" s="63" t="str">
        <x:f>IF(G63&lt;0,"Grid Collision",IF(G63&gt;0,"Grid","Tie"))</x:f>
        <x:v>Grid Collision</x:v>
      </x:c>
      <x:c r="I63" s="65" t="n">
        <x:f>IF('Raw Results'!J63=0,"",'Raw Results'!N63/'Raw Results'!J63)</x:f>
        <x:v>0.4757108827792616</x:v>
      </x:c>
    </x:row>
    <x:row r="64">
      <x:c r="A64" s="60" t="str">
        <x:f>'Raw Results'!A64</x:f>
        <x:v>500</x:v>
      </x:c>
      <x:c r="B64" s="61" t="str">
        <x:f>'Raw Results'!B64</x:f>
        <x:v>0.1</x:v>
      </x:c>
      <x:c r="C64" s="60" t="str">
        <x:f>'Raw Results'!C64</x:f>
        <x:v>3</x:v>
      </x:c>
      <x:c r="D64" s="60" t="n">
        <x:f>IF(AND('Raw Results'!K64="True",'Raw Results'!O64="True"),1,0)</x:f>
        <x:v>1</x:v>
      </x:c>
      <x:c r="E64" s="62" t="n">
        <x:f>'Raw Results'!M64-'Raw Results'!I64</x:f>
        <x:v>-3</x:v>
      </x:c>
      <x:c r="F64" s="63" t="str">
        <x:f>IF(D64=0,"Excluded",IF(E64&lt;0,"Grid Collision",IF(E64&gt;0,"Grid","Tie")))</x:f>
        <x:v>Grid Collision</x:v>
      </x:c>
      <x:c r="G64" s="64" t="n">
        <x:f>'Raw Results'!N64-'Raw Results'!J64</x:f>
        <x:v>-0.6227332000271417</x:v>
      </x:c>
      <x:c r="H64" s="63" t="str">
        <x:f>IF(G64&lt;0,"Grid Collision",IF(G64&gt;0,"Grid","Tie"))</x:f>
        <x:v>Grid Collision</x:v>
      </x:c>
      <x:c r="I64" s="65" t="n">
        <x:f>IF('Raw Results'!J64=0,"",'Raw Results'!N64/'Raw Results'!J64)</x:f>
        <x:v>0.564964635246947</x:v>
      </x:c>
    </x:row>
    <x:row r="65">
      <x:c r="A65" s="60" t="str">
        <x:f>'Raw Results'!A65</x:f>
        <x:v>500</x:v>
      </x:c>
      <x:c r="B65" s="61" t="str">
        <x:f>'Raw Results'!B65</x:f>
        <x:v>0.1</x:v>
      </x:c>
      <x:c r="C65" s="60" t="str">
        <x:f>'Raw Results'!C65</x:f>
        <x:v>4</x:v>
      </x:c>
      <x:c r="D65" s="60" t="n">
        <x:f>IF(AND('Raw Results'!K65="True",'Raw Results'!O65="True"),1,0)</x:f>
        <x:v>0</x:v>
      </x:c>
      <x:c r="E65" s="62" t="n">
        <x:f>'Raw Results'!M65-'Raw Results'!I65</x:f>
        <x:v>127</x:v>
      </x:c>
      <x:c r="F65" s="63" t="str">
        <x:f>IF(D65=0,"Excluded",IF(E65&lt;0,"Grid Collision",IF(E65&gt;0,"Grid","Tie")))</x:f>
        <x:v>Excluded</x:v>
      </x:c>
      <x:c r="G65" s="64" t="n">
        <x:f>'Raw Results'!N65-'Raw Results'!J65</x:f>
        <x:v>-0.8329736999585293</x:v>
      </x:c>
      <x:c r="H65" s="63" t="str">
        <x:f>IF(G65&lt;0,"Grid Collision",IF(G65&gt;0,"Grid","Tie"))</x:f>
        <x:v>Grid Collision</x:v>
      </x:c>
      <x:c r="I65" s="65" t="n">
        <x:f>IF('Raw Results'!J65=0,"",'Raw Results'!N65/'Raw Results'!J65)</x:f>
        <x:v>0.15892166921948706</x:v>
      </x:c>
    </x:row>
    <x:row r="66">
      <x:c r="A66" s="60" t="str">
        <x:f>'Raw Results'!A66</x:f>
        <x:v>500</x:v>
      </x:c>
      <x:c r="B66" s="61" t="str">
        <x:f>'Raw Results'!B66</x:f>
        <x:v>0.1</x:v>
      </x:c>
      <x:c r="C66" s="60" t="str">
        <x:f>'Raw Results'!C66</x:f>
        <x:v>5</x:v>
      </x:c>
      <x:c r="D66" s="60" t="n">
        <x:f>IF(AND('Raw Results'!K66="True",'Raw Results'!O66="True"),1,0)</x:f>
        <x:v>0</x:v>
      </x:c>
      <x:c r="E66" s="62" t="n">
        <x:f>'Raw Results'!M66-'Raw Results'!I66</x:f>
        <x:v>116</x:v>
      </x:c>
      <x:c r="F66" s="63" t="str">
        <x:f>IF(D66=0,"Excluded",IF(E66&lt;0,"Grid Collision",IF(E66&gt;0,"Grid","Tie")))</x:f>
        <x:v>Excluded</x:v>
      </x:c>
      <x:c r="G66" s="64" t="n">
        <x:f>'Raw Results'!N66-'Raw Results'!J66</x:f>
        <x:v>-1.0265172999934293</x:v>
      </x:c>
      <x:c r="H66" s="63" t="str">
        <x:f>IF(G66&lt;0,"Grid Collision",IF(G66&gt;0,"Grid","Tie"))</x:f>
        <x:v>Grid Collision</x:v>
      </x:c>
      <x:c r="I66" s="65" t="n">
        <x:f>IF('Raw Results'!J66=0,"",'Raw Results'!N66/'Raw Results'!J66)</x:f>
        <x:v>0.13248633086648207</x:v>
      </x:c>
    </x:row>
    <x:row r="67">
      <x:c r="A67" s="60" t="str">
        <x:f>'Raw Results'!A67</x:f>
        <x:v>500</x:v>
      </x:c>
      <x:c r="B67" s="61" t="str">
        <x:f>'Raw Results'!B67</x:f>
        <x:v>0.3</x:v>
      </x:c>
      <x:c r="C67" s="60" t="str">
        <x:f>'Raw Results'!C67</x:f>
        <x:v>1</x:v>
      </x:c>
      <x:c r="D67" s="60" t="n">
        <x:f>IF(AND('Raw Results'!K67="True",'Raw Results'!O67="True"),1,0)</x:f>
        <x:v>1</x:v>
      </x:c>
      <x:c r="E67" s="62" t="n">
        <x:f>'Raw Results'!M67-'Raw Results'!I67</x:f>
        <x:v>5</x:v>
      </x:c>
      <x:c r="F67" s="63" t="str">
        <x:f>IF(D67=0,"Excluded",IF(E67&lt;0,"Grid Collision",IF(E67&gt;0,"Grid","Tie")))</x:f>
        <x:v>Grid</x:v>
      </x:c>
      <x:c r="G67" s="64" t="n">
        <x:f>'Raw Results'!N67-'Raw Results'!J67</x:f>
        <x:v>-0.5993364999885671</x:v>
      </x:c>
      <x:c r="H67" s="63" t="str">
        <x:f>IF(G67&lt;0,"Grid Collision",IF(G67&gt;0,"Grid","Tie"))</x:f>
        <x:v>Grid Collision</x:v>
      </x:c>
      <x:c r="I67" s="65" t="n">
        <x:f>IF('Raw Results'!J67=0,"",'Raw Results'!N67/'Raw Results'!J67)</x:f>
        <x:v>0.6955254208653229</x:v>
      </x:c>
    </x:row>
    <x:row r="68">
      <x:c r="A68" s="60" t="str">
        <x:f>'Raw Results'!A68</x:f>
        <x:v>500</x:v>
      </x:c>
      <x:c r="B68" s="61" t="str">
        <x:f>'Raw Results'!B68</x:f>
        <x:v>0.3</x:v>
      </x:c>
      <x:c r="C68" s="60" t="str">
        <x:f>'Raw Results'!C68</x:f>
        <x:v>2</x:v>
      </x:c>
      <x:c r="D68" s="60" t="n">
        <x:f>IF(AND('Raw Results'!K68="True",'Raw Results'!O68="True"),1,0)</x:f>
        <x:v>1</x:v>
      </x:c>
      <x:c r="E68" s="62" t="n">
        <x:f>'Raw Results'!M68-'Raw Results'!I68</x:f>
        <x:v>-4</x:v>
      </x:c>
      <x:c r="F68" s="63" t="str">
        <x:f>IF(D68=0,"Excluded",IF(E68&lt;0,"Grid Collision",IF(E68&gt;0,"Grid","Tie")))</x:f>
        <x:v>Grid Collision</x:v>
      </x:c>
      <x:c r="G68" s="64" t="n">
        <x:f>'Raw Results'!N68-'Raw Results'!J68</x:f>
        <x:v>-0.7956893999944441</x:v>
      </x:c>
      <x:c r="H68" s="63" t="str">
        <x:f>IF(G68&lt;0,"Grid Collision",IF(G68&gt;0,"Grid","Tie"))</x:f>
        <x:v>Grid Collision</x:v>
      </x:c>
      <x:c r="I68" s="65" t="n">
        <x:f>IF('Raw Results'!J68=0,"",'Raw Results'!N68/'Raw Results'!J68)</x:f>
        <x:v>0.6201450772021584</x:v>
      </x:c>
    </x:row>
    <x:row r="69">
      <x:c r="A69" s="60" t="str">
        <x:f>'Raw Results'!A69</x:f>
        <x:v>500</x:v>
      </x:c>
      <x:c r="B69" s="61" t="str">
        <x:f>'Raw Results'!B69</x:f>
        <x:v>0.3</x:v>
      </x:c>
      <x:c r="C69" s="60" t="str">
        <x:f>'Raw Results'!C69</x:f>
        <x:v>3</x:v>
      </x:c>
      <x:c r="D69" s="60" t="n">
        <x:f>IF(AND('Raw Results'!K69="True",'Raw Results'!O69="True"),1,0)</x:f>
        <x:v>1</x:v>
      </x:c>
      <x:c r="E69" s="62" t="n">
        <x:f>'Raw Results'!M69-'Raw Results'!I69</x:f>
        <x:v>2</x:v>
      </x:c>
      <x:c r="F69" s="63" t="str">
        <x:f>IF(D69=0,"Excluded",IF(E69&lt;0,"Grid Collision",IF(E69&gt;0,"Grid","Tie")))</x:f>
        <x:v>Grid</x:v>
      </x:c>
      <x:c r="G69" s="64" t="n">
        <x:f>'Raw Results'!N69-'Raw Results'!J69</x:f>
        <x:v>-0.6548727999906987</x:v>
      </x:c>
      <x:c r="H69" s="63" t="str">
        <x:f>IF(G69&lt;0,"Grid Collision",IF(G69&gt;0,"Grid","Tie"))</x:f>
        <x:v>Grid Collision</x:v>
      </x:c>
      <x:c r="I69" s="65" t="n">
        <x:f>IF('Raw Results'!J69=0,"",'Raw Results'!N69/'Raw Results'!J69)</x:f>
        <x:v>0.6486004713950199</x:v>
      </x:c>
    </x:row>
    <x:row r="70">
      <x:c r="A70" s="60" t="str">
        <x:f>'Raw Results'!A70</x:f>
        <x:v>500</x:v>
      </x:c>
      <x:c r="B70" s="61" t="str">
        <x:f>'Raw Results'!B70</x:f>
        <x:v>0.3</x:v>
      </x:c>
      <x:c r="C70" s="60" t="str">
        <x:f>'Raw Results'!C70</x:f>
        <x:v>4</x:v>
      </x:c>
      <x:c r="D70" s="60" t="n">
        <x:f>IF(AND('Raw Results'!K70="True",'Raw Results'!O70="True"),1,0)</x:f>
        <x:v>1</x:v>
      </x:c>
      <x:c r="E70" s="62" t="n">
        <x:f>'Raw Results'!M70-'Raw Results'!I70</x:f>
        <x:v>-7</x:v>
      </x:c>
      <x:c r="F70" s="63" t="str">
        <x:f>IF(D70=0,"Excluded",IF(E70&lt;0,"Grid Collision",IF(E70&gt;0,"Grid","Tie")))</x:f>
        <x:v>Grid Collision</x:v>
      </x:c>
      <x:c r="G70" s="64" t="n">
        <x:f>'Raw Results'!N70-'Raw Results'!J70</x:f>
        <x:v>-0.8368237999966368</x:v>
      </x:c>
      <x:c r="H70" s="63" t="str">
        <x:f>IF(G70&lt;0,"Grid Collision",IF(G70&gt;0,"Grid","Tie"))</x:f>
        <x:v>Grid Collision</x:v>
      </x:c>
      <x:c r="I70" s="65" t="n">
        <x:f>IF('Raw Results'!J70=0,"",'Raw Results'!N70/'Raw Results'!J70)</x:f>
        <x:v>0.6160953150224289</x:v>
      </x:c>
    </x:row>
    <x:row r="71">
      <x:c r="A71" s="60" t="str">
        <x:f>'Raw Results'!A71</x:f>
        <x:v>500</x:v>
      </x:c>
      <x:c r="B71" s="61" t="str">
        <x:f>'Raw Results'!B71</x:f>
        <x:v>0.3</x:v>
      </x:c>
      <x:c r="C71" s="60" t="str">
        <x:f>'Raw Results'!C71</x:f>
        <x:v>5</x:v>
      </x:c>
      <x:c r="D71" s="60" t="n">
        <x:f>IF(AND('Raw Results'!K71="True",'Raw Results'!O71="True"),1,0)</x:f>
        <x:v>1</x:v>
      </x:c>
      <x:c r="E71" s="62" t="n">
        <x:f>'Raw Results'!M71-'Raw Results'!I71</x:f>
        <x:v>-2</x:v>
      </x:c>
      <x:c r="F71" s="63" t="str">
        <x:f>IF(D71=0,"Excluded",IF(E71&lt;0,"Grid Collision",IF(E71&gt;0,"Grid","Tie")))</x:f>
        <x:v>Grid Collision</x:v>
      </x:c>
      <x:c r="G71" s="64" t="n">
        <x:f>'Raw Results'!N71-'Raw Results'!J71</x:f>
        <x:v>-0.7214852999313734</x:v>
      </x:c>
      <x:c r="H71" s="63" t="str">
        <x:f>IF(G71&lt;0,"Grid Collision",IF(G71&gt;0,"Grid","Tie"))</x:f>
        <x:v>Grid Collision</x:v>
      </x:c>
      <x:c r="I71" s="65" t="n">
        <x:f>IF('Raw Results'!J71=0,"",'Raw Results'!N71/'Raw Results'!J71)</x:f>
        <x:v>0.6556627803493603</x:v>
      </x:c>
    </x:row>
    <x:row r="72">
      <x:c r="A72" s="60" t="str">
        <x:f>'Raw Results'!A72</x:f>
        <x:v>500</x:v>
      </x:c>
      <x:c r="B72" s="61" t="str">
        <x:f>'Raw Results'!B72</x:f>
        <x:v>0.5</x:v>
      </x:c>
      <x:c r="C72" s="60" t="str">
        <x:f>'Raw Results'!C72</x:f>
        <x:v>1</x:v>
      </x:c>
      <x:c r="D72" s="60" t="n">
        <x:f>IF(AND('Raw Results'!K72="True",'Raw Results'!O72="True"),1,0)</x:f>
        <x:v>1</x:v>
      </x:c>
      <x:c r="E72" s="62" t="n">
        <x:f>'Raw Results'!M72-'Raw Results'!I72</x:f>
        <x:v>-17</x:v>
      </x:c>
      <x:c r="F72" s="63" t="str">
        <x:f>IF(D72=0,"Excluded",IF(E72&lt;0,"Grid Collision",IF(E72&gt;0,"Grid","Tie")))</x:f>
        <x:v>Grid Collision</x:v>
      </x:c>
      <x:c r="G72" s="64" t="n">
        <x:f>'Raw Results'!N72-'Raw Results'!J72</x:f>
        <x:v>-8.87502699997276</x:v>
      </x:c>
      <x:c r="H72" s="63" t="str">
        <x:f>IF(G72&lt;0,"Grid Collision",IF(G72&gt;0,"Grid","Tie"))</x:f>
        <x:v>Grid Collision</x:v>
      </x:c>
      <x:c r="I72" s="65" t="n">
        <x:f>IF('Raw Results'!J72=0,"",'Raw Results'!N72/'Raw Results'!J72)</x:f>
        <x:v>0.5044014462288189</x:v>
      </x:c>
    </x:row>
    <x:row r="73">
      <x:c r="A73" s="60" t="str">
        <x:f>'Raw Results'!A73</x:f>
        <x:v>500</x:v>
      </x:c>
      <x:c r="B73" s="61" t="str">
        <x:f>'Raw Results'!B73</x:f>
        <x:v>0.5</x:v>
      </x:c>
      <x:c r="C73" s="60" t="str">
        <x:f>'Raw Results'!C73</x:f>
        <x:v>2</x:v>
      </x:c>
      <x:c r="D73" s="60" t="n">
        <x:f>IF(AND('Raw Results'!K73="True",'Raw Results'!O73="True"),1,0)</x:f>
        <x:v>1</x:v>
      </x:c>
      <x:c r="E73" s="62" t="n">
        <x:f>'Raw Results'!M73-'Raw Results'!I73</x:f>
        <x:v>-13</x:v>
      </x:c>
      <x:c r="F73" s="63" t="str">
        <x:f>IF(D73=0,"Excluded",IF(E73&lt;0,"Grid Collision",IF(E73&gt;0,"Grid","Tie")))</x:f>
        <x:v>Grid Collision</x:v>
      </x:c>
      <x:c r="G73" s="64" t="n">
        <x:f>'Raw Results'!N73-'Raw Results'!J73</x:f>
        <x:v>-7.322610400035046</x:v>
      </x:c>
      <x:c r="H73" s="63" t="str">
        <x:f>IF(G73&lt;0,"Grid Collision",IF(G73&gt;0,"Grid","Tie"))</x:f>
        <x:v>Grid Collision</x:v>
      </x:c>
      <x:c r="I73" s="65" t="n">
        <x:f>IF('Raw Results'!J73=0,"",'Raw Results'!N73/'Raw Results'!J73)</x:f>
        <x:v>0.5643927970425867</x:v>
      </x:c>
    </x:row>
    <x:row r="74">
      <x:c r="A74" s="60" t="str">
        <x:f>'Raw Results'!A74</x:f>
        <x:v>500</x:v>
      </x:c>
      <x:c r="B74" s="61" t="str">
        <x:f>'Raw Results'!B74</x:f>
        <x:v>0.5</x:v>
      </x:c>
      <x:c r="C74" s="60" t="str">
        <x:f>'Raw Results'!C74</x:f>
        <x:v>3</x:v>
      </x:c>
      <x:c r="D74" s="60" t="n">
        <x:f>IF(AND('Raw Results'!K74="True",'Raw Results'!O74="True"),1,0)</x:f>
        <x:v>1</x:v>
      </x:c>
      <x:c r="E74" s="62" t="n">
        <x:f>'Raw Results'!M74-'Raw Results'!I74</x:f>
        <x:v>-17</x:v>
      </x:c>
      <x:c r="F74" s="63" t="str">
        <x:f>IF(D74=0,"Excluded",IF(E74&lt;0,"Grid Collision",IF(E74&gt;0,"Grid","Tie")))</x:f>
        <x:v>Grid Collision</x:v>
      </x:c>
      <x:c r="G74" s="64" t="n">
        <x:f>'Raw Results'!N74-'Raw Results'!J74</x:f>
        <x:v>-8.449670200003311</x:v>
      </x:c>
      <x:c r="H74" s="63" t="str">
        <x:f>IF(G74&lt;0,"Grid Collision",IF(G74&gt;0,"Grid","Tie"))</x:f>
        <x:v>Grid Collision</x:v>
      </x:c>
      <x:c r="I74" s="65" t="n">
        <x:f>IF('Raw Results'!J74=0,"",'Raw Results'!N74/'Raw Results'!J74)</x:f>
        <x:v>0.49494424537700815</x:v>
      </x:c>
    </x:row>
    <x:row r="75">
      <x:c r="A75" s="60" t="str">
        <x:f>'Raw Results'!A75</x:f>
        <x:v>500</x:v>
      </x:c>
      <x:c r="B75" s="61" t="str">
        <x:f>'Raw Results'!B75</x:f>
        <x:v>0.5</x:v>
      </x:c>
      <x:c r="C75" s="60" t="str">
        <x:f>'Raw Results'!C75</x:f>
        <x:v>4</x:v>
      </x:c>
      <x:c r="D75" s="60" t="n">
        <x:f>IF(AND('Raw Results'!K75="True",'Raw Results'!O75="True"),1,0)</x:f>
        <x:v>1</x:v>
      </x:c>
      <x:c r="E75" s="62" t="n">
        <x:f>'Raw Results'!M75-'Raw Results'!I75</x:f>
        <x:v>-16</x:v>
      </x:c>
      <x:c r="F75" s="63" t="str">
        <x:f>IF(D75=0,"Excluded",IF(E75&lt;0,"Grid Collision",IF(E75&gt;0,"Grid","Tie")))</x:f>
        <x:v>Grid Collision</x:v>
      </x:c>
      <x:c r="G75" s="64" t="n">
        <x:f>'Raw Results'!N75-'Raw Results'!J75</x:f>
        <x:v>-8.38714649999747</x:v>
      </x:c>
      <x:c r="H75" s="63" t="str">
        <x:f>IF(G75&lt;0,"Grid Collision",IF(G75&gt;0,"Grid","Tie"))</x:f>
        <x:v>Grid Collision</x:v>
      </x:c>
      <x:c r="I75" s="65" t="n">
        <x:f>IF('Raw Results'!J75=0,"",'Raw Results'!N75/'Raw Results'!J75)</x:f>
        <x:v>0.5135460923877152</x:v>
      </x:c>
    </x:row>
    <x:row r="76">
      <x:c r="A76" s="60" t="str">
        <x:f>'Raw Results'!A76</x:f>
        <x:v>500</x:v>
      </x:c>
      <x:c r="B76" s="61" t="str">
        <x:f>'Raw Results'!B76</x:f>
        <x:v>0.5</x:v>
      </x:c>
      <x:c r="C76" s="60" t="str">
        <x:f>'Raw Results'!C76</x:f>
        <x:v>5</x:v>
      </x:c>
      <x:c r="D76" s="60" t="n">
        <x:f>IF(AND('Raw Results'!K76="True",'Raw Results'!O76="True"),1,0)</x:f>
        <x:v>1</x:v>
      </x:c>
      <x:c r="E76" s="62" t="n">
        <x:f>'Raw Results'!M76-'Raw Results'!I76</x:f>
        <x:v>-6</x:v>
      </x:c>
      <x:c r="F76" s="63" t="str">
        <x:f>IF(D76=0,"Excluded",IF(E76&lt;0,"Grid Collision",IF(E76&gt;0,"Grid","Tie")))</x:f>
        <x:v>Grid Collision</x:v>
      </x:c>
      <x:c r="G76" s="64" t="n">
        <x:f>'Raw Results'!N76-'Raw Results'!J76</x:f>
        <x:v>-7.087627800006885</x:v>
      </x:c>
      <x:c r="H76" s="63" t="str">
        <x:f>IF(G76&lt;0,"Grid Collision",IF(G76&gt;0,"Grid","Tie"))</x:f>
        <x:v>Grid Collision</x:v>
      </x:c>
      <x:c r="I76" s="65" t="n">
        <x:f>IF('Raw Results'!J76=0,"",'Raw Results'!N76/'Raw Results'!J76)</x:f>
        <x:v>0.5685209521073511</x:v>
      </x:c>
    </x:row>
    <x:row r="77">
      <x:c r="A77" s="60" t="str">
        <x:f>'Raw Results'!A77</x:f>
        <x:v>500</x:v>
      </x:c>
      <x:c r="B77" s="61" t="str">
        <x:f>'Raw Results'!B77</x:f>
        <x:v>0.7</x:v>
      </x:c>
      <x:c r="C77" s="60" t="str">
        <x:f>'Raw Results'!C77</x:f>
        <x:v>1</x:v>
      </x:c>
      <x:c r="D77" s="60" t="n">
        <x:f>IF(AND('Raw Results'!K77="True",'Raw Results'!O77="True"),1,0)</x:f>
        <x:v>1</x:v>
      </x:c>
      <x:c r="E77" s="62" t="n">
        <x:f>'Raw Results'!M77-'Raw Results'!I77</x:f>
        <x:v>-16</x:v>
      </x:c>
      <x:c r="F77" s="63" t="str">
        <x:f>IF(D77=0,"Excluded",IF(E77&lt;0,"Grid Collision",IF(E77&gt;0,"Grid","Tie")))</x:f>
        <x:v>Grid Collision</x:v>
      </x:c>
      <x:c r="G77" s="64" t="n">
        <x:f>'Raw Results'!N77-'Raw Results'!J77</x:f>
        <x:v>-5.79879610001808</x:v>
      </x:c>
      <x:c r="H77" s="63" t="str">
        <x:f>IF(G77&lt;0,"Grid Collision",IF(G77&gt;0,"Grid","Tie"))</x:f>
        <x:v>Grid Collision</x:v>
      </x:c>
      <x:c r="I77" s="65" t="n">
        <x:f>IF('Raw Results'!J77=0,"",'Raw Results'!N77/'Raw Results'!J77)</x:f>
        <x:v>0.6612689414422738</x:v>
      </x:c>
    </x:row>
    <x:row r="78">
      <x:c r="A78" s="60" t="str">
        <x:f>'Raw Results'!A78</x:f>
        <x:v>500</x:v>
      </x:c>
      <x:c r="B78" s="61" t="str">
        <x:f>'Raw Results'!B78</x:f>
        <x:v>0.7</x:v>
      </x:c>
      <x:c r="C78" s="60" t="str">
        <x:f>'Raw Results'!C78</x:f>
        <x:v>2</x:v>
      </x:c>
      <x:c r="D78" s="60" t="n">
        <x:f>IF(AND('Raw Results'!K78="True",'Raw Results'!O78="True"),1,0)</x:f>
        <x:v>1</x:v>
      </x:c>
      <x:c r="E78" s="62" t="n">
        <x:f>'Raw Results'!M78-'Raw Results'!I78</x:f>
        <x:v>-21</x:v>
      </x:c>
      <x:c r="F78" s="63" t="str">
        <x:f>IF(D78=0,"Excluded",IF(E78&lt;0,"Grid Collision",IF(E78&gt;0,"Grid","Tie")))</x:f>
        <x:v>Grid Collision</x:v>
      </x:c>
      <x:c r="G78" s="64" t="n">
        <x:f>'Raw Results'!N78-'Raw Results'!J78</x:f>
        <x:v>-7.258218800008763</x:v>
      </x:c>
      <x:c r="H78" s="63" t="str">
        <x:f>IF(G78&lt;0,"Grid Collision",IF(G78&gt;0,"Grid","Tie"))</x:f>
        <x:v>Grid Collision</x:v>
      </x:c>
      <x:c r="I78" s="65" t="n">
        <x:f>IF('Raw Results'!J78=0,"",'Raw Results'!N78/'Raw Results'!J78)</x:f>
        <x:v>0.5698635020335072</x:v>
      </x:c>
    </x:row>
    <x:row r="79">
      <x:c r="A79" s="60" t="str">
        <x:f>'Raw Results'!A79</x:f>
        <x:v>500</x:v>
      </x:c>
      <x:c r="B79" s="61" t="str">
        <x:f>'Raw Results'!B79</x:f>
        <x:v>0.7</x:v>
      </x:c>
      <x:c r="C79" s="60" t="str">
        <x:f>'Raw Results'!C79</x:f>
        <x:v>3</x:v>
      </x:c>
      <x:c r="D79" s="60" t="n">
        <x:f>IF(AND('Raw Results'!K79="True",'Raw Results'!O79="True"),1,0)</x:f>
        <x:v>1</x:v>
      </x:c>
      <x:c r="E79" s="62" t="n">
        <x:f>'Raw Results'!M79-'Raw Results'!I79</x:f>
        <x:v>-18</x:v>
      </x:c>
      <x:c r="F79" s="63" t="str">
        <x:f>IF(D79=0,"Excluded",IF(E79&lt;0,"Grid Collision",IF(E79&gt;0,"Grid","Tie")))</x:f>
        <x:v>Grid Collision</x:v>
      </x:c>
      <x:c r="G79" s="64" t="n">
        <x:f>'Raw Results'!N79-'Raw Results'!J79</x:f>
        <x:v>-6.78344680002192</x:v>
      </x:c>
      <x:c r="H79" s="63" t="str">
        <x:f>IF(G79&lt;0,"Grid Collision",IF(G79&gt;0,"Grid","Tie"))</x:f>
        <x:v>Grid Collision</x:v>
      </x:c>
      <x:c r="I79" s="65" t="n">
        <x:f>IF('Raw Results'!J79=0,"",'Raw Results'!N79/'Raw Results'!J79)</x:f>
        <x:v>0.5944404345524125</x:v>
      </x:c>
    </x:row>
    <x:row r="80">
      <x:c r="A80" s="60" t="str">
        <x:f>'Raw Results'!A80</x:f>
        <x:v>500</x:v>
      </x:c>
      <x:c r="B80" s="61" t="str">
        <x:f>'Raw Results'!B80</x:f>
        <x:v>0.7</x:v>
      </x:c>
      <x:c r="C80" s="60" t="str">
        <x:f>'Raw Results'!C80</x:f>
        <x:v>4</x:v>
      </x:c>
      <x:c r="D80" s="60" t="n">
        <x:f>IF(AND('Raw Results'!K80="True",'Raw Results'!O80="True"),1,0)</x:f>
        <x:v>1</x:v>
      </x:c>
      <x:c r="E80" s="62" t="n">
        <x:f>'Raw Results'!M80-'Raw Results'!I80</x:f>
        <x:v>-7</x:v>
      </x:c>
      <x:c r="F80" s="63" t="str">
        <x:f>IF(D80=0,"Excluded",IF(E80&lt;0,"Grid Collision",IF(E80&gt;0,"Grid","Tie")))</x:f>
        <x:v>Grid Collision</x:v>
      </x:c>
      <x:c r="G80" s="64" t="n">
        <x:f>'Raw Results'!N80-'Raw Results'!J80</x:f>
        <x:v>-7.267469699960202</x:v>
      </x:c>
      <x:c r="H80" s="63" t="str">
        <x:f>IF(G80&lt;0,"Grid Collision",IF(G80&gt;0,"Grid","Tie"))</x:f>
        <x:v>Grid Collision</x:v>
      </x:c>
      <x:c r="I80" s="65" t="n">
        <x:f>IF('Raw Results'!J80=0,"",'Raw Results'!N80/'Raw Results'!J80)</x:f>
        <x:v>0.6089562347072977</x:v>
      </x:c>
    </x:row>
    <x:row r="81">
      <x:c r="A81" s="66" t="str">
        <x:f>'Raw Results'!A81</x:f>
        <x:v>500</x:v>
      </x:c>
      <x:c r="B81" s="67" t="str">
        <x:f>'Raw Results'!B81</x:f>
        <x:v>0.7</x:v>
      </x:c>
      <x:c r="C81" s="66" t="str">
        <x:f>'Raw Results'!C81</x:f>
        <x:v>5</x:v>
      </x:c>
      <x:c r="D81" s="66" t="n">
        <x:f>IF(AND('Raw Results'!K81="True",'Raw Results'!O81="True"),1,0)</x:f>
        <x:v>1</x:v>
      </x:c>
      <x:c r="E81" s="68" t="n">
        <x:f>'Raw Results'!M81-'Raw Results'!I81</x:f>
        <x:v>-20</x:v>
      </x:c>
      <x:c r="F81" s="69" t="str">
        <x:f>IF(D81=0,"Excluded",IF(E81&lt;0,"Grid Collision",IF(E81&gt;0,"Grid","Tie")))</x:f>
        <x:v>Grid Collision</x:v>
      </x:c>
      <x:c r="G81" s="70" t="n">
        <x:f>'Raw Results'!N81-'Raw Results'!J81</x:f>
        <x:v>-9.38334279996343</x:v>
      </x:c>
      <x:c r="H81" s="69" t="str">
        <x:f>IF(G81&lt;0,"Grid Collision",IF(G81&gt;0,"Grid","Tie"))</x:f>
        <x:v>Grid Collision</x:v>
      </x:c>
      <x:c r="I81" s="71" t="n">
        <x:f>IF('Raw Results'!J81=0,"",'Raw Results'!N81/'Raw Results'!J81)</x:f>
        <x:v>0.5195221495407522</x:v>
      </x:c>
    </x:row>
  </x:sheetData>
  <x:conditionalFormatting sqref="E2:E81">
    <x:cfRule type="cellIs" dxfId="0" priority="1" operator="lessThan">
      <x:formula>0</x:formula>
    </x:cfRule>
    <x:cfRule type="cellIs" dxfId="1" priority="2" operator="greater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b71f5dd45eb4b0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36" customHeight="1">
      <x:c r="A1" s="92" t="str">
        <x:v>Normal Grid vs. Grid Collision</x:v>
      </x:c>
      <x:c r="B1" s="92"/>
      <x:c r="C1" s="92"/>
      <x:c r="D1" s="92"/>
      <x:c r="E1" s="92"/>
      <x:c r="F1" s="92"/>
      <x:c r="G1" s="92"/>
      <x:c r="H1" s="92"/>
      <x:c r="I1" s="92"/>
      <x:c r="J1" s="92"/>
      <x:c r="K1" s="92"/>
      <x:c r="L1" s="92"/>
    </x:row>
    <x:row r="2" ht="31" customHeight="1">
      <x:c r="A2" s="100" t="str">
        <x:v>Fresh paired benchmark: identical graphs, probe grids, candidate pools, and pruning seeds; only the candidate-scoring rule changes.</x:v>
      </x:c>
      <x:c r="B2" s="100"/>
      <x:c r="C2" s="100"/>
      <x:c r="D2" s="100"/>
      <x:c r="E2" s="100"/>
      <x:c r="F2" s="100"/>
      <x:c r="G2" s="100"/>
      <x:c r="H2" s="100"/>
      <x:c r="I2" s="100"/>
      <x:c r="J2" s="100"/>
      <x:c r="K2" s="100"/>
      <x:c r="L2" s="100"/>
    </x:row>
    <x:row r="3">
      <x:c r="A3" s="108" t="str">
        <x:v>Paired runs</x:v>
      </x:c>
      <x:c r="B3" s="108"/>
      <x:c r="C3" s="108" t="str">
        <x:v>Both valid</x:v>
      </x:c>
      <x:c r="D3" s="108"/>
      <x:c r="E3" s="108" t="str">
        <x:v>Collision size wins</x:v>
      </x:c>
      <x:c r="F3" s="108"/>
      <x:c r="G3" s="108" t="str">
        <x:v>Grid size wins</x:v>
      </x:c>
      <x:c r="H3" s="108"/>
      <x:c r="I3" s="108" t="str">
        <x:v>Avg size change</x:v>
      </x:c>
      <x:c r="J3" s="108"/>
      <x:c r="K3" s="108" t="str">
        <x:v>Collision / Grid time</x:v>
      </x:c>
      <x:c r="L3" s="108"/>
    </x:row>
    <x:row r="4" ht="24" customHeight="1">
      <x:c r="A4" s="138" t="n">
        <x:f>COUNTA('Analysis'!$A$2:$A$81)</x:f>
        <x:v>80</x:v>
      </x:c>
      <x:c r="B4" s="139"/>
      <x:c r="C4" s="138" t="n">
        <x:f>COUNTIF('Analysis'!$D$2:$D$81,1)</x:f>
        <x:v>58</x:v>
      </x:c>
      <x:c r="D4" s="139"/>
      <x:c r="E4" s="138" t="n">
        <x:f>COUNTIF('Analysis'!$F$2:$F$81,"Grid Collision")</x:f>
        <x:v>42</x:v>
      </x:c>
      <x:c r="F4" s="139"/>
      <x:c r="G4" s="138" t="n">
        <x:f>COUNTIF('Analysis'!$F$2:$F$81,"Grid")</x:f>
        <x:v>9</x:v>
      </x:c>
      <x:c r="H4" s="139"/>
      <x:c r="I4" s="162" t="n">
        <x:f>AVERAGEIF('Analysis'!$D$2:$D$81,1,'Analysis'!$E$2:$E$81)</x:f>
        <x:v>-4.568965517241379</x:v>
      </x:c>
      <x:c r="J4" s="163"/>
      <x:c r="K4" s="186" t="n">
        <x:f>AVERAGE('Raw Results'!$N$2:$N$81)/AVERAGE('Raw Results'!$J$2:$J$81)</x:f>
        <x:v>0.5648137494863351</x:v>
      </x:c>
      <x:c r="L4" s="187"/>
    </x:row>
    <x:row r="5" ht="24" customHeight="1">
      <x:c r="A5" s="140"/>
      <x:c r="B5" s="141"/>
      <x:c r="C5" s="140"/>
      <x:c r="D5" s="141"/>
      <x:c r="E5" s="140"/>
      <x:c r="F5" s="141"/>
      <x:c r="G5" s="140"/>
      <x:c r="H5" s="141"/>
      <x:c r="I5" s="164"/>
      <x:c r="J5" s="165"/>
      <x:c r="K5" s="188"/>
      <x:c r="L5" s="189"/>
    </x:row>
    <x:row r="7" ht="32" customHeight="1">
      <x:c r="A7" s="10" t="str">
        <x:v>Method</x:v>
      </x:c>
      <x:c r="B7" s="10" t="str">
        <x:v>Valid runs</x:v>
      </x:c>
      <x:c r="C7" s="10" t="str">
        <x:v>Validity</x:v>
      </x:c>
      <x:c r="D7" s="10" t="str">
        <x:v>Avg size (both valid)</x:v>
      </x:c>
      <x:c r="E7" s="10" t="str">
        <x:v>Avg time (s)</x:v>
      </x:c>
      <x:c r="F7" s="10" t="str">
        <x:v>Valid size wins</x:v>
      </x:c>
      <x:c r="G7" s="10" t="str">
        <x:v>Speed wins</x:v>
      </x:c>
    </x:row>
    <x:row r="8">
      <x:c r="A8" s="208" t="str">
        <x:v>Grid</x:v>
      </x:c>
      <x:c r="B8" s="212" t="n">
        <x:f>COUNTIF('Raw Results'!$K$2:$K$81,TRUE)</x:f>
        <x:v>66</x:v>
      </x:c>
      <x:c r="C8" s="216" t="n">
        <x:f>B8/$A$4</x:f>
        <x:v>0.825</x:v>
      </x:c>
      <x:c r="D8" s="220" t="n">
        <x:f>AVERAGEIF('Analysis'!$D$2:$D$81,1,'Raw Results'!$I$2:$I$81)</x:f>
        <x:v>46.60344827586207</x:v>
      </x:c>
      <x:c r="E8" s="224" t="n">
        <x:f>AVERAGE('Raw Results'!$J$2:$J$81)</x:f>
        <x:v>2.5696399212509276</x:v>
      </x:c>
      <x:c r="F8" s="212" t="n">
        <x:f>COUNTIF('Analysis'!$F$2:$F$81,A8)</x:f>
        <x:v>9</x:v>
      </x:c>
      <x:c r="G8" s="228" t="n">
        <x:f>COUNTIF('Analysis'!$H$2:$H$81,A8)</x:f>
        <x:v>6</x:v>
      </x:c>
    </x:row>
    <x:row r="9">
      <x:c r="A9" s="209" t="str">
        <x:v>Grid Collision</x:v>
      </x:c>
      <x:c r="B9" s="213" t="n">
        <x:f>COUNTIF('Raw Results'!$O$2:$O$81,TRUE)</x:f>
        <x:v>58</x:v>
      </x:c>
      <x:c r="C9" s="217" t="n">
        <x:f>B9/$A$4</x:f>
        <x:v>0.725</x:v>
      </x:c>
      <x:c r="D9" s="221" t="n">
        <x:f>AVERAGEIF('Analysis'!$D$2:$D$81,1,'Raw Results'!$M$2:$M$81)</x:f>
        <x:v>42.03448275862069</x:v>
      </x:c>
      <x:c r="E9" s="225" t="n">
        <x:f>AVERAGE('Raw Results'!$N$2:$N$81)</x:f>
        <x:v>1.4513679587515071</x:v>
      </x:c>
      <x:c r="F9" s="213" t="n">
        <x:f>COUNTIF('Analysis'!$F$2:$F$81,A9)</x:f>
        <x:v>42</x:v>
      </x:c>
      <x:c r="G9" s="229" t="n">
        <x:f>COUNTIF('Analysis'!$H$2:$H$81,A9)</x:f>
        <x:v>74</x:v>
      </x:c>
    </x:row>
    <x:row r="11">
      <x:c r="A11" s="260" t="str">
        <x:v>Reading the comparison: negative size change favors Grid Collision. Size wins and average sizes include only rows where both methods returned valid resolving sets. Runtime includes each selection method and its pruning stage; graph generation and independent validation are outside the timed region.</x:v>
      </x:c>
      <x:c r="B11" s="261"/>
      <x:c r="C11" s="261"/>
      <x:c r="D11" s="261"/>
      <x:c r="E11" s="261"/>
      <x:c r="F11" s="261"/>
      <x:c r="G11" s="261"/>
      <x:c r="H11" s="261"/>
      <x:c r="I11" s="261"/>
      <x:c r="J11" s="261"/>
      <x:c r="K11" s="261"/>
      <x:c r="L11" s="262"/>
    </x:row>
    <x:row r="12">
      <x:c r="A12" s="263"/>
      <x:c r="B12" s="264"/>
      <x:c r="C12" s="264"/>
      <x:c r="D12" s="264"/>
      <x:c r="E12" s="264"/>
      <x:c r="F12" s="264"/>
      <x:c r="G12" s="264"/>
      <x:c r="H12" s="264"/>
      <x:c r="I12" s="264"/>
      <x:c r="J12" s="264"/>
      <x:c r="K12" s="264"/>
      <x:c r="L12" s="265"/>
    </x:row>
  </x:sheetData>
  <x:mergeCells>
    <x:mergeCell ref="A1:L1"/>
    <x:mergeCell ref="A2:L2"/>
    <x:mergeCell ref="A3:B3"/>
    <x:mergeCell ref="C3:D3"/>
    <x:mergeCell ref="E3:F3"/>
    <x:mergeCell ref="G3:H3"/>
    <x:mergeCell ref="I3:J3"/>
    <x:mergeCell ref="K3:L3"/>
    <x:mergeCell ref="A4:B5"/>
    <x:mergeCell ref="C4:D5"/>
    <x:mergeCell ref="E4:F5"/>
    <x:mergeCell ref="G4:H5"/>
    <x:mergeCell ref="I4:J5"/>
    <x:mergeCell ref="K4:L5"/>
    <x:mergeCell ref="A11:L12"/>
  </x:mergeCells>
  <x:conditionalFormatting sqref="C8:C9">
    <x:cfRule type="cellIs" dxfId="2" priority="1" operator="lessThan">
      <x:formula>1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0" hidden="0" customWidth="1"/>
    <x:col min="3" max="3" width="12" hidden="0" customWidth="1"/>
    <x:col min="4" max="4" width="12" hidden="0" customWidth="1"/>
    <x:col min="5" max="5" width="18" hidden="0" customWidth="1"/>
    <x:col min="6" max="6" width="18" hidden="0" customWidth="1"/>
    <x:col min="7" max="7" width="18" hidden="0" customWidth="1"/>
    <x:col min="8" max="8" width="14" hidden="0" customWidth="1"/>
    <x:col min="9" max="9" width="14" hidden="0" customWidth="1"/>
    <x:col min="10" max="10" width="14" hidden="0" customWidth="1"/>
    <x:col min="11" max="11" width="20" hidden="0" customWidth="1"/>
    <x:col min="12" max="12" width="20" hidden="0" customWidth="1"/>
    <x:col min="13" max="13" width="20" hidden="0" customWidth="1"/>
    <x:col min="14" max="14" width="16" hidden="0" customWidth="1"/>
    <x:col min="15" max="15" width="16" hidden="0" customWidth="1"/>
  </x:cols>
  <x:sheetData>
    <x:row r="1" ht="35" customHeight="1">
      <x:c r="A1" s="274" t="str">
        <x:v>Grid vs. Grid Collision by Graph Configuration</x:v>
      </x:c>
      <x:c r="B1" s="274"/>
      <x:c r="C1" s="274"/>
      <x:c r="D1" s="274"/>
      <x:c r="E1" s="274"/>
      <x:c r="F1" s="274"/>
      <x:c r="G1" s="274"/>
      <x:c r="H1" s="274"/>
      <x:c r="I1" s="274"/>
      <x:c r="J1" s="274"/>
      <x:c r="K1" s="274"/>
      <x:c r="L1" s="274"/>
      <x:c r="M1" s="274"/>
      <x:c r="N1" s="274"/>
      <x:c r="O1" s="274"/>
    </x:row>
    <x:row r="2">
      <x:c r="A2" s="96" t="str">
        <x:v>Averages for set size use only paired-valid rows; timing averages include all five repeats for each configuration.</x:v>
      </x:c>
      <x:c r="B2" s="96"/>
      <x:c r="C2" s="96"/>
      <x:c r="D2" s="96"/>
      <x:c r="E2" s="96"/>
      <x:c r="F2" s="96"/>
      <x:c r="G2" s="96"/>
      <x:c r="H2" s="96"/>
      <x:c r="I2" s="96"/>
      <x:c r="J2" s="96"/>
      <x:c r="K2" s="96"/>
      <x:c r="L2" s="96"/>
      <x:c r="M2" s="96"/>
      <x:c r="N2" s="96"/>
      <x:c r="O2" s="96"/>
    </x:row>
    <x:row r="5" ht="40" customHeight="1">
      <x:c r="A5" s="280" t="str">
        <x:v>n</x:v>
      </x:c>
      <x:c r="B5" s="280" t="str">
        <x:v>radius</x:v>
      </x:c>
      <x:c r="C5" s="280" t="str">
        <x:v>runs</x:v>
      </x:c>
      <x:c r="D5" s="280" t="str">
        <x:v>both valid</x:v>
      </x:c>
      <x:c r="E5" s="280" t="str">
        <x:v>Grid avg size</x:v>
      </x:c>
      <x:c r="F5" s="280" t="str">
        <x:v>Collision avg size</x:v>
      </x:c>
      <x:c r="G5" s="280" t="str">
        <x:v>Collision - Grid</x:v>
      </x:c>
      <x:c r="H5" s="280" t="str">
        <x:v>Collision wins</x:v>
      </x:c>
      <x:c r="I5" s="280" t="str">
        <x:v>Grid wins</x:v>
      </x:c>
      <x:c r="J5" s="280" t="str">
        <x:v>ties</x:v>
      </x:c>
      <x:c r="K5" s="280" t="str">
        <x:v>Grid avg time (s)</x:v>
      </x:c>
      <x:c r="L5" s="280" t="str">
        <x:v>Collision avg time (s)</x:v>
      </x:c>
      <x:c r="M5" s="280" t="str">
        <x:v>Collision / Grid time</x:v>
      </x:c>
      <x:c r="N5" s="280" t="str">
        <x:v>Grid validity</x:v>
      </x:c>
      <x:c r="O5" s="280" t="str">
        <x:v>Collision validity</x:v>
      </x:c>
    </x:row>
    <x:row r="6">
      <x:c r="A6" s="54" t="n">
        <x:v>50</x:v>
      </x:c>
      <x:c r="B6" s="55" t="n">
        <x:v>0.1</x:v>
      </x:c>
      <x:c r="C6" s="54" t="n">
        <x:f>COUNTIFS('Raw Results'!$A$2:$A$81,A6,'Raw Results'!$B$2:$B$81,B6)</x:f>
        <x:v>5</x:v>
      </x:c>
      <x:c r="D6" s="54" t="n">
        <x:f>COUNTIFS('Raw Results'!$A$2:$A$81,A6,'Raw Results'!$B$2:$B$81,B6,'Analysis'!$D$2:$D$81,1)</x:f>
        <x:v>0</x:v>
      </x:c>
      <x:c r="E6" s="288" t="str">
        <x:f>IF(D6=0,"",AVERAGEIFS('Raw Results'!$I$2:$I$81,'Raw Results'!$A$2:$A$81,A6,'Raw Results'!$B$2:$B$81,B6,'Analysis'!$D$2:$D$81,1))</x:f>
      </x:c>
      <x:c r="F6" s="288" t="str">
        <x:f>IF(D6=0,"",AVERAGEIFS('Raw Results'!$M$2:$M$81,'Raw Results'!$A$2:$A$81,A6,'Raw Results'!$B$2:$B$81,B6,'Analysis'!$D$2:$D$81,1))</x:f>
      </x:c>
      <x:c r="G6" s="288" t="str">
        <x:f>IF(D6=0,"",F6-E6)</x:f>
      </x:c>
      <x:c r="H6" s="54" t="n">
        <x:f>COUNTIFS('Raw Results'!$A$2:$A$81,A6,'Raw Results'!$B$2:$B$81,B6,'Analysis'!$F$2:$F$81,"Grid Collision")</x:f>
        <x:v>0</x:v>
      </x:c>
      <x:c r="I6" s="54" t="n">
        <x:f>COUNTIFS('Raw Results'!$A$2:$A$81,A6,'Raw Results'!$B$2:$B$81,B6,'Analysis'!$F$2:$F$81,"Grid")</x:f>
        <x:v>0</x:v>
      </x:c>
      <x:c r="J6" s="54" t="n">
        <x:f>COUNTIFS('Raw Results'!$A$2:$A$81,A6,'Raw Results'!$B$2:$B$81,B6,'Analysis'!$F$2:$F$81,"Tie")</x:f>
        <x:v>0</x:v>
      </x:c>
      <x:c r="K6" s="289" t="n">
        <x:f>AVERAGEIFS('Raw Results'!$J$2:$J$81,'Raw Results'!$A$2:$A$81,A6,'Raw Results'!$B$2:$B$81,B6)</x:f>
        <x:v>0.00208912001689896</x:v>
      </x:c>
      <x:c r="L6" s="289" t="n">
        <x:f>AVERAGEIFS('Raw Results'!$N$2:$N$81,'Raw Results'!$A$2:$A$81,A6,'Raw Results'!$B$2:$B$81,B6)</x:f>
        <x:v>0.002011439995840192</x:v>
      </x:c>
      <x:c r="M6" s="59" t="n">
        <x:f>L6/K6</x:f>
        <x:v>0.9628168700551372</x:v>
      </x:c>
      <x:c r="N6" s="290" t="n">
        <x:f>COUNTIFS('Raw Results'!$A$2:$A$81,A6,'Raw Results'!$B$2:$B$81,B6,'Raw Results'!$K$2:$K$81,TRUE)/C6</x:f>
        <x:v>0</x:v>
      </x:c>
      <x:c r="O6" s="290" t="n">
        <x:f>COUNTIFS('Raw Results'!$A$2:$A$81,A6,'Raw Results'!$B$2:$B$81,B6,'Raw Results'!$O$2:$O$81,TRUE)/C6</x:f>
        <x:v>0</x:v>
      </x:c>
    </x:row>
    <x:row r="7">
      <x:c r="A7" s="60" t="n">
        <x:v>50</x:v>
      </x:c>
      <x:c r="B7" s="61" t="n">
        <x:v>0.3</x:v>
      </x:c>
      <x:c r="C7" s="60" t="n">
        <x:f>COUNTIFS('Raw Results'!$A$2:$A$81,A7,'Raw Results'!$B$2:$B$81,B7)</x:f>
        <x:v>5</x:v>
      </x:c>
      <x:c r="D7" s="60" t="n">
        <x:f>COUNTIFS('Raw Results'!$A$2:$A$81,A7,'Raw Results'!$B$2:$B$81,B7,'Analysis'!$D$2:$D$81,1)</x:f>
        <x:v>4</x:v>
      </x:c>
      <x:c r="E7" s="291" t="n">
        <x:f>IF(D7=0,"",AVERAGEIFS('Raw Results'!$I$2:$I$81,'Raw Results'!$A$2:$A$81,A7,'Raw Results'!$B$2:$B$81,B7,'Analysis'!$D$2:$D$81,1))</x:f>
        <x:v>12.25</x:v>
      </x:c>
      <x:c r="F7" s="291" t="n">
        <x:f>IF(D7=0,"",AVERAGEIFS('Raw Results'!$M$2:$M$81,'Raw Results'!$A$2:$A$81,A7,'Raw Results'!$B$2:$B$81,B7,'Analysis'!$D$2:$D$81,1))</x:f>
        <x:v>12</x:v>
      </x:c>
      <x:c r="G7" s="291" t="n">
        <x:f>IF(D7=0,"",F7-E7)</x:f>
        <x:v>-0.25</x:v>
      </x:c>
      <x:c r="H7" s="60" t="n">
        <x:f>COUNTIFS('Raw Results'!$A$2:$A$81,A7,'Raw Results'!$B$2:$B$81,B7,'Analysis'!$F$2:$F$81,"Grid Collision")</x:f>
        <x:v>1</x:v>
      </x:c>
      <x:c r="I7" s="60" t="n">
        <x:f>COUNTIFS('Raw Results'!$A$2:$A$81,A7,'Raw Results'!$B$2:$B$81,B7,'Analysis'!$F$2:$F$81,"Grid")</x:f>
        <x:v>1</x:v>
      </x:c>
      <x:c r="J7" s="60" t="n">
        <x:f>COUNTIFS('Raw Results'!$A$2:$A$81,A7,'Raw Results'!$B$2:$B$81,B7,'Analysis'!$F$2:$F$81,"Tie")</x:f>
        <x:v>2</x:v>
      </x:c>
      <x:c r="K7" s="292" t="n">
        <x:f>AVERAGEIFS('Raw Results'!$J$2:$J$81,'Raw Results'!$A$2:$A$81,A7,'Raw Results'!$B$2:$B$81,B7)</x:f>
        <x:v>0.00550489998422563</x:v>
      </x:c>
      <x:c r="L7" s="292" t="n">
        <x:f>AVERAGEIFS('Raw Results'!$N$2:$N$81,'Raw Results'!$A$2:$A$81,A7,'Raw Results'!$B$2:$B$81,B7)</x:f>
        <x:v>0.004906360013410449</x:v>
      </x:c>
      <x:c r="M7" s="65" t="n">
        <x:f>L7/K7</x:f>
        <x:v>0.89127141773142</x:v>
      </x:c>
      <x:c r="N7" s="293" t="n">
        <x:f>COUNTIFS('Raw Results'!$A$2:$A$81,A7,'Raw Results'!$B$2:$B$81,B7,'Raw Results'!$K$2:$K$81,TRUE)/C7</x:f>
        <x:v>1</x:v>
      </x:c>
      <x:c r="O7" s="293" t="n">
        <x:f>COUNTIFS('Raw Results'!$A$2:$A$81,A7,'Raw Results'!$B$2:$B$81,B7,'Raw Results'!$O$2:$O$81,TRUE)/C7</x:f>
        <x:v>0.8</x:v>
      </x:c>
    </x:row>
    <x:row r="8">
      <x:c r="A8" s="60" t="n">
        <x:v>50</x:v>
      </x:c>
      <x:c r="B8" s="61" t="n">
        <x:v>0.5</x:v>
      </x:c>
      <x:c r="C8" s="60" t="n">
        <x:f>COUNTIFS('Raw Results'!$A$2:$A$81,A8,'Raw Results'!$B$2:$B$81,B8)</x:f>
        <x:v>5</x:v>
      </x:c>
      <x:c r="D8" s="60" t="n">
        <x:f>COUNTIFS('Raw Results'!$A$2:$A$81,A8,'Raw Results'!$B$2:$B$81,B8,'Analysis'!$D$2:$D$81,1)</x:f>
        <x:v>5</x:v>
      </x:c>
      <x:c r="E8" s="291" t="n">
        <x:f>IF(D8=0,"",AVERAGEIFS('Raw Results'!$I$2:$I$81,'Raw Results'!$A$2:$A$81,A8,'Raw Results'!$B$2:$B$81,B8,'Analysis'!$D$2:$D$81,1))</x:f>
        <x:v>15.6</x:v>
      </x:c>
      <x:c r="F8" s="291" t="n">
        <x:f>IF(D8=0,"",AVERAGEIFS('Raw Results'!$M$2:$M$81,'Raw Results'!$A$2:$A$81,A8,'Raw Results'!$B$2:$B$81,B8,'Analysis'!$D$2:$D$81,1))</x:f>
        <x:v>15</x:v>
      </x:c>
      <x:c r="G8" s="291" t="n">
        <x:f>IF(D8=0,"",F8-E8)</x:f>
        <x:v>-0.5999999999999996</x:v>
      </x:c>
      <x:c r="H8" s="60" t="n">
        <x:f>COUNTIFS('Raw Results'!$A$2:$A$81,A8,'Raw Results'!$B$2:$B$81,B8,'Analysis'!$F$2:$F$81,"Grid Collision")</x:f>
        <x:v>2</x:v>
      </x:c>
      <x:c r="I8" s="60" t="n">
        <x:f>COUNTIFS('Raw Results'!$A$2:$A$81,A8,'Raw Results'!$B$2:$B$81,B8,'Analysis'!$F$2:$F$81,"Grid")</x:f>
        <x:v>1</x:v>
      </x:c>
      <x:c r="J8" s="60" t="n">
        <x:f>COUNTIFS('Raw Results'!$A$2:$A$81,A8,'Raw Results'!$B$2:$B$81,B8,'Analysis'!$F$2:$F$81,"Tie")</x:f>
        <x:v>2</x:v>
      </x:c>
      <x:c r="K8" s="292" t="n">
        <x:f>AVERAGEIFS('Raw Results'!$J$2:$J$81,'Raw Results'!$A$2:$A$81,A8,'Raw Results'!$B$2:$B$81,B8)</x:f>
        <x:v>0.020916560024488717</x:v>
      </x:c>
      <x:c r="L8" s="292" t="n">
        <x:f>AVERAGEIFS('Raw Results'!$N$2:$N$81,'Raw Results'!$A$2:$A$81,A8,'Raw Results'!$B$2:$B$81,B8)</x:f>
        <x:v>0.01660683999070898</x:v>
      </x:c>
      <x:c r="M8" s="65" t="n">
        <x:f>L8/K8</x:f>
        <x:v>0.793956557448548</x:v>
      </x:c>
      <x:c r="N8" s="293" t="n">
        <x:f>COUNTIFS('Raw Results'!$A$2:$A$81,A8,'Raw Results'!$B$2:$B$81,B8,'Raw Results'!$K$2:$K$81,TRUE)/C8</x:f>
        <x:v>1</x:v>
      </x:c>
      <x:c r="O8" s="293" t="n">
        <x:f>COUNTIFS('Raw Results'!$A$2:$A$81,A8,'Raw Results'!$B$2:$B$81,B8,'Raw Results'!$O$2:$O$81,TRUE)/C8</x:f>
        <x:v>1</x:v>
      </x:c>
    </x:row>
    <x:row r="9">
      <x:c r="A9" s="60" t="n">
        <x:v>50</x:v>
      </x:c>
      <x:c r="B9" s="61" t="n">
        <x:v>0.7</x:v>
      </x:c>
      <x:c r="C9" s="60" t="n">
        <x:f>COUNTIFS('Raw Results'!$A$2:$A$81,A9,'Raw Results'!$B$2:$B$81,B9)</x:f>
        <x:v>5</x:v>
      </x:c>
      <x:c r="D9" s="60" t="n">
        <x:f>COUNTIFS('Raw Results'!$A$2:$A$81,A9,'Raw Results'!$B$2:$B$81,B9,'Analysis'!$D$2:$D$81,1)</x:f>
        <x:v>5</x:v>
      </x:c>
      <x:c r="E9" s="291" t="n">
        <x:f>IF(D9=0,"",AVERAGEIFS('Raw Results'!$I$2:$I$81,'Raw Results'!$A$2:$A$81,A9,'Raw Results'!$B$2:$B$81,B9,'Analysis'!$D$2:$D$81,1))</x:f>
        <x:v>21.4</x:v>
      </x:c>
      <x:c r="F9" s="291" t="n">
        <x:f>IF(D9=0,"",AVERAGEIFS('Raw Results'!$M$2:$M$81,'Raw Results'!$A$2:$A$81,A9,'Raw Results'!$B$2:$B$81,B9,'Analysis'!$D$2:$D$81,1))</x:f>
        <x:v>20.4</x:v>
      </x:c>
      <x:c r="G9" s="291" t="n">
        <x:f>IF(D9=0,"",F9-E9)</x:f>
        <x:v>-1</x:v>
      </x:c>
      <x:c r="H9" s="60" t="n">
        <x:f>COUNTIFS('Raw Results'!$A$2:$A$81,A9,'Raw Results'!$B$2:$B$81,B9,'Analysis'!$F$2:$F$81,"Grid Collision")</x:f>
        <x:v>3</x:v>
      </x:c>
      <x:c r="I9" s="60" t="n">
        <x:f>COUNTIFS('Raw Results'!$A$2:$A$81,A9,'Raw Results'!$B$2:$B$81,B9,'Analysis'!$F$2:$F$81,"Grid")</x:f>
        <x:v>0</x:v>
      </x:c>
      <x:c r="J9" s="60" t="n">
        <x:f>COUNTIFS('Raw Results'!$A$2:$A$81,A9,'Raw Results'!$B$2:$B$81,B9,'Analysis'!$F$2:$F$81,"Tie")</x:f>
        <x:v>2</x:v>
      </x:c>
      <x:c r="K9" s="292" t="n">
        <x:f>AVERAGEIFS('Raw Results'!$J$2:$J$81,'Raw Results'!$A$2:$A$81,A9,'Raw Results'!$B$2:$B$81,B9)</x:f>
        <x:v>0.020478520006872714</x:v>
      </x:c>
      <x:c r="L9" s="292" t="n">
        <x:f>AVERAGEIFS('Raw Results'!$N$2:$N$81,'Raw Results'!$A$2:$A$81,A9,'Raw Results'!$B$2:$B$81,B9)</x:f>
        <x:v>0.01917417999356985</x:v>
      </x:c>
      <x:c r="M9" s="65" t="n">
        <x:f>L9/K9</x:f>
        <x:v>0.9363069199890852</x:v>
      </x:c>
      <x:c r="N9" s="293" t="n">
        <x:f>COUNTIFS('Raw Results'!$A$2:$A$81,A9,'Raw Results'!$B$2:$B$81,B9,'Raw Results'!$K$2:$K$81,TRUE)/C9</x:f>
        <x:v>1</x:v>
      </x:c>
      <x:c r="O9" s="293" t="n">
        <x:f>COUNTIFS('Raw Results'!$A$2:$A$81,A9,'Raw Results'!$B$2:$B$81,B9,'Raw Results'!$O$2:$O$81,TRUE)/C9</x:f>
        <x:v>1</x:v>
      </x:c>
    </x:row>
    <x:row r="10">
      <x:c r="A10" s="60" t="n">
        <x:v>100</x:v>
      </x:c>
      <x:c r="B10" s="61" t="n">
        <x:v>0.1</x:v>
      </x:c>
      <x:c r="C10" s="60" t="n">
        <x:f>COUNTIFS('Raw Results'!$A$2:$A$81,A10,'Raw Results'!$B$2:$B$81,B10)</x:f>
        <x:v>5</x:v>
      </x:c>
      <x:c r="D10" s="60" t="n">
        <x:f>COUNTIFS('Raw Results'!$A$2:$A$81,A10,'Raw Results'!$B$2:$B$81,B10,'Analysis'!$D$2:$D$81,1)</x:f>
        <x:v>0</x:v>
      </x:c>
      <x:c r="E10" s="291" t="str">
        <x:f>IF(D10=0,"",AVERAGEIFS('Raw Results'!$I$2:$I$81,'Raw Results'!$A$2:$A$81,A10,'Raw Results'!$B$2:$B$81,B10,'Analysis'!$D$2:$D$81,1))</x:f>
      </x:c>
      <x:c r="F10" s="291" t="str">
        <x:f>IF(D10=0,"",AVERAGEIFS('Raw Results'!$M$2:$M$81,'Raw Results'!$A$2:$A$81,A10,'Raw Results'!$B$2:$B$81,B10,'Analysis'!$D$2:$D$81,1))</x:f>
      </x:c>
      <x:c r="G10" s="291" t="str">
        <x:f>IF(D10=0,"",F10-E10)</x:f>
      </x:c>
      <x:c r="H10" s="60" t="n">
        <x:f>COUNTIFS('Raw Results'!$A$2:$A$81,A10,'Raw Results'!$B$2:$B$81,B10,'Analysis'!$F$2:$F$81,"Grid Collision")</x:f>
        <x:v>0</x:v>
      </x:c>
      <x:c r="I10" s="60" t="n">
        <x:f>COUNTIFS('Raw Results'!$A$2:$A$81,A10,'Raw Results'!$B$2:$B$81,B10,'Analysis'!$F$2:$F$81,"Grid")</x:f>
        <x:v>0</x:v>
      </x:c>
      <x:c r="J10" s="60" t="n">
        <x:f>COUNTIFS('Raw Results'!$A$2:$A$81,A10,'Raw Results'!$B$2:$B$81,B10,'Analysis'!$F$2:$F$81,"Tie")</x:f>
        <x:v>0</x:v>
      </x:c>
      <x:c r="K10" s="292" t="n">
        <x:f>AVERAGEIFS('Raw Results'!$J$2:$J$81,'Raw Results'!$A$2:$A$81,A10,'Raw Results'!$B$2:$B$81,B10)</x:f>
        <x:v>0.005640999996103346</x:v>
      </x:c>
      <x:c r="L10" s="292" t="n">
        <x:f>AVERAGEIFS('Raw Results'!$N$2:$N$81,'Raw Results'!$A$2:$A$81,A10,'Raw Results'!$B$2:$B$81,B10)</x:f>
        <x:v>0.005442419997416436</x:v>
      </x:c>
      <x:c r="M10" s="65" t="n">
        <x:f>L10/K10</x:f>
        <x:v>0.9647970220131034</x:v>
      </x:c>
      <x:c r="N10" s="293" t="n">
        <x:f>COUNTIFS('Raw Results'!$A$2:$A$81,A10,'Raw Results'!$B$2:$B$81,B10,'Raw Results'!$K$2:$K$81,TRUE)/C10</x:f>
        <x:v>0</x:v>
      </x:c>
      <x:c r="O10" s="293" t="n">
        <x:f>COUNTIFS('Raw Results'!$A$2:$A$81,A10,'Raw Results'!$B$2:$B$81,B10,'Raw Results'!$O$2:$O$81,TRUE)/C10</x:f>
        <x:v>0</x:v>
      </x:c>
    </x:row>
    <x:row r="11">
      <x:c r="A11" s="60" t="n">
        <x:v>100</x:v>
      </x:c>
      <x:c r="B11" s="61" t="n">
        <x:v>0.3</x:v>
      </x:c>
      <x:c r="C11" s="60" t="n">
        <x:f>COUNTIFS('Raw Results'!$A$2:$A$81,A11,'Raw Results'!$B$2:$B$81,B11)</x:f>
        <x:v>5</x:v>
      </x:c>
      <x:c r="D11" s="60" t="n">
        <x:f>COUNTIFS('Raw Results'!$A$2:$A$81,A11,'Raw Results'!$B$2:$B$81,B11,'Analysis'!$D$2:$D$81,1)</x:f>
        <x:v>4</x:v>
      </x:c>
      <x:c r="E11" s="291" t="n">
        <x:f>IF(D11=0,"",AVERAGEIFS('Raw Results'!$I$2:$I$81,'Raw Results'!$A$2:$A$81,A11,'Raw Results'!$B$2:$B$81,B11,'Analysis'!$D$2:$D$81,1))</x:f>
        <x:v>19.75</x:v>
      </x:c>
      <x:c r="F11" s="291" t="n">
        <x:f>IF(D11=0,"",AVERAGEIFS('Raw Results'!$M$2:$M$81,'Raw Results'!$A$2:$A$81,A11,'Raw Results'!$B$2:$B$81,B11,'Analysis'!$D$2:$D$81,1))</x:f>
        <x:v>19.75</x:v>
      </x:c>
      <x:c r="G11" s="291" t="n">
        <x:f>IF(D11=0,"",F11-E11)</x:f>
        <x:v>0</x:v>
      </x:c>
      <x:c r="H11" s="60" t="n">
        <x:f>COUNTIFS('Raw Results'!$A$2:$A$81,A11,'Raw Results'!$B$2:$B$81,B11,'Analysis'!$F$2:$F$81,"Grid Collision")</x:f>
        <x:v>2</x:v>
      </x:c>
      <x:c r="I11" s="60" t="n">
        <x:f>COUNTIFS('Raw Results'!$A$2:$A$81,A11,'Raw Results'!$B$2:$B$81,B11,'Analysis'!$F$2:$F$81,"Grid")</x:f>
        <x:v>1</x:v>
      </x:c>
      <x:c r="J11" s="60" t="n">
        <x:f>COUNTIFS('Raw Results'!$A$2:$A$81,A11,'Raw Results'!$B$2:$B$81,B11,'Analysis'!$F$2:$F$81,"Tie")</x:f>
        <x:v>1</x:v>
      </x:c>
      <x:c r="K11" s="292" t="n">
        <x:f>AVERAGEIFS('Raw Results'!$J$2:$J$81,'Raw Results'!$A$2:$A$81,A11,'Raw Results'!$B$2:$B$81,B11)</x:f>
        <x:v>0.02448837998090312</x:v>
      </x:c>
      <x:c r="L11" s="292" t="n">
        <x:f>AVERAGEIFS('Raw Results'!$N$2:$N$81,'Raw Results'!$A$2:$A$81,A11,'Raw Results'!$B$2:$B$81,B11)</x:f>
        <x:v>0.016830640006810428</x:v>
      </x:c>
      <x:c r="M11" s="65" t="n">
        <x:f>L11/K11</x:f>
        <x:v>0.6872908710145603</x:v>
      </x:c>
      <x:c r="N11" s="293" t="n">
        <x:f>COUNTIFS('Raw Results'!$A$2:$A$81,A11,'Raw Results'!$B$2:$B$81,B11,'Raw Results'!$K$2:$K$81,TRUE)/C11</x:f>
        <x:v>1</x:v>
      </x:c>
      <x:c r="O11" s="293" t="n">
        <x:f>COUNTIFS('Raw Results'!$A$2:$A$81,A11,'Raw Results'!$B$2:$B$81,B11,'Raw Results'!$O$2:$O$81,TRUE)/C11</x:f>
        <x:v>0.8</x:v>
      </x:c>
    </x:row>
    <x:row r="12">
      <x:c r="A12" s="60" t="n">
        <x:v>100</x:v>
      </x:c>
      <x:c r="B12" s="61" t="n">
        <x:v>0.5</x:v>
      </x:c>
      <x:c r="C12" s="60" t="n">
        <x:f>COUNTIFS('Raw Results'!$A$2:$A$81,A12,'Raw Results'!$B$2:$B$81,B12)</x:f>
        <x:v>5</x:v>
      </x:c>
      <x:c r="D12" s="60" t="n">
        <x:f>COUNTIFS('Raw Results'!$A$2:$A$81,A12,'Raw Results'!$B$2:$B$81,B12,'Analysis'!$D$2:$D$81,1)</x:f>
        <x:v>5</x:v>
      </x:c>
      <x:c r="E12" s="291" t="n">
        <x:f>IF(D12=0,"",AVERAGEIFS('Raw Results'!$I$2:$I$81,'Raw Results'!$A$2:$A$81,A12,'Raw Results'!$B$2:$B$81,B12,'Analysis'!$D$2:$D$81,1))</x:f>
        <x:v>27.4</x:v>
      </x:c>
      <x:c r="F12" s="291" t="n">
        <x:f>IF(D12=0,"",AVERAGEIFS('Raw Results'!$M$2:$M$81,'Raw Results'!$A$2:$A$81,A12,'Raw Results'!$B$2:$B$81,B12,'Analysis'!$D$2:$D$81,1))</x:f>
        <x:v>24.4</x:v>
      </x:c>
      <x:c r="G12" s="291" t="n">
        <x:f>IF(D12=0,"",F12-E12)</x:f>
        <x:v>-3</x:v>
      </x:c>
      <x:c r="H12" s="60" t="n">
        <x:f>COUNTIFS('Raw Results'!$A$2:$A$81,A12,'Raw Results'!$B$2:$B$81,B12,'Analysis'!$F$2:$F$81,"Grid Collision")</x:f>
        <x:v>5</x:v>
      </x:c>
      <x:c r="I12" s="60" t="n">
        <x:f>COUNTIFS('Raw Results'!$A$2:$A$81,A12,'Raw Results'!$B$2:$B$81,B12,'Analysis'!$F$2:$F$81,"Grid")</x:f>
        <x:v>0</x:v>
      </x:c>
      <x:c r="J12" s="60" t="n">
        <x:f>COUNTIFS('Raw Results'!$A$2:$A$81,A12,'Raw Results'!$B$2:$B$81,B12,'Analysis'!$F$2:$F$81,"Tie")</x:f>
        <x:v>0</x:v>
      </x:c>
      <x:c r="K12" s="292" t="n">
        <x:f>AVERAGEIFS('Raw Results'!$J$2:$J$81,'Raw Results'!$A$2:$A$81,A12,'Raw Results'!$B$2:$B$81,B12)</x:f>
        <x:v>0.12712666001170875</x:v>
      </x:c>
      <x:c r="L12" s="292" t="n">
        <x:f>AVERAGEIFS('Raw Results'!$N$2:$N$81,'Raw Results'!$A$2:$A$81,A12,'Raw Results'!$B$2:$B$81,B12)</x:f>
        <x:v>0.0887560399947688</x:v>
      </x:c>
      <x:c r="M12" s="65" t="n">
        <x:f>L12/K12</x:f>
        <x:v>0.6981701555487583</x:v>
      </x:c>
      <x:c r="N12" s="293" t="n">
        <x:f>COUNTIFS('Raw Results'!$A$2:$A$81,A12,'Raw Results'!$B$2:$B$81,B12,'Raw Results'!$K$2:$K$81,TRUE)/C12</x:f>
        <x:v>1</x:v>
      </x:c>
      <x:c r="O12" s="293" t="n">
        <x:f>COUNTIFS('Raw Results'!$A$2:$A$81,A12,'Raw Results'!$B$2:$B$81,B12,'Raw Results'!$O$2:$O$81,TRUE)/C12</x:f>
        <x:v>1</x:v>
      </x:c>
    </x:row>
    <x:row r="13">
      <x:c r="A13" s="60" t="n">
        <x:v>100</x:v>
      </x:c>
      <x:c r="B13" s="61" t="n">
        <x:v>0.7</x:v>
      </x:c>
      <x:c r="C13" s="60" t="n">
        <x:f>COUNTIFS('Raw Results'!$A$2:$A$81,A13,'Raw Results'!$B$2:$B$81,B13)</x:f>
        <x:v>5</x:v>
      </x:c>
      <x:c r="D13" s="60" t="n">
        <x:f>COUNTIFS('Raw Results'!$A$2:$A$81,A13,'Raw Results'!$B$2:$B$81,B13,'Analysis'!$D$2:$D$81,1)</x:f>
        <x:v>5</x:v>
      </x:c>
      <x:c r="E13" s="291" t="n">
        <x:f>IF(D13=0,"",AVERAGEIFS('Raw Results'!$I$2:$I$81,'Raw Results'!$A$2:$A$81,A13,'Raw Results'!$B$2:$B$81,B13,'Analysis'!$D$2:$D$81,1))</x:f>
        <x:v>38.8</x:v>
      </x:c>
      <x:c r="F13" s="291" t="n">
        <x:f>IF(D13=0,"",AVERAGEIFS('Raw Results'!$M$2:$M$81,'Raw Results'!$A$2:$A$81,A13,'Raw Results'!$B$2:$B$81,B13,'Analysis'!$D$2:$D$81,1))</x:f>
        <x:v>35.2</x:v>
      </x:c>
      <x:c r="G13" s="291" t="n">
        <x:f>IF(D13=0,"",F13-E13)</x:f>
        <x:v>-3.5999999999999943</x:v>
      </x:c>
      <x:c r="H13" s="60" t="n">
        <x:f>COUNTIFS('Raw Results'!$A$2:$A$81,A13,'Raw Results'!$B$2:$B$81,B13,'Analysis'!$F$2:$F$81,"Grid Collision")</x:f>
        <x:v>5</x:v>
      </x:c>
      <x:c r="I13" s="60" t="n">
        <x:f>COUNTIFS('Raw Results'!$A$2:$A$81,A13,'Raw Results'!$B$2:$B$81,B13,'Analysis'!$F$2:$F$81,"Grid")</x:f>
        <x:v>0</x:v>
      </x:c>
      <x:c r="J13" s="60" t="n">
        <x:f>COUNTIFS('Raw Results'!$A$2:$A$81,A13,'Raw Results'!$B$2:$B$81,B13,'Analysis'!$F$2:$F$81,"Tie")</x:f>
        <x:v>0</x:v>
      </x:c>
      <x:c r="K13" s="292" t="n">
        <x:f>AVERAGEIFS('Raw Results'!$J$2:$J$81,'Raw Results'!$A$2:$A$81,A13,'Raw Results'!$B$2:$B$81,B13)</x:f>
        <x:v>0.14734438000014052</x:v>
      </x:c>
      <x:c r="L13" s="292" t="n">
        <x:f>AVERAGEIFS('Raw Results'!$N$2:$N$81,'Raw Results'!$A$2:$A$81,A13,'Raw Results'!$B$2:$B$81,B13)</x:f>
        <x:v>0.13386311999056488</x:v>
      </x:c>
      <x:c r="M13" s="65" t="n">
        <x:f>L13/K13</x:f>
        <x:v>0.9085050952770456</x:v>
      </x:c>
      <x:c r="N13" s="293" t="n">
        <x:f>COUNTIFS('Raw Results'!$A$2:$A$81,A13,'Raw Results'!$B$2:$B$81,B13,'Raw Results'!$K$2:$K$81,TRUE)/C13</x:f>
        <x:v>1</x:v>
      </x:c>
      <x:c r="O13" s="293" t="n">
        <x:f>COUNTIFS('Raw Results'!$A$2:$A$81,A13,'Raw Results'!$B$2:$B$81,B13,'Raw Results'!$O$2:$O$81,TRUE)/C13</x:f>
        <x:v>1</x:v>
      </x:c>
    </x:row>
    <x:row r="14">
      <x:c r="A14" s="60" t="n">
        <x:v>200</x:v>
      </x:c>
      <x:c r="B14" s="61" t="n">
        <x:v>0.1</x:v>
      </x:c>
      <x:c r="C14" s="60" t="n">
        <x:f>COUNTIFS('Raw Results'!$A$2:$A$81,A14,'Raw Results'!$B$2:$B$81,B14)</x:f>
        <x:v>5</x:v>
      </x:c>
      <x:c r="D14" s="60" t="n">
        <x:f>COUNTIFS('Raw Results'!$A$2:$A$81,A14,'Raw Results'!$B$2:$B$81,B14,'Analysis'!$D$2:$D$81,1)</x:f>
        <x:v>0</x:v>
      </x:c>
      <x:c r="E14" s="291" t="str">
        <x:f>IF(D14=0,"",AVERAGEIFS('Raw Results'!$I$2:$I$81,'Raw Results'!$A$2:$A$81,A14,'Raw Results'!$B$2:$B$81,B14,'Analysis'!$D$2:$D$81,1))</x:f>
      </x:c>
      <x:c r="F14" s="291" t="str">
        <x:f>IF(D14=0,"",AVERAGEIFS('Raw Results'!$M$2:$M$81,'Raw Results'!$A$2:$A$81,A14,'Raw Results'!$B$2:$B$81,B14,'Analysis'!$D$2:$D$81,1))</x:f>
      </x:c>
      <x:c r="G14" s="291" t="str">
        <x:f>IF(D14=0,"",F14-E14)</x:f>
      </x:c>
      <x:c r="H14" s="60" t="n">
        <x:f>COUNTIFS('Raw Results'!$A$2:$A$81,A14,'Raw Results'!$B$2:$B$81,B14,'Analysis'!$F$2:$F$81,"Grid Collision")</x:f>
        <x:v>0</x:v>
      </x:c>
      <x:c r="I14" s="60" t="n">
        <x:f>COUNTIFS('Raw Results'!$A$2:$A$81,A14,'Raw Results'!$B$2:$B$81,B14,'Analysis'!$F$2:$F$81,"Grid")</x:f>
        <x:v>0</x:v>
      </x:c>
      <x:c r="J14" s="60" t="n">
        <x:f>COUNTIFS('Raw Results'!$A$2:$A$81,A14,'Raw Results'!$B$2:$B$81,B14,'Analysis'!$F$2:$F$81,"Tie")</x:f>
        <x:v>0</x:v>
      </x:c>
      <x:c r="K14" s="292" t="n">
        <x:f>AVERAGEIFS('Raw Results'!$J$2:$J$81,'Raw Results'!$A$2:$A$81,A14,'Raw Results'!$B$2:$B$81,B14)</x:f>
        <x:v>0.046545760007575154</x:v>
      </x:c>
      <x:c r="L14" s="292" t="n">
        <x:f>AVERAGEIFS('Raw Results'!$N$2:$N$81,'Raw Results'!$A$2:$A$81,A14,'Raw Results'!$B$2:$B$81,B14)</x:f>
        <x:v>0.02419128001201898</x:v>
      </x:c>
      <x:c r="M14" s="65" t="n">
        <x:f>L14/K14</x:f>
        <x:v>0.5197311206881559</x:v>
      </x:c>
      <x:c r="N14" s="293" t="n">
        <x:f>COUNTIFS('Raw Results'!$A$2:$A$81,A14,'Raw Results'!$B$2:$B$81,B14,'Raw Results'!$K$2:$K$81,TRUE)/C14</x:f>
        <x:v>0.2</x:v>
      </x:c>
      <x:c r="O14" s="293" t="n">
        <x:f>COUNTIFS('Raw Results'!$A$2:$A$81,A14,'Raw Results'!$B$2:$B$81,B14,'Raw Results'!$O$2:$O$81,TRUE)/C14</x:f>
        <x:v>0</x:v>
      </x:c>
    </x:row>
    <x:row r="15">
      <x:c r="A15" s="60" t="n">
        <x:v>200</x:v>
      </x:c>
      <x:c r="B15" s="61" t="n">
        <x:v>0.3</x:v>
      </x:c>
      <x:c r="C15" s="60" t="n">
        <x:f>COUNTIFS('Raw Results'!$A$2:$A$81,A15,'Raw Results'!$B$2:$B$81,B15)</x:f>
        <x:v>5</x:v>
      </x:c>
      <x:c r="D15" s="60" t="n">
        <x:f>COUNTIFS('Raw Results'!$A$2:$A$81,A15,'Raw Results'!$B$2:$B$81,B15,'Analysis'!$D$2:$D$81,1)</x:f>
        <x:v>3</x:v>
      </x:c>
      <x:c r="E15" s="291" t="n">
        <x:f>IF(D15=0,"",AVERAGEIFS('Raw Results'!$I$2:$I$81,'Raw Results'!$A$2:$A$81,A15,'Raw Results'!$B$2:$B$81,B15,'Analysis'!$D$2:$D$81,1))</x:f>
        <x:v>32.333333333333336</x:v>
      </x:c>
      <x:c r="F15" s="291" t="n">
        <x:f>IF(D15=0,"",AVERAGEIFS('Raw Results'!$M$2:$M$81,'Raw Results'!$A$2:$A$81,A15,'Raw Results'!$B$2:$B$81,B15,'Analysis'!$D$2:$D$81,1))</x:f>
        <x:v>32.666666666666664</x:v>
      </x:c>
      <x:c r="G15" s="291" t="n">
        <x:f>IF(D15=0,"",F15-E15)</x:f>
        <x:v>0.3333333333333286</x:v>
      </x:c>
      <x:c r="H15" s="60" t="n">
        <x:f>COUNTIFS('Raw Results'!$A$2:$A$81,A15,'Raw Results'!$B$2:$B$81,B15,'Analysis'!$F$2:$F$81,"Grid Collision")</x:f>
        <x:v>1</x:v>
      </x:c>
      <x:c r="I15" s="60" t="n">
        <x:f>COUNTIFS('Raw Results'!$A$2:$A$81,A15,'Raw Results'!$B$2:$B$81,B15,'Analysis'!$F$2:$F$81,"Grid")</x:f>
        <x:v>2</x:v>
      </x:c>
      <x:c r="J15" s="60" t="n">
        <x:f>COUNTIFS('Raw Results'!$A$2:$A$81,A15,'Raw Results'!$B$2:$B$81,B15,'Analysis'!$F$2:$F$81,"Tie")</x:f>
        <x:v>0</x:v>
      </x:c>
      <x:c r="K15" s="292" t="n">
        <x:f>AVERAGEIFS('Raw Results'!$J$2:$J$81,'Raw Results'!$A$2:$A$81,A15,'Raw Results'!$B$2:$B$81,B15)</x:f>
        <x:v>0.1568381999968551</x:v>
      </x:c>
      <x:c r="L15" s="292" t="n">
        <x:f>AVERAGEIFS('Raw Results'!$N$2:$N$81,'Raw Results'!$A$2:$A$81,A15,'Raw Results'!$B$2:$B$81,B15)</x:f>
        <x:v>0.09997794001828879</x:v>
      </x:c>
      <x:c r="M15" s="65" t="n">
        <x:f>L15/K15</x:f>
        <x:v>0.6374591140442413</x:v>
      </x:c>
      <x:c r="N15" s="293" t="n">
        <x:f>COUNTIFS('Raw Results'!$A$2:$A$81,A15,'Raw Results'!$B$2:$B$81,B15,'Raw Results'!$K$2:$K$81,TRUE)/C15</x:f>
        <x:v>1</x:v>
      </x:c>
      <x:c r="O15" s="293" t="n">
        <x:f>COUNTIFS('Raw Results'!$A$2:$A$81,A15,'Raw Results'!$B$2:$B$81,B15,'Raw Results'!$O$2:$O$81,TRUE)/C15</x:f>
        <x:v>0.6</x:v>
      </x:c>
    </x:row>
    <x:row r="16">
      <x:c r="A16" s="60" t="n">
        <x:v>200</x:v>
      </x:c>
      <x:c r="B16" s="61" t="n">
        <x:v>0.5</x:v>
      </x:c>
      <x:c r="C16" s="60" t="n">
        <x:f>COUNTIFS('Raw Results'!$A$2:$A$81,A16,'Raw Results'!$B$2:$B$81,B16)</x:f>
        <x:v>5</x:v>
      </x:c>
      <x:c r="D16" s="60" t="n">
        <x:f>COUNTIFS('Raw Results'!$A$2:$A$81,A16,'Raw Results'!$B$2:$B$81,B16,'Analysis'!$D$2:$D$81,1)</x:f>
        <x:v>5</x:v>
      </x:c>
      <x:c r="E16" s="291" t="n">
        <x:f>IF(D16=0,"",AVERAGEIFS('Raw Results'!$I$2:$I$81,'Raw Results'!$A$2:$A$81,A16,'Raw Results'!$B$2:$B$81,B16,'Analysis'!$D$2:$D$81,1))</x:f>
        <x:v>45.4</x:v>
      </x:c>
      <x:c r="F16" s="291" t="n">
        <x:f>IF(D16=0,"",AVERAGEIFS('Raw Results'!$M$2:$M$81,'Raw Results'!$A$2:$A$81,A16,'Raw Results'!$B$2:$B$81,B16,'Analysis'!$D$2:$D$81,1))</x:f>
        <x:v>39.6</x:v>
      </x:c>
      <x:c r="G16" s="291" t="n">
        <x:f>IF(D16=0,"",F16-E16)</x:f>
        <x:v>-5.799999999999997</x:v>
      </x:c>
      <x:c r="H16" s="60" t="n">
        <x:f>COUNTIFS('Raw Results'!$A$2:$A$81,A16,'Raw Results'!$B$2:$B$81,B16,'Analysis'!$F$2:$F$81,"Grid Collision")</x:f>
        <x:v>4</x:v>
      </x:c>
      <x:c r="I16" s="60" t="n">
        <x:f>COUNTIFS('Raw Results'!$A$2:$A$81,A16,'Raw Results'!$B$2:$B$81,B16,'Analysis'!$F$2:$F$81,"Grid")</x:f>
        <x:v>1</x:v>
      </x:c>
      <x:c r="J16" s="60" t="n">
        <x:f>COUNTIFS('Raw Results'!$A$2:$A$81,A16,'Raw Results'!$B$2:$B$81,B16,'Analysis'!$F$2:$F$81,"Tie")</x:f>
        <x:v>0</x:v>
      </x:c>
      <x:c r="K16" s="292" t="n">
        <x:f>AVERAGEIFS('Raw Results'!$J$2:$J$81,'Raw Results'!$A$2:$A$81,A16,'Raw Results'!$B$2:$B$81,B16)</x:f>
        <x:v>1.1973874599905685</x:v>
      </x:c>
      <x:c r="L16" s="292" t="n">
        <x:f>AVERAGEIFS('Raw Results'!$N$2:$N$81,'Raw Results'!$A$2:$A$81,A16,'Raw Results'!$B$2:$B$81,B16)</x:f>
        <x:v>0.7427018800051883</x:v>
      </x:c>
      <x:c r="M16" s="65" t="n">
        <x:f>L16/K16</x:f>
        <x:v>0.6202686305158386</x:v>
      </x:c>
      <x:c r="N16" s="293" t="n">
        <x:f>COUNTIFS('Raw Results'!$A$2:$A$81,A16,'Raw Results'!$B$2:$B$81,B16,'Raw Results'!$K$2:$K$81,TRUE)/C16</x:f>
        <x:v>1</x:v>
      </x:c>
      <x:c r="O16" s="293" t="n">
        <x:f>COUNTIFS('Raw Results'!$A$2:$A$81,A16,'Raw Results'!$B$2:$B$81,B16,'Raw Results'!$O$2:$O$81,TRUE)/C16</x:f>
        <x:v>1</x:v>
      </x:c>
    </x:row>
    <x:row r="17">
      <x:c r="A17" s="60" t="n">
        <x:v>200</x:v>
      </x:c>
      <x:c r="B17" s="61" t="n">
        <x:v>0.7</x:v>
      </x:c>
      <x:c r="C17" s="60" t="n">
        <x:f>COUNTIFS('Raw Results'!$A$2:$A$81,A17,'Raw Results'!$B$2:$B$81,B17)</x:f>
        <x:v>5</x:v>
      </x:c>
      <x:c r="D17" s="60" t="n">
        <x:f>COUNTIFS('Raw Results'!$A$2:$A$81,A17,'Raw Results'!$B$2:$B$81,B17,'Analysis'!$D$2:$D$81,1)</x:f>
        <x:v>5</x:v>
      </x:c>
      <x:c r="E17" s="291" t="n">
        <x:f>IF(D17=0,"",AVERAGEIFS('Raw Results'!$I$2:$I$81,'Raw Results'!$A$2:$A$81,A17,'Raw Results'!$B$2:$B$81,B17,'Analysis'!$D$2:$D$81,1))</x:f>
        <x:v>60</x:v>
      </x:c>
      <x:c r="F17" s="291" t="n">
        <x:f>IF(D17=0,"",AVERAGEIFS('Raw Results'!$M$2:$M$81,'Raw Results'!$A$2:$A$81,A17,'Raw Results'!$B$2:$B$81,B17,'Analysis'!$D$2:$D$81,1))</x:f>
        <x:v>52.8</x:v>
      </x:c>
      <x:c r="G17" s="291" t="n">
        <x:f>IF(D17=0,"",F17-E17)</x:f>
        <x:v>-7.200000000000003</x:v>
      </x:c>
      <x:c r="H17" s="60" t="n">
        <x:f>COUNTIFS('Raw Results'!$A$2:$A$81,A17,'Raw Results'!$B$2:$B$81,B17,'Analysis'!$F$2:$F$81,"Grid Collision")</x:f>
        <x:v>5</x:v>
      </x:c>
      <x:c r="I17" s="60" t="n">
        <x:f>COUNTIFS('Raw Results'!$A$2:$A$81,A17,'Raw Results'!$B$2:$B$81,B17,'Analysis'!$F$2:$F$81,"Grid")</x:f>
        <x:v>0</x:v>
      </x:c>
      <x:c r="J17" s="60" t="n">
        <x:f>COUNTIFS('Raw Results'!$A$2:$A$81,A17,'Raw Results'!$B$2:$B$81,B17,'Analysis'!$F$2:$F$81,"Tie")</x:f>
        <x:v>0</x:v>
      </x:c>
      <x:c r="K17" s="292" t="n">
        <x:f>AVERAGEIFS('Raw Results'!$J$2:$J$81,'Raw Results'!$A$2:$A$81,A17,'Raw Results'!$B$2:$B$81,B17)</x:f>
        <x:v>1.2389209600049071</x:v>
      </x:c>
      <x:c r="L17" s="292" t="n">
        <x:f>AVERAGEIFS('Raw Results'!$N$2:$N$81,'Raw Results'!$A$2:$A$81,A17,'Raw Results'!$B$2:$B$81,B17)</x:f>
        <x:v>0.8540132399997674</x:v>
      </x:c>
      <x:c r="M17" s="65" t="n">
        <x:f>L17/K17</x:f>
        <x:v>0.6893201968238433</x:v>
      </x:c>
      <x:c r="N17" s="293" t="n">
        <x:f>COUNTIFS('Raw Results'!$A$2:$A$81,A17,'Raw Results'!$B$2:$B$81,B17,'Raw Results'!$K$2:$K$81,TRUE)/C17</x:f>
        <x:v>1</x:v>
      </x:c>
      <x:c r="O17" s="293" t="n">
        <x:f>COUNTIFS('Raw Results'!$A$2:$A$81,A17,'Raw Results'!$B$2:$B$81,B17,'Raw Results'!$O$2:$O$81,TRUE)/C17</x:f>
        <x:v>1</x:v>
      </x:c>
    </x:row>
    <x:row r="18">
      <x:c r="A18" s="60" t="n">
        <x:v>500</x:v>
      </x:c>
      <x:c r="B18" s="61" t="n">
        <x:v>0.1</x:v>
      </x:c>
      <x:c r="C18" s="60" t="n">
        <x:f>COUNTIFS('Raw Results'!$A$2:$A$81,A18,'Raw Results'!$B$2:$B$81,B18)</x:f>
        <x:v>5</x:v>
      </x:c>
      <x:c r="D18" s="60" t="n">
        <x:f>COUNTIFS('Raw Results'!$A$2:$A$81,A18,'Raw Results'!$B$2:$B$81,B18,'Analysis'!$D$2:$D$81,1)</x:f>
        <x:v>2</x:v>
      </x:c>
      <x:c r="E18" s="291" t="n">
        <x:f>IF(D18=0,"",AVERAGEIFS('Raw Results'!$I$2:$I$81,'Raw Results'!$A$2:$A$81,A18,'Raw Results'!$B$2:$B$81,B18,'Analysis'!$D$2:$D$81,1))</x:f>
        <x:v>64.5</x:v>
      </x:c>
      <x:c r="F18" s="291" t="n">
        <x:f>IF(D18=0,"",AVERAGEIFS('Raw Results'!$M$2:$M$81,'Raw Results'!$A$2:$A$81,A18,'Raw Results'!$B$2:$B$81,B18,'Analysis'!$D$2:$D$81,1))</x:f>
        <x:v>63.5</x:v>
      </x:c>
      <x:c r="G18" s="291" t="n">
        <x:f>IF(D18=0,"",F18-E18)</x:f>
        <x:v>-1</x:v>
      </x:c>
      <x:c r="H18" s="60" t="n">
        <x:f>COUNTIFS('Raw Results'!$A$2:$A$81,A18,'Raw Results'!$B$2:$B$81,B18,'Analysis'!$F$2:$F$81,"Grid Collision")</x:f>
        <x:v>1</x:v>
      </x:c>
      <x:c r="I18" s="60" t="n">
        <x:f>COUNTIFS('Raw Results'!$A$2:$A$81,A18,'Raw Results'!$B$2:$B$81,B18,'Analysis'!$F$2:$F$81,"Grid")</x:f>
        <x:v>1</x:v>
      </x:c>
      <x:c r="J18" s="60" t="n">
        <x:f>COUNTIFS('Raw Results'!$A$2:$A$81,A18,'Raw Results'!$B$2:$B$81,B18,'Analysis'!$F$2:$F$81,"Tie")</x:f>
        <x:v>0</x:v>
      </x:c>
      <x:c r="K18" s="292" t="n">
        <x:f>AVERAGEIFS('Raw Results'!$J$2:$J$81,'Raw Results'!$A$2:$A$81,A18,'Raw Results'!$B$2:$B$81,B18)</x:f>
        <x:v>1.290739280008711</x:v>
      </x:c>
      <x:c r="L18" s="292" t="n">
        <x:f>AVERAGEIFS('Raw Results'!$N$2:$N$81,'Raw Results'!$A$2:$A$81,A18,'Raw Results'!$B$2:$B$81,B18)</x:f>
        <x:v>0.42750717999879273</x:v>
      </x:c>
      <x:c r="M18" s="65" t="n">
        <x:f>L18/K18</x:f>
        <x:v>0.33121110252095803</x:v>
      </x:c>
      <x:c r="N18" s="293" t="n">
        <x:f>COUNTIFS('Raw Results'!$A$2:$A$81,A18,'Raw Results'!$B$2:$B$81,B18,'Raw Results'!$K$2:$K$81,TRUE)/C18</x:f>
        <x:v>1</x:v>
      </x:c>
      <x:c r="O18" s="293" t="n">
        <x:f>COUNTIFS('Raw Results'!$A$2:$A$81,A18,'Raw Results'!$B$2:$B$81,B18,'Raw Results'!$O$2:$O$81,TRUE)/C18</x:f>
        <x:v>0.4</x:v>
      </x:c>
    </x:row>
    <x:row r="19">
      <x:c r="A19" s="60" t="n">
        <x:v>500</x:v>
      </x:c>
      <x:c r="B19" s="61" t="n">
        <x:v>0.3</x:v>
      </x:c>
      <x:c r="C19" s="60" t="n">
        <x:f>COUNTIFS('Raw Results'!$A$2:$A$81,A19,'Raw Results'!$B$2:$B$81,B19)</x:f>
        <x:v>5</x:v>
      </x:c>
      <x:c r="D19" s="60" t="n">
        <x:f>COUNTIFS('Raw Results'!$A$2:$A$81,A19,'Raw Results'!$B$2:$B$81,B19,'Analysis'!$D$2:$D$81,1)</x:f>
        <x:v>5</x:v>
      </x:c>
      <x:c r="E19" s="291" t="n">
        <x:f>IF(D19=0,"",AVERAGEIFS('Raw Results'!$I$2:$I$81,'Raw Results'!$A$2:$A$81,A19,'Raw Results'!$B$2:$B$81,B19,'Analysis'!$D$2:$D$81,1))</x:f>
        <x:v>61.4</x:v>
      </x:c>
      <x:c r="F19" s="291" t="n">
        <x:f>IF(D19=0,"",AVERAGEIFS('Raw Results'!$M$2:$M$81,'Raw Results'!$A$2:$A$81,A19,'Raw Results'!$B$2:$B$81,B19,'Analysis'!$D$2:$D$81,1))</x:f>
        <x:v>60.2</x:v>
      </x:c>
      <x:c r="G19" s="291" t="n">
        <x:f>IF(D19=0,"",F19-E19)</x:f>
        <x:v>-1.1999999999999957</x:v>
      </x:c>
      <x:c r="H19" s="60" t="n">
        <x:f>COUNTIFS('Raw Results'!$A$2:$A$81,A19,'Raw Results'!$B$2:$B$81,B19,'Analysis'!$F$2:$F$81,"Grid Collision")</x:f>
        <x:v>3</x:v>
      </x:c>
      <x:c r="I19" s="60" t="n">
        <x:f>COUNTIFS('Raw Results'!$A$2:$A$81,A19,'Raw Results'!$B$2:$B$81,B19,'Analysis'!$F$2:$F$81,"Grid")</x:f>
        <x:v>2</x:v>
      </x:c>
      <x:c r="J19" s="60" t="n">
        <x:f>COUNTIFS('Raw Results'!$A$2:$A$81,A19,'Raw Results'!$B$2:$B$81,B19,'Analysis'!$F$2:$F$81,"Tie")</x:f>
        <x:v>0</x:v>
      </x:c>
      <x:c r="K19" s="292" t="n">
        <x:f>AVERAGEIFS('Raw Results'!$J$2:$J$81,'Raw Results'!$A$2:$A$81,A19,'Raw Results'!$B$2:$B$81,B19)</x:f>
        <x:v>2.0403635599883274</x:v>
      </x:c>
      <x:c r="L19" s="292" t="n">
        <x:f>AVERAGEIFS('Raw Results'!$N$2:$N$81,'Raw Results'!$A$2:$A$81,A19,'Raw Results'!$B$2:$B$81,B19)</x:f>
        <x:v>1.3187220000079833</x:v>
      </x:c>
      <x:c r="M19" s="65" t="n">
        <x:f>L19/K19</x:f>
        <x:v>0.6463171690909475</x:v>
      </x:c>
      <x:c r="N19" s="293" t="n">
        <x:f>COUNTIFS('Raw Results'!$A$2:$A$81,A19,'Raw Results'!$B$2:$B$81,B19,'Raw Results'!$K$2:$K$81,TRUE)/C19</x:f>
        <x:v>1</x:v>
      </x:c>
      <x:c r="O19" s="293" t="n">
        <x:f>COUNTIFS('Raw Results'!$A$2:$A$81,A19,'Raw Results'!$B$2:$B$81,B19,'Raw Results'!$O$2:$O$81,TRUE)/C19</x:f>
        <x:v>1</x:v>
      </x:c>
    </x:row>
    <x:row r="20">
      <x:c r="A20" s="60" t="n">
        <x:v>500</x:v>
      </x:c>
      <x:c r="B20" s="61" t="n">
        <x:v>0.5</x:v>
      </x:c>
      <x:c r="C20" s="60" t="n">
        <x:f>COUNTIFS('Raw Results'!$A$2:$A$81,A20,'Raw Results'!$B$2:$B$81,B20)</x:f>
        <x:v>5</x:v>
      </x:c>
      <x:c r="D20" s="60" t="n">
        <x:f>COUNTIFS('Raw Results'!$A$2:$A$81,A20,'Raw Results'!$B$2:$B$81,B20,'Analysis'!$D$2:$D$81,1)</x:f>
        <x:v>5</x:v>
      </x:c>
      <x:c r="E20" s="291" t="n">
        <x:f>IF(D20=0,"",AVERAGEIFS('Raw Results'!$I$2:$I$81,'Raw Results'!$A$2:$A$81,A20,'Raw Results'!$B$2:$B$81,B20,'Analysis'!$D$2:$D$81,1))</x:f>
        <x:v>90.8</x:v>
      </x:c>
      <x:c r="F20" s="291" t="n">
        <x:f>IF(D20=0,"",AVERAGEIFS('Raw Results'!$M$2:$M$81,'Raw Results'!$A$2:$A$81,A20,'Raw Results'!$B$2:$B$81,B20,'Analysis'!$D$2:$D$81,1))</x:f>
        <x:v>77</x:v>
      </x:c>
      <x:c r="G20" s="291" t="n">
        <x:f>IF(D20=0,"",F20-E20)</x:f>
        <x:v>-13.799999999999997</x:v>
      </x:c>
      <x:c r="H20" s="60" t="n">
        <x:f>COUNTIFS('Raw Results'!$A$2:$A$81,A20,'Raw Results'!$B$2:$B$81,B20,'Analysis'!$F$2:$F$81,"Grid Collision")</x:f>
        <x:v>5</x:v>
      </x:c>
      <x:c r="I20" s="60" t="n">
        <x:f>COUNTIFS('Raw Results'!$A$2:$A$81,A20,'Raw Results'!$B$2:$B$81,B20,'Analysis'!$F$2:$F$81,"Grid")</x:f>
        <x:v>0</x:v>
      </x:c>
      <x:c r="J20" s="60" t="n">
        <x:f>COUNTIFS('Raw Results'!$A$2:$A$81,A20,'Raw Results'!$B$2:$B$81,B20,'Analysis'!$F$2:$F$81,"Tie")</x:f>
        <x:v>0</x:v>
      </x:c>
      <x:c r="K20" s="292" t="n">
        <x:f>AVERAGEIFS('Raw Results'!$J$2:$J$81,'Raw Results'!$A$2:$A$81,A20,'Raw Results'!$B$2:$B$81,B20)</x:f>
        <x:v>17.02314874000149</x:v>
      </x:c>
      <x:c r="L20" s="292" t="n">
        <x:f>AVERAGEIFS('Raw Results'!$N$2:$N$81,'Raw Results'!$A$2:$A$81,A20,'Raw Results'!$B$2:$B$81,B20)</x:f>
        <x:v>8.998732359998394</x:v>
      </x:c>
      <x:c r="M20" s="65" t="n">
        <x:f>L20/K20</x:f>
        <x:v>0.5286173843298985</x:v>
      </x:c>
      <x:c r="N20" s="293" t="n">
        <x:f>COUNTIFS('Raw Results'!$A$2:$A$81,A20,'Raw Results'!$B$2:$B$81,B20,'Raw Results'!$K$2:$K$81,TRUE)/C20</x:f>
        <x:v>1</x:v>
      </x:c>
      <x:c r="O20" s="293" t="n">
        <x:f>COUNTIFS('Raw Results'!$A$2:$A$81,A20,'Raw Results'!$B$2:$B$81,B20,'Raw Results'!$O$2:$O$81,TRUE)/C20</x:f>
        <x:v>1</x:v>
      </x:c>
    </x:row>
    <x:row r="21">
      <x:c r="A21" s="66" t="n">
        <x:v>500</x:v>
      </x:c>
      <x:c r="B21" s="67" t="n">
        <x:v>0.7</x:v>
      </x:c>
      <x:c r="C21" s="66" t="n">
        <x:f>COUNTIFS('Raw Results'!$A$2:$A$81,A21,'Raw Results'!$B$2:$B$81,B21)</x:f>
        <x:v>5</x:v>
      </x:c>
      <x:c r="D21" s="66" t="n">
        <x:f>COUNTIFS('Raw Results'!$A$2:$A$81,A21,'Raw Results'!$B$2:$B$81,B21,'Analysis'!$D$2:$D$81,1)</x:f>
        <x:v>5</x:v>
      </x:c>
      <x:c r="E21" s="294" t="n">
        <x:f>IF(D21=0,"",AVERAGEIFS('Raw Results'!$I$2:$I$81,'Raw Results'!$A$2:$A$81,A21,'Raw Results'!$B$2:$B$81,B21,'Analysis'!$D$2:$D$81,1))</x:f>
        <x:v>109</x:v>
      </x:c>
      <x:c r="F21" s="294" t="n">
        <x:f>IF(D21=0,"",AVERAGEIFS('Raw Results'!$M$2:$M$81,'Raw Results'!$A$2:$A$81,A21,'Raw Results'!$B$2:$B$81,B21,'Analysis'!$D$2:$D$81,1))</x:f>
        <x:v>92.6</x:v>
      </x:c>
      <x:c r="G21" s="294" t="n">
        <x:f>IF(D21=0,"",F21-E21)</x:f>
        <x:v>-16.400000000000006</x:v>
      </x:c>
      <x:c r="H21" s="66" t="n">
        <x:f>COUNTIFS('Raw Results'!$A$2:$A$81,A21,'Raw Results'!$B$2:$B$81,B21,'Analysis'!$F$2:$F$81,"Grid Collision")</x:f>
        <x:v>5</x:v>
      </x:c>
      <x:c r="I21" s="66" t="n">
        <x:f>COUNTIFS('Raw Results'!$A$2:$A$81,A21,'Raw Results'!$B$2:$B$81,B21,'Analysis'!$F$2:$F$81,"Grid")</x:f>
        <x:v>0</x:v>
      </x:c>
      <x:c r="J21" s="66" t="n">
        <x:f>COUNTIFS('Raw Results'!$A$2:$A$81,A21,'Raw Results'!$B$2:$B$81,B21,'Analysis'!$F$2:$F$81,"Tie")</x:f>
        <x:v>0</x:v>
      </x:c>
      <x:c r="K21" s="295" t="n">
        <x:f>AVERAGEIFS('Raw Results'!$J$2:$J$81,'Raw Results'!$A$2:$A$81,A21,'Raw Results'!$B$2:$B$81,B21)</x:f>
        <x:v>17.76670525999507</x:v>
      </x:c>
      <x:c r="L21" s="295" t="n">
        <x:f>AVERAGEIFS('Raw Results'!$N$2:$N$81,'Raw Results'!$A$2:$A$81,A21,'Raw Results'!$B$2:$B$81,B21)</x:f>
        <x:v>10.46845042000059</x:v>
      </x:c>
      <x:c r="M21" s="71" t="n">
        <x:f>L21/K21</x:f>
        <x:v>0.5892173178316965</x:v>
      </x:c>
      <x:c r="N21" s="296" t="n">
        <x:f>COUNTIFS('Raw Results'!$A$2:$A$81,A21,'Raw Results'!$B$2:$B$81,B21,'Raw Results'!$K$2:$K$81,TRUE)/C21</x:f>
        <x:v>1</x:v>
      </x:c>
      <x:c r="O21" s="296" t="n">
        <x:f>COUNTIFS('Raw Results'!$A$2:$A$81,A21,'Raw Results'!$B$2:$B$81,B21,'Raw Results'!$O$2:$O$81,TRUE)/C21</x:f>
        <x:v>1</x:v>
      </x:c>
    </x:row>
  </x:sheetData>
  <x:mergeCells>
    <x:mergeCell ref="A1:O1"/>
    <x:mergeCell ref="A2:O2"/>
  </x:mergeCells>
  <x:conditionalFormatting sqref="G6:G21">
    <x:cfRule type="cellIs" dxfId="3" priority="1" operator="lessThan">
      <x:formula>0</x:formula>
    </x:cfRule>
    <x:cfRule type="cellIs" dxfId="4" priority="2" operator="greaterThan">
      <x:formula>0</x:formula>
    </x:cfRule>
  </x:conditionalFormatting>
  <x:conditionalFormatting sqref="N6:O21">
    <x:cfRule type="cellIs" dxfId="5" priority="3" operator="lessThan">
      <x:formula>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69c2249157f48f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92" hidden="0" customWidth="1"/>
  </x:cols>
  <x:sheetData>
    <x:row r="1" ht="35" customHeight="1">
      <x:c r="A1" s="274" t="str">
        <x:v>Benchmark Methodology</x:v>
      </x:c>
      <x:c r="B1" s="274"/>
    </x:row>
    <x:row r="3" ht="30" customHeight="1">
      <x:c r="A3" s="318" t="str">
        <x:v>Graph generator</x:v>
      </x:c>
      <x:c r="B3" s="319" t="str">
        <x:v>networkx.random_geometric_graph</x:v>
      </x:c>
    </x:row>
    <x:row r="4" ht="30" customHeight="1">
      <x:c r="A4" s="320" t="str">
        <x:v>Graph sizes (n)</x:v>
      </x:c>
      <x:c r="B4" s="321" t="str">
        <x:v>50, 100, 200, 500</x:v>
      </x:c>
    </x:row>
    <x:row r="5" ht="30" customHeight="1">
      <x:c r="A5" s="320" t="str">
        <x:v>Connection radii</x:v>
      </x:c>
      <x:c r="B5" s="321" t="str">
        <x:v>0.1, 0.3, 0.5, 0.7</x:v>
      </x:c>
    </x:row>
    <x:row r="6" ht="30" customHeight="1">
      <x:c r="A6" s="320" t="str">
        <x:v>Repeats per (n, radius)</x:v>
      </x:c>
      <x:c r="B6" s="321" t="n">
        <x:v>5</x:v>
      </x:c>
    </x:row>
    <x:row r="7" ht="30" customHeight="1">
      <x:c r="A7" s="320" t="str">
        <x:v>Paired graph instances</x:v>
      </x:c>
      <x:c r="B7" s="321" t="n">
        <x:v>80</x:v>
      </x:c>
    </x:row>
    <x:row r="8" ht="30" customHeight="1">
      <x:c r="A8" s="320" t="str">
        <x:v>Candidate pool</x:v>
      </x:c>
      <x:c r="B8" s="321" t="str">
        <x:v>5 nearest nodes to each probe (k_nearest=5)</x:v>
      </x:c>
    </x:row>
    <x:row r="9" ht="30" customHeight="1">
      <x:c r="A9" s="320" t="str">
        <x:v>Base seed</x:v>
      </x:c>
      <x:c r="B9" s="321" t="n">
        <x:v>20260806</x:v>
      </x:c>
    </x:row>
    <x:row r="10" ht="30" customHeight="1">
      <x:c r="A10" s="320" t="str">
        <x:v>Controlled variables</x:v>
      </x:c>
      <x:c r="B10" s="321" t="str">
        <x:v>Same graph, grid traversal, probe locations, candidate pool, early exit, and pruning seed</x:v>
      </x:c>
    </x:row>
    <x:row r="11" ht="30" customHeight="1">
      <x:c r="A11" s="320" t="str">
        <x:v>Normal Grid score</x:v>
      </x:c>
      <x:c r="B11" s="321" t="str">
        <x:v>Maximizes Shannon entropy of candidate distances</x:v>
      </x:c>
    </x:row>
    <x:row r="12" ht="30" customHeight="1">
      <x:c r="A12" s="320" t="str">
        <x:v>Grid Collision score</x:v>
      </x:c>
      <x:c r="B12" s="321" t="str">
        <x:v>Minimizes unresolved node pairs retaining an equal distance-signature class</x:v>
      </x:c>
    </x:row>
    <x:row r="13" ht="30" customHeight="1">
      <x:c r="A13" s="320" t="str">
        <x:v>Execution-order control</x:v>
      </x:c>
      <x:c r="B13" s="321" t="str">
        <x:v>Method order alternates by repeat to reduce systematic first-run timing bias</x:v>
      </x:c>
    </x:row>
    <x:row r="14" ht="30" customHeight="1">
      <x:c r="A14" s="320" t="str">
        <x:v>Timed region</x:v>
      </x:c>
      <x:c r="B14" s="321" t="str">
        <x:v>Selection method plus its pruning stage; graph construction and independent validity checking are excluded</x:v>
      </x:c>
    </x:row>
    <x:row r="15" ht="30" customHeight="1">
      <x:c r="A15" s="320" t="str">
        <x:v>Validity check</x:v>
      </x:c>
      <x:c r="B15" s="321" t="str">
        <x:v>Each final set is independently tested with the full igraph distance matrix</x:v>
      </x:c>
    </x:row>
    <x:row r="16" ht="30" customHeight="1">
      <x:c r="A16" s="320" t="str">
        <x:v>Size winner rule</x:v>
      </x:c>
      <x:c r="B16" s="321" t="str">
        <x:v>Compare set sizes only if both methods are valid; otherwise mark the run Excluded</x:v>
      </x:c>
    </x:row>
    <x:row r="17" ht="30" customHeight="1">
      <x:c r="A17" s="322" t="str">
        <x:v>Timing caution</x:v>
      </x:c>
      <x:c r="B17" s="323" t="str">
        <x:v>Wall-clock time depends on hardware and system load; paired ratios within this workbook are the strongest comparison</x:v>
      </x:c>
    </x:row>
  </x:sheetData>
  <x:mergeCells>
    <x:mergeCell ref="A1:B1"/>
  </x:mergeCells>
  <x:pageMargins left="0.7" right="0.7" top="0.75" bottom="0.75" header="0.3" footer="0.3"/>
</x:worksheet>
</file>