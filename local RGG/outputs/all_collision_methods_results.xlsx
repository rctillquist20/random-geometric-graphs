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dfeb39391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ults" sheetId="1" r:id="Rda8c182014064a00"/>
    <x:sheet xmlns:r="http://schemas.openxmlformats.org/officeDocument/2006/relationships" name="Dashboard" sheetId="2" r:id="R069e740559c142b7"/>
    <x:sheet xmlns:r="http://schemas.openxmlformats.org/officeDocument/2006/relationships" name="By Configuration" sheetId="3" r:id="R9567986371994450"/>
    <x:sheet xmlns:r="http://schemas.openxmlformats.org/officeDocument/2006/relationships" name="Outliers" sheetId="4" r:id="R2be25ad6457c4ba8"/>
    <x:sheet xmlns:r="http://schemas.openxmlformats.org/officeDocument/2006/relationships" name="Pair Results" sheetId="5" r:id="R8d742ca43b5e4ec7"/>
    <x:sheet xmlns:r="http://schemas.openxmlformats.org/officeDocument/2006/relationships" name="Methodology" sheetId="6" r:id="Rf217d2b08e69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"/>
    <x:numFmt numFmtId="202" formatCode="0.00"/>
    <x:numFmt numFmtId="203" formatCode="0.0000"/>
    <x:numFmt numFmtId="204" formatCode="+0.0000;-0.0000;0.0000"/>
    <x:numFmt numFmtId="205" formatCode="0.00x"/>
    <x:numFmt numFmtId="206" formatCode="0.000"/>
    <x:numFmt numFmtId="207" formatCode="0.0%"/>
    <x:numFmt numFmtId="208" formatCode="+0;-0;0"/>
  </x:numFmts>
  <x:fonts count="10">
    <x:font>
      <x:sz val="11"/>
      <x:name val="Carlito"/>
    </x:font>
    <x:font>
      <x:b/>
      <x:sz val="9"/>
      <x:color rgb="FFFFFFFF"/>
      <x:name val="Aptos"/>
    </x:font>
    <x:font>
      <x:b/>
      <x:sz val="19"/>
      <x:color rgb="FFFFFFFF"/>
      <x:name val="Aptos Display"/>
    </x:font>
    <x:font>
      <x:i/>
      <x:sz val="10"/>
      <x:color rgb="FF263746"/>
      <x:name val="Aptos"/>
    </x:font>
    <x:font>
      <x:b/>
      <x:sz val="18"/>
      <x:color rgb="FF17324D"/>
      <x:name val="Aptos Display"/>
    </x:font>
    <x:font>
      <x:b/>
      <x:sz val="18"/>
      <x:color rgb="FFFFFFFF"/>
      <x:name val="Aptos Display"/>
    </x:font>
    <x:font>
      <x:b/>
      <x:sz val="11"/>
      <x:color rgb="FFA52A2A"/>
      <x:name val="Carlito"/>
    </x:font>
    <x:font>
      <x:b/>
      <x:sz val="10"/>
      <x:color rgb="FFFFFFFF"/>
      <x:name val="Aptos"/>
    </x:font>
    <x:font>
      <x:sz val="10"/>
      <x:color rgb="FF263746"/>
      <x:name val="Aptos"/>
    </x:font>
    <x:font>
      <x:sz val="9"/>
      <x:color rgb="FF26374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77D7A"/>
      </x:patternFill>
    </x:fill>
    <x:fill>
      <x:patternFill patternType="solid">
        <x:fgColor rgb="FFE8F5F3"/>
      </x:patternFill>
    </x:fill>
    <x:fill>
      <x:patternFill patternType="solid">
        <x:fgColor rgb="FFFFF5D6"/>
      </x:patternFill>
    </x:fill>
    <x:fill>
      <x:patternFill patternType="solid">
        <x:fgColor rgb="FFFBE3E3"/>
      </x:patternFill>
    </x:fill>
  </x:fills>
  <x:borders count="34">
    <x:border/>
    <x:border/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  <x:border>
      <x:left style="thin">
        <x:color rgb="FFCDD8E2"/>
      </x:left>
      <x:top style="thin">
        <x:color rgb="FFCDD8E2"/>
      </x:top>
    </x:border>
    <x:border>
      <x:top style="thin">
        <x:color rgb="FFCDD8E2"/>
      </x:top>
    </x:border>
    <x:border>
      <x:right style="thin">
        <x:color rgb="FFCDD8E2"/>
      </x:right>
      <x:top style="thin">
        <x:color rgb="FFCDD8E2"/>
      </x:top>
    </x:border>
    <x:border>
      <x:left style="thin">
        <x:color rgb="FFCDD8E2"/>
      </x:left>
      <x:bottom style="thin">
        <x:color rgb="FFCDD8E2"/>
      </x:bottom>
    </x:border>
    <x:border>
      <x:bottom style="thin">
        <x:color rgb="FFCDD8E2"/>
      </x:bottom>
    </x:border>
    <x:border>
      <x:right style="thin">
        <x:color rgb="FFCDD8E2"/>
      </x:right>
      <x:bottom style="thin">
        <x:color rgb="FFCDD8E2"/>
      </x:bottom>
    </x:border>
    <x:border>
      <x:left style="thin">
        <x:color rgb="FFCDD8E2"/>
      </x:left>
      <x:top style="thin">
        <x:color rgb="FFCDD8E2"/>
      </x:top>
    </x:border>
    <x:border>
      <x:top style="thin">
        <x:color rgb="FFCDD8E2"/>
      </x:top>
    </x:border>
    <x:border>
      <x:right style="thin">
        <x:color rgb="FFCDD8E2"/>
      </x:right>
      <x:top style="thin">
        <x:color rgb="FFCDD8E2"/>
      </x:top>
    </x:border>
    <x:border>
      <x:left style="thin">
        <x:color rgb="FFCDD8E2"/>
      </x:left>
      <x:bottom style="thin">
        <x:color rgb="FFCDD8E2"/>
      </x:bottom>
    </x:border>
    <x:border>
      <x:bottom style="thin">
        <x:color rgb="FFCDD8E2"/>
      </x:bottom>
    </x:border>
    <x:border>
      <x:right style="thin">
        <x:color rgb="FFCDD8E2"/>
      </x:right>
      <x:bottom style="thin">
        <x:color rgb="FFCDD8E2"/>
      </x:bottom>
    </x:border>
    <x:border>
      <x:left style="thin">
        <x:color rgb="FFE7CE75"/>
      </x:left>
      <x:top style="thin">
        <x:color rgb="FFE7CE75"/>
      </x:top>
    </x:border>
    <x:border>
      <x:top style="thin">
        <x:color rgb="FFE7CE75"/>
      </x:top>
    </x:border>
    <x:border>
      <x:right style="thin">
        <x:color rgb="FFE7CE75"/>
      </x:right>
      <x:top style="thin">
        <x:color rgb="FFE7CE75"/>
      </x:top>
    </x:border>
    <x:border>
      <x:left style="thin">
        <x:color rgb="FFE7CE75"/>
      </x:left>
      <x:bottom style="thin">
        <x:color rgb="FFE7CE75"/>
      </x:bottom>
    </x:border>
    <x:border>
      <x:bottom style="thin">
        <x:color rgb="FFE7CE75"/>
      </x:bottom>
    </x:border>
    <x:border>
      <x:right style="thin">
        <x:color rgb="FFE7CE75"/>
      </x:right>
      <x:bottom style="thin">
        <x:color rgb="FFE7CE75"/>
      </x:bottom>
    </x:border>
    <x:border>
      <x:left style="thin">
        <x:color rgb="FFE7CE75"/>
      </x:left>
      <x:top style="thin">
        <x:color rgb="FFE7CE75"/>
      </x:top>
    </x:border>
    <x:border>
      <x:top style="thin">
        <x:color rgb="FFE7CE75"/>
      </x:top>
    </x:border>
    <x:border>
      <x:right style="thin">
        <x:color rgb="FFE7CE75"/>
      </x:right>
      <x:top style="thin">
        <x:color rgb="FFE7CE75"/>
      </x:top>
    </x:border>
    <x:border>
      <x:left style="thin">
        <x:color rgb="FFE7CE75"/>
      </x:left>
      <x:bottom style="thin">
        <x:color rgb="FFE7CE75"/>
      </x:bottom>
    </x:border>
    <x:border>
      <x:bottom style="thin">
        <x:color rgb="FFE7CE75"/>
      </x:bottom>
    </x:border>
    <x:border>
      <x:right style="thin">
        <x:color rgb="FFE7CE75"/>
      </x:right>
      <x:bottom style="thin">
        <x:color rgb="FFE7CE75"/>
      </x:bottom>
    </x:border>
    <x:border>
      <x:top style="thin">
        <x:color rgb="FFCDD8E2"/>
      </x:top>
      <x:bottom style="thin">
        <x:color rgb="FFCDD8E2"/>
      </x:bottom>
    </x:border>
    <x:border>
      <x:top style="thin">
        <x:color rgb="FFCDD8E2"/>
      </x:top>
      <x:bottom style="thin">
        <x:color rgb="FFCDD8E2"/>
      </x:bottom>
    </x:border>
  </x:borders>
  <x:cellStyleXfs count="1">
    <x:xf numFmtId="0" fontId="0" fillId="0" borderId="0"/>
  </x:cellStyleXfs>
  <x:cellXfs count="2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  <x:xf numFmtId="205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205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205" fontId="0" fillId="0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10" xfId="0" applyNumberFormat="1" applyFont="1" applyFill="1" applyBorder="1"/>
    <x:xf numFmtId="200" fontId="4" fillId="5" borderId="11" xfId="0" applyNumberFormat="1" applyFont="1" applyFill="1" applyBorder="1"/>
    <x:xf numFmtId="200" fontId="4" fillId="5" borderId="12" xfId="0" applyNumberFormat="1" applyFont="1" applyFill="1" applyBorder="1"/>
    <x:xf numFmtId="200" fontId="4" fillId="5" borderId="13" xfId="0" applyNumberFormat="1" applyFont="1" applyFill="1" applyBorder="1"/>
    <x:xf numFmtId="200" fontId="4" fillId="5" borderId="14" xfId="0" applyNumberFormat="1" applyFont="1" applyFill="1" applyBorder="1"/>
    <x:xf numFmtId="200" fontId="4" fillId="5" borderId="15" xfId="0" applyNumberFormat="1" applyFont="1" applyFill="1" applyBorder="1"/>
    <x:xf numFmtId="200" fontId="4" fillId="5" borderId="16" xfId="0" applyNumberFormat="1" applyFont="1" applyFill="1" applyBorder="1"/>
    <x:xf numFmtId="200" fontId="4" fillId="5" borderId="17" xfId="0" applyNumberFormat="1" applyFont="1" applyFill="1" applyBorder="1"/>
    <x:xf numFmtId="200" fontId="4" fillId="5" borderId="18" xfId="0" applyNumberFormat="1" applyFont="1" applyFill="1" applyBorder="1"/>
    <x:xf numFmtId="200" fontId="4" fillId="5" borderId="19" xfId="0" applyNumberFormat="1" applyFont="1" applyFill="1" applyBorder="1"/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10" xfId="0" applyNumberFormat="1" applyFont="1" applyFill="1" applyBorder="1" applyAlignment="1">
      <x:alignment horizontal="center"/>
    </x:xf>
    <x:xf numFmtId="200" fontId="4" fillId="5" borderId="11" xfId="0" applyNumberFormat="1" applyFont="1" applyFill="1" applyBorder="1" applyAlignment="1">
      <x:alignment horizontal="center"/>
    </x:xf>
    <x:xf numFmtId="200" fontId="4" fillId="5" borderId="12" xfId="0" applyNumberFormat="1" applyFont="1" applyFill="1" applyBorder="1" applyAlignment="1">
      <x:alignment horizontal="center"/>
    </x:xf>
    <x:xf numFmtId="200" fontId="4" fillId="5" borderId="13" xfId="0" applyNumberFormat="1" applyFont="1" applyFill="1" applyBorder="1" applyAlignment="1">
      <x:alignment horizontal="center"/>
    </x:xf>
    <x:xf numFmtId="200" fontId="4" fillId="5" borderId="14" xfId="0" applyNumberFormat="1" applyFont="1" applyFill="1" applyBorder="1" applyAlignment="1">
      <x:alignment horizontal="center"/>
    </x:xf>
    <x:xf numFmtId="200" fontId="4" fillId="5" borderId="15" xfId="0" applyNumberFormat="1" applyFont="1" applyFill="1" applyBorder="1" applyAlignment="1">
      <x:alignment horizontal="center"/>
    </x:xf>
    <x:xf numFmtId="200" fontId="4" fillId="5" borderId="16" xfId="0" applyNumberFormat="1" applyFont="1" applyFill="1" applyBorder="1" applyAlignment="1">
      <x:alignment horizontal="center"/>
    </x:xf>
    <x:xf numFmtId="200" fontId="4" fillId="5" borderId="17" xfId="0" applyNumberFormat="1" applyFont="1" applyFill="1" applyBorder="1" applyAlignment="1">
      <x:alignment horizontal="center"/>
    </x:xf>
    <x:xf numFmtId="200" fontId="4" fillId="5" borderId="18" xfId="0" applyNumberFormat="1" applyFont="1" applyFill="1" applyBorder="1" applyAlignment="1">
      <x:alignment horizontal="center"/>
    </x:xf>
    <x:xf numFmtId="200" fontId="4" fillId="5" borderId="19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200" fontId="4" fillId="5" borderId="14" xfId="0" applyNumberFormat="1" applyFont="1" applyFill="1" applyBorder="1" applyAlignment="1">
      <x:alignment horizontal="center" vertical="center"/>
    </x:xf>
    <x:xf numFmtId="200" fontId="4" fillId="5" borderId="15" xfId="0" applyNumberFormat="1" applyFont="1" applyFill="1" applyBorder="1" applyAlignment="1">
      <x:alignment horizontal="center" vertical="center"/>
    </x:xf>
    <x:xf numFmtId="200" fontId="4" fillId="5" borderId="16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200" fontId="4" fillId="5" borderId="18" xfId="0" applyNumberFormat="1" applyFont="1" applyFill="1" applyBorder="1" applyAlignment="1">
      <x:alignment horizontal="center" vertical="center"/>
    </x:xf>
    <x:xf numFmtId="200" fontId="4" fillId="5" borderId="19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0" borderId="2" xfId="0" applyNumberFormat="1" applyFont="1" applyFill="1" applyBorder="1"/>
    <x:xf numFmtId="206" fontId="0" fillId="0" borderId="3" xfId="0" applyNumberFormat="1" applyFont="1" applyFill="1" applyBorder="1"/>
    <x:xf numFmtId="206" fontId="0" fillId="0" borderId="4" xfId="0" applyNumberFormat="1" applyFont="1" applyFill="1" applyBorder="1"/>
    <x:xf numFmtId="206" fontId="0" fillId="0" borderId="5" xfId="0" applyNumberFormat="1" applyFont="1" applyFill="1" applyBorder="1"/>
    <x:xf numFmtId="206" fontId="0" fillId="0" borderId="6" xfId="0" applyNumberFormat="1" applyFont="1" applyFill="1" applyBorder="1"/>
    <x:xf numFmtId="206" fontId="0" fillId="0" borderId="7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0" xfId="0" applyNumberFormat="1" applyFont="1" applyFill="1" applyBorder="1"/>
    <x:xf numFmtId="0" fontId="3" fillId="6" borderId="21" xfId="0" applyNumberFormat="1" applyFont="1" applyFill="1" applyBorder="1"/>
    <x:xf numFmtId="0" fontId="3" fillId="6" borderId="22" xfId="0" applyNumberFormat="1" applyFont="1" applyFill="1" applyBorder="1"/>
    <x:xf numFmtId="0" fontId="3" fillId="6" borderId="23" xfId="0" applyNumberFormat="1" applyFont="1" applyFill="1" applyBorder="1"/>
    <x:xf numFmtId="0" fontId="3" fillId="6" borderId="24" xfId="0" applyNumberFormat="1" applyFont="1" applyFill="1" applyBorder="1"/>
    <x:xf numFmtId="0" fontId="3" fillId="6" borderId="25" xfId="0" applyNumberFormat="1" applyFont="1" applyFill="1" applyBorder="1"/>
    <x:xf numFmtId="0" fontId="3" fillId="6" borderId="26" xfId="0" applyNumberFormat="1" applyFont="1" applyFill="1" applyBorder="1"/>
    <x:xf numFmtId="0" fontId="3" fillId="6" borderId="27" xfId="0" applyNumberFormat="1" applyFont="1" applyFill="1" applyBorder="1"/>
    <x:xf numFmtId="0" fontId="3" fillId="6" borderId="28" xfId="0" applyNumberFormat="1" applyFont="1" applyFill="1" applyBorder="1"/>
    <x:xf numFmtId="0" fontId="3" fillId="6" borderId="29" xfId="0" applyNumberFormat="1" applyFont="1" applyFill="1" applyBorder="1"/>
    <x:xf numFmtId="0" fontId="3" fillId="6" borderId="30" xfId="0" applyNumberFormat="1" applyFont="1" applyFill="1" applyBorder="1"/>
    <x:xf numFmtId="0" fontId="3" fillId="6" borderId="31" xfId="0" applyNumberFormat="1" applyFont="1" applyFill="1" applyBorder="1"/>
    <x:xf numFmtId="0" fontId="3" fillId="6" borderId="20" xfId="0" applyNumberFormat="1" applyFont="1" applyFill="1" applyBorder="1" applyAlignment="1">
      <x:alignment wrapText="1"/>
    </x:xf>
    <x:xf numFmtId="0" fontId="3" fillId="6" borderId="21" xfId="0" applyNumberFormat="1" applyFont="1" applyFill="1" applyBorder="1" applyAlignment="1">
      <x:alignment wrapText="1"/>
    </x:xf>
    <x:xf numFmtId="0" fontId="3" fillId="6" borderId="22" xfId="0" applyNumberFormat="1" applyFont="1" applyFill="1" applyBorder="1" applyAlignment="1">
      <x:alignment wrapText="1"/>
    </x:xf>
    <x:xf numFmtId="0" fontId="3" fillId="6" borderId="23" xfId="0" applyNumberFormat="1" applyFont="1" applyFill="1" applyBorder="1" applyAlignment="1">
      <x:alignment wrapText="1"/>
    </x:xf>
    <x:xf numFmtId="0" fontId="3" fillId="6" borderId="24" xfId="0" applyNumberFormat="1" applyFont="1" applyFill="1" applyBorder="1" applyAlignment="1">
      <x:alignment wrapText="1"/>
    </x:xf>
    <x:xf numFmtId="0" fontId="3" fillId="6" borderId="25" xfId="0" applyNumberFormat="1" applyFont="1" applyFill="1" applyBorder="1" applyAlignment="1">
      <x:alignment wrapText="1"/>
    </x:xf>
    <x:xf numFmtId="0" fontId="3" fillId="6" borderId="26" xfId="0" applyNumberFormat="1" applyFont="1" applyFill="1" applyBorder="1" applyAlignment="1">
      <x:alignment wrapText="1"/>
    </x:xf>
    <x:xf numFmtId="0" fontId="3" fillId="6" borderId="27" xfId="0" applyNumberFormat="1" applyFont="1" applyFill="1" applyBorder="1" applyAlignment="1">
      <x:alignment wrapText="1"/>
    </x:xf>
    <x:xf numFmtId="0" fontId="3" fillId="6" borderId="28" xfId="0" applyNumberFormat="1" applyFont="1" applyFill="1" applyBorder="1" applyAlignment="1">
      <x:alignment wrapText="1"/>
    </x:xf>
    <x:xf numFmtId="0" fontId="3" fillId="6" borderId="29" xfId="0" applyNumberFormat="1" applyFont="1" applyFill="1" applyBorder="1" applyAlignment="1">
      <x:alignment wrapText="1"/>
    </x:xf>
    <x:xf numFmtId="0" fontId="3" fillId="6" borderId="30" xfId="0" applyNumberFormat="1" applyFont="1" applyFill="1" applyBorder="1" applyAlignment="1">
      <x:alignment wrapText="1"/>
    </x:xf>
    <x:xf numFmtId="0" fontId="3" fillId="6" borderId="31" xfId="0" applyNumberFormat="1" applyFont="1" applyFill="1" applyBorder="1" applyAlignment="1">
      <x:alignment wrapText="1"/>
    </x:xf>
    <x:xf numFmtId="0" fontId="3" fillId="6" borderId="20" xfId="0" applyNumberFormat="1" applyFont="1" applyFill="1" applyBorder="1" applyAlignment="1">
      <x:alignment vertical="center" wrapText="1"/>
    </x:xf>
    <x:xf numFmtId="0" fontId="3" fillId="6" borderId="21" xfId="0" applyNumberFormat="1" applyFont="1" applyFill="1" applyBorder="1" applyAlignment="1">
      <x:alignment vertical="center" wrapText="1"/>
    </x:xf>
    <x:xf numFmtId="0" fontId="3" fillId="6" borderId="22" xfId="0" applyNumberFormat="1" applyFont="1" applyFill="1" applyBorder="1" applyAlignment="1">
      <x:alignment vertical="center" wrapText="1"/>
    </x:xf>
    <x:xf numFmtId="0" fontId="3" fillId="6" borderId="23" xfId="0" applyNumberFormat="1" applyFont="1" applyFill="1" applyBorder="1" applyAlignment="1">
      <x:alignment vertical="center" wrapText="1"/>
    </x:xf>
    <x:xf numFmtId="0" fontId="3" fillId="6" borderId="24" xfId="0" applyNumberFormat="1" applyFont="1" applyFill="1" applyBorder="1" applyAlignment="1">
      <x:alignment vertical="center" wrapText="1"/>
    </x:xf>
    <x:xf numFmtId="0" fontId="3" fillId="6" borderId="25" xfId="0" applyNumberFormat="1" applyFont="1" applyFill="1" applyBorder="1" applyAlignment="1">
      <x:alignment vertical="center" wrapText="1"/>
    </x:xf>
    <x:xf numFmtId="0" fontId="3" fillId="6" borderId="26" xfId="0" applyNumberFormat="1" applyFont="1" applyFill="1" applyBorder="1" applyAlignment="1">
      <x:alignment vertical="center" wrapText="1"/>
    </x:xf>
    <x:xf numFmtId="0" fontId="3" fillId="6" borderId="27" xfId="0" applyNumberFormat="1" applyFont="1" applyFill="1" applyBorder="1" applyAlignment="1">
      <x:alignment vertical="center" wrapText="1"/>
    </x:xf>
    <x:xf numFmtId="0" fontId="3" fillId="6" borderId="28" xfId="0" applyNumberFormat="1" applyFont="1" applyFill="1" applyBorder="1" applyAlignment="1">
      <x:alignment vertical="center" wrapText="1"/>
    </x:xf>
    <x:xf numFmtId="0" fontId="3" fillId="6" borderId="29" xfId="0" applyNumberFormat="1" applyFont="1" applyFill="1" applyBorder="1" applyAlignment="1">
      <x:alignment vertical="center" wrapText="1"/>
    </x:xf>
    <x:xf numFmtId="0" fontId="3" fillId="6" borderId="30" xfId="0" applyNumberFormat="1" applyFont="1" applyFill="1" applyBorder="1" applyAlignment="1">
      <x:alignment vertical="center" wrapText="1"/>
    </x:xf>
    <x:xf numFmtId="0" fontId="3" fillId="6" borderId="3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0" fillId="0" borderId="2" xfId="0" applyNumberFormat="1" applyFont="1" applyFill="1" applyBorder="1"/>
    <x:xf numFmtId="207" fontId="0" fillId="0" borderId="3" xfId="0" applyNumberFormat="1" applyFont="1" applyFill="1" applyBorder="1"/>
    <x:xf numFmtId="207" fontId="0" fillId="0" borderId="4" xfId="0" applyNumberFormat="1" applyFont="1" applyFill="1" applyBorder="1"/>
    <x:xf numFmtId="207" fontId="0" fillId="0" borderId="5" xfId="0" applyNumberFormat="1" applyFont="1" applyFill="1" applyBorder="1"/>
    <x:xf numFmtId="207" fontId="0" fillId="0" borderId="6" xfId="0" applyNumberFormat="1" applyFont="1" applyFill="1" applyBorder="1"/>
    <x:xf numFmtId="207" fontId="0" fillId="0" borderId="7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2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3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4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5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6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0" fillId="0" borderId="7" xfId="0" applyNumberFormat="1" applyFont="1" applyFill="1" applyBorder="1"/>
    <x:xf numFmtId="0" fontId="0" fillId="7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/>
    </x:xf>
    <x:xf numFmtId="0" fontId="8" fillId="3" borderId="12" xfId="0" applyNumberFormat="1" applyFont="1" applyFill="1" applyBorder="1" applyAlignment="1">
      <x:alignment vertical="center" wrapText="1"/>
    </x:xf>
    <x:xf numFmtId="0" fontId="7" fillId="4" borderId="32" xfId="0" applyNumberFormat="1" applyFont="1" applyFill="1" applyBorder="1" applyAlignment="1">
      <x:alignment vertical="center"/>
    </x:xf>
    <x:xf numFmtId="0" fontId="8" fillId="3" borderId="32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/>
    </x:xf>
    <x:xf numFmtId="0" fontId="8" fillId="3" borderId="9" xfId="0" applyNumberFormat="1" applyFont="1" applyFill="1" applyBorder="1" applyAlignment="1">
      <x:alignment vertical="center" wrapText="1"/>
    </x:xf>
    <x:xf numFmtId="0" fontId="7" fillId="4" borderId="18" xfId="0" applyNumberFormat="1" applyFont="1" applyFill="1" applyBorder="1" applyAlignment="1">
      <x:alignment vertical="center"/>
    </x:xf>
    <x:xf numFmtId="0" fontId="8" fillId="3" borderId="18" xfId="0" applyNumberFormat="1" applyFont="1" applyFill="1" applyBorder="1" applyAlignment="1">
      <x:alignment vertical="center" wrapText="1"/>
    </x:xf>
    <x:xf numFmtId="0" fontId="7" fillId="4" borderId="33" xfId="0" applyNumberFormat="1" applyFont="1" applyFill="1" applyBorder="1" applyAlignment="1">
      <x:alignment vertical="center"/>
    </x:xf>
    <x:xf numFmtId="0" fontId="8" fillId="3" borderId="33" xfId="0" applyNumberFormat="1" applyFont="1" applyFill="1" applyBorder="1" applyAlignment="1">
      <x:alignment vertical="center" wrapText="1"/>
    </x:xf>
    <x:xf numFmtId="0" fontId="7" fillId="4" borderId="15" xfId="0" applyNumberFormat="1" applyFont="1" applyFill="1" applyBorder="1" applyAlignment="1">
      <x:alignment vertical="center"/>
    </x:xf>
    <x:xf numFmtId="0" fontId="8" fillId="3" borderId="15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</x:cellXfs>
  <x:cellStyles count="1">
    <x:cellStyle name="Normal" xfId="0"/>
  </x:cellStyles>
  <x:dxfs count="7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b/>
        <x:color rgb="FFA52A2A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d62b93b08410a" /><Relationship Type="http://schemas.openxmlformats.org/officeDocument/2006/relationships/theme" Target="/xl/theme/theme1.xml" Id="Rc1d28fcde8624ede" /><Relationship Type="http://schemas.microsoft.com/office/2022/11/relationships/FeaturePropertyBag" Target="/xl/featurePropertyBag/featurePropertyBag.xml" Id="R7611de0ba8a946b3" /><Relationship Type="http://schemas.openxmlformats.org/officeDocument/2006/relationships/sharedStrings" Target="/xl/sharedStrings.xml" Id="R137316e6b4204156" /><Relationship Type="http://schemas.openxmlformats.org/officeDocument/2006/relationships/worksheet" Target="/xl/worksheets/sheet1.xml" Id="Rda8c182014064a00" /><Relationship Type="http://schemas.openxmlformats.org/officeDocument/2006/relationships/worksheet" Target="/xl/worksheets/sheet2.xml" Id="R069e740559c142b7" /><Relationship Type="http://schemas.openxmlformats.org/officeDocument/2006/relationships/worksheet" Target="/xl/worksheets/sheet3.xml" Id="R9567986371994450" /><Relationship Type="http://schemas.openxmlformats.org/officeDocument/2006/relationships/worksheet" Target="/xl/worksheets/sheet4.xml" Id="R2be25ad6457c4ba8" /><Relationship Type="http://schemas.openxmlformats.org/officeDocument/2006/relationships/worksheet" Target="/xl/worksheets/sheet5.xml" Id="R8d742ca43b5e4ec7" /><Relationship Type="http://schemas.openxmlformats.org/officeDocument/2006/relationships/worksheet" Target="/xl/worksheets/sheet6.xml" Id="Rf217d2b08e6940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AllCollisionRawTable" displayName="AllCollisionRawTable" ref="A1:CE49" headerRowCount="1" totalsRowCount="0" totalsRowShown="0">
  <x:tableColumns count="83">
    <x:tableColumn id="1" name="n"/>
    <x:tableColumn id="2" name="radius"/>
    <x:tableColumn id="3" name="repeat"/>
    <x:tableColumn id="4" name="graph_seed"/>
    <x:tableColumn id="5" name="edges"/>
    <x:tableColumn id="6" name="components"/>
    <x:tableColumn id="7" name="largest_component_size"/>
    <x:tableColumn id="8" name="average_degree"/>
    <x:tableColumn id="9" name="edge_density"/>
    <x:tableColumn id="10" name="k_nearest"/>
    <x:tableColumn id="11" name="execution_order"/>
    <x:tableColumn id="12" name="grid_entropy_pre_prune_size"/>
    <x:tableColumn id="13" name="grid_entropy_size"/>
    <x:tableColumn id="14" name="grid_entropy_time_seconds"/>
    <x:tableColumn id="15" name="grid_entropy_valid"/>
    <x:tableColumn id="16" name="grid_collision_pre_prune_size"/>
    <x:tableColumn id="17" name="grid_collision_size"/>
    <x:tableColumn id="18" name="grid_collision_time_seconds"/>
    <x:tableColumn id="19" name="grid_collision_valid"/>
    <x:tableColumn id="20" name="grid_both_valid"/>
    <x:tableColumn id="21" name="grid_size_difference_collision_minus_entropy"/>
    <x:tableColumn id="22" name="grid_pre_prune_difference_collision_minus_entropy"/>
    <x:tableColumn id="23" name="grid_time_difference_collision_minus_entropy"/>
    <x:tableColumn id="24" name="grid_collision_entropy_size_ratio"/>
    <x:tableColumn id="25" name="grid_entropy_pruned_count"/>
    <x:tableColumn id="26" name="grid_collision_pruned_count"/>
    <x:tableColumn id="27" name="grid_size_winner"/>
    <x:tableColumn id="28" name="grid_faster_method"/>
    <x:tableColumn id="29" name="grid_outlier_type"/>
    <x:tableColumn id="30" name="circle_entropy_pre_prune_size"/>
    <x:tableColumn id="31" name="circle_entropy_size"/>
    <x:tableColumn id="32" name="circle_entropy_time_seconds"/>
    <x:tableColumn id="33" name="circle_entropy_valid"/>
    <x:tableColumn id="34" name="circle_collision_pre_prune_size"/>
    <x:tableColumn id="35" name="circle_collision_size"/>
    <x:tableColumn id="36" name="circle_collision_time_seconds"/>
    <x:tableColumn id="37" name="circle_collision_valid"/>
    <x:tableColumn id="38" name="circle_both_valid"/>
    <x:tableColumn id="39" name="circle_size_difference_collision_minus_entropy"/>
    <x:tableColumn id="40" name="circle_pre_prune_difference_collision_minus_entropy"/>
    <x:tableColumn id="41" name="circle_time_difference_collision_minus_entropy"/>
    <x:tableColumn id="42" name="circle_collision_entropy_size_ratio"/>
    <x:tableColumn id="43" name="circle_entropy_pruned_count"/>
    <x:tableColumn id="44" name="circle_collision_pruned_count"/>
    <x:tableColumn id="45" name="circle_size_winner"/>
    <x:tableColumn id="46" name="circle_faster_method"/>
    <x:tableColumn id="47" name="circle_outlier_type"/>
    <x:tableColumn id="48" name="zoomed_entropy_pre_prune_size"/>
    <x:tableColumn id="49" name="zoomed_entropy_size"/>
    <x:tableColumn id="50" name="zoomed_entropy_time_seconds"/>
    <x:tableColumn id="51" name="zoomed_entropy_valid"/>
    <x:tableColumn id="52" name="zoomed_collision_pre_prune_size"/>
    <x:tableColumn id="53" name="zoomed_collision_size"/>
    <x:tableColumn id="54" name="zoomed_collision_time_seconds"/>
    <x:tableColumn id="55" name="zoomed_collision_valid"/>
    <x:tableColumn id="56" name="zoomed_both_valid"/>
    <x:tableColumn id="57" name="zoomed_size_difference_collision_minus_entropy"/>
    <x:tableColumn id="58" name="zoomed_pre_prune_difference_collision_minus_entropy"/>
    <x:tableColumn id="59" name="zoomed_time_difference_collision_minus_entropy"/>
    <x:tableColumn id="60" name="zoomed_collision_entropy_size_ratio"/>
    <x:tableColumn id="61" name="zoomed_entropy_pruned_count"/>
    <x:tableColumn id="62" name="zoomed_collision_pruned_count"/>
    <x:tableColumn id="63" name="zoomed_size_winner"/>
    <x:tableColumn id="64" name="zoomed_faster_method"/>
    <x:tableColumn id="65" name="zoomed_outlier_type"/>
    <x:tableColumn id="66" name="ich_entropy_pre_prune_size"/>
    <x:tableColumn id="67" name="ich_entropy_size"/>
    <x:tableColumn id="68" name="ich_entropy_time_seconds"/>
    <x:tableColumn id="69" name="ich_entropy_valid"/>
    <x:tableColumn id="70" name="ich_collision_pre_prune_size"/>
    <x:tableColumn id="71" name="ich_collision_size"/>
    <x:tableColumn id="72" name="ich_collision_time_seconds"/>
    <x:tableColumn id="73" name="ich_collision_valid"/>
    <x:tableColumn id="74" name="ich_both_valid"/>
    <x:tableColumn id="75" name="ich_size_difference_collision_minus_entropy"/>
    <x:tableColumn id="76" name="ich_pre_prune_difference_collision_minus_entropy"/>
    <x:tableColumn id="77" name="ich_time_difference_collision_minus_entropy"/>
    <x:tableColumn id="78" name="ich_collision_entropy_size_ratio"/>
    <x:tableColumn id="79" name="ich_entropy_pruned_count"/>
    <x:tableColumn id="80" name="ich_collision_pruned_count"/>
    <x:tableColumn id="81" name="ich_size_winner"/>
    <x:tableColumn id="82" name="ich_faster_method"/>
    <x:tableColumn id="83" name="ich_outlier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CollisionConfigurationTable" displayName="AllCollisionConfigurationTable" ref="A5:Q69" headerRowCount="1" totalsRowCount="0" totalsRowShown="0">
  <x:tableColumns count="17">
    <x:tableColumn id="1" name="Family"/>
    <x:tableColumn id="2" name="n"/>
    <x:tableColumn id="3" name="radius"/>
    <x:tableColumn id="4" name="runs"/>
    <x:tableColumn id="5" name="both valid"/>
    <x:tableColumn id="6" name="Entropy avg size"/>
    <x:tableColumn id="7" name="Collision avg size"/>
    <x:tableColumn id="8" name="Collision - Entropy"/>
    <x:tableColumn id="9" name="Collision wins"/>
    <x:tableColumn id="10" name="Entropy wins"/>
    <x:tableColumn id="11" name="ties"/>
    <x:tableColumn id="12" name="Entropy avg time (s)"/>
    <x:tableColumn id="13" name="Collision avg time (s)"/>
    <x:tableColumn id="14" name="Time ratio"/>
    <x:tableColumn id="15" name="Entropy validity"/>
    <x:tableColumn id="16" name="Collision validity"/>
    <x:tableColumn id="17" name="Large inval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lisionOutlierTable" displayName="CollisionOutlierTable" ref="A5:Q10" headerRowCount="1" totalsRowCount="0" totalsRowShown="0">
  <x:tableColumns count="17">
    <x:tableColumn id="1" name="Family"/>
    <x:tableColumn id="2" name="n"/>
    <x:tableColumn id="3" name="radius"/>
    <x:tableColumn id="4" name="repeat"/>
    <x:tableColumn id="5" name="graph_seed"/>
    <x:tableColumn id="6" name="Entropy pre"/>
    <x:tableColumn id="7" name="Entropy final"/>
    <x:tableColumn id="8" name="Collision pre"/>
    <x:tableColumn id="9" name="Collision reported"/>
    <x:tableColumn id="10" name="Collision valid"/>
    <x:tableColumn id="11" name="Residual pairs"/>
    <x:tableColumn id="12" name="Boundary"/>
    <x:tableColumn id="13" name="Repair probes"/>
    <x:tableColumn id="14" name="Repaired final"/>
    <x:tableColumn id="15" name="Repair - Entropy"/>
    <x:tableColumn id="16" name="Pruned before repair"/>
    <x:tableColumn id="17" name="Diagno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AllCollisionPairResultsTable" displayName="AllCollisionPairResultsTable" ref="A1:AB193" headerRowCount="1" totalsRowCount="0" totalsRowShown="0">
  <x:tableColumns count="28">
    <x:tableColumn id="1" name="family"/>
    <x:tableColumn id="2" name="n"/>
    <x:tableColumn id="3" name="radius"/>
    <x:tableColumn id="4" name="repeat"/>
    <x:tableColumn id="5" name="graph_seed"/>
    <x:tableColumn id="6" name="edges"/>
    <x:tableColumn id="7" name="components"/>
    <x:tableColumn id="8" name="largest_component_size"/>
    <x:tableColumn id="9" name="average_degree"/>
    <x:tableColumn id="10" name="edge_density"/>
    <x:tableColumn id="11" name="entropy_pre_prune"/>
    <x:tableColumn id="12" name="entropy_size"/>
    <x:tableColumn id="13" name="entropy_time_s"/>
    <x:tableColumn id="14" name="entropy_valid"/>
    <x:tableColumn id="15" name="collision_pre_prune"/>
    <x:tableColumn id="16" name="collision_size"/>
    <x:tableColumn id="17" name="collision_time_s"/>
    <x:tableColumn id="18" name="collision_valid"/>
    <x:tableColumn id="19" name="both_valid"/>
    <x:tableColumn id="20" name="collision_minus_entropy_size"/>
    <x:tableColumn id="21" name="collision_minus_entropy_pre_prune"/>
    <x:tableColumn id="22" name="collision_minus_entropy_time_s"/>
    <x:tableColumn id="23" name="collision_entropy_size_ratio"/>
    <x:tableColumn id="24" name="entropy_pruned"/>
    <x:tableColumn id="25" name="collision_pruned"/>
    <x:tableColumn id="26" name="valid_size_winner"/>
    <x:tableColumn id="27" name="faster_method"/>
    <x:tableColumn id="28" name="outlier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88c391cdaf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a53865b94a40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19383bb5784b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591893d81e45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</x:cols>
  <x:sheetData>
    <x:row r="1" ht="40" customHeight="1">
      <x:c r="A1" s="8" t="str">
        <x:v>n</x:v>
      </x:c>
      <x:c r="B1" s="8" t="str">
        <x:v>radius</x:v>
      </x:c>
      <x:c r="C1" s="8" t="str">
        <x:v>repeat</x:v>
      </x:c>
      <x:c r="D1" s="8" t="str">
        <x:v>graph_seed</x:v>
      </x:c>
      <x:c r="E1" s="8" t="str">
        <x:v>edges</x:v>
      </x:c>
      <x:c r="F1" s="8" t="str">
        <x:v>components</x:v>
      </x:c>
      <x:c r="G1" s="8" t="str">
        <x:v>largest_component_size</x:v>
      </x:c>
      <x:c r="H1" s="8" t="str">
        <x:v>average_degree</x:v>
      </x:c>
      <x:c r="I1" s="8" t="str">
        <x:v>edge_density</x:v>
      </x:c>
      <x:c r="J1" s="8" t="str">
        <x:v>k_nearest</x:v>
      </x:c>
      <x:c r="K1" s="8" t="str">
        <x:v>execution_order</x:v>
      </x:c>
      <x:c r="L1" s="8" t="str">
        <x:v>grid_entropy_pre_prune_size</x:v>
      </x:c>
      <x:c r="M1" s="8" t="str">
        <x:v>grid_entropy_size</x:v>
      </x:c>
      <x:c r="N1" s="8" t="str">
        <x:v>grid_entropy_time_seconds</x:v>
      </x:c>
      <x:c r="O1" s="8" t="str">
        <x:v>grid_entropy_valid</x:v>
      </x:c>
      <x:c r="P1" s="8" t="str">
        <x:v>grid_collision_pre_prune_size</x:v>
      </x:c>
      <x:c r="Q1" s="8" t="str">
        <x:v>grid_collision_size</x:v>
      </x:c>
      <x:c r="R1" s="8" t="str">
        <x:v>grid_collision_time_seconds</x:v>
      </x:c>
      <x:c r="S1" s="8" t="str">
        <x:v>grid_collision_valid</x:v>
      </x:c>
      <x:c r="T1" s="8" t="str">
        <x:v>grid_both_valid</x:v>
      </x:c>
      <x:c r="U1" s="8" t="str">
        <x:v>grid_size_difference_collision_minus_entropy</x:v>
      </x:c>
      <x:c r="V1" s="8" t="str">
        <x:v>grid_pre_prune_difference_collision_minus_entropy</x:v>
      </x:c>
      <x:c r="W1" s="8" t="str">
        <x:v>grid_time_difference_collision_minus_entropy</x:v>
      </x:c>
      <x:c r="X1" s="8" t="str">
        <x:v>grid_collision_entropy_size_ratio</x:v>
      </x:c>
      <x:c r="Y1" s="8" t="str">
        <x:v>grid_entropy_pruned_count</x:v>
      </x:c>
      <x:c r="Z1" s="8" t="str">
        <x:v>grid_collision_pruned_count</x:v>
      </x:c>
      <x:c r="AA1" s="8" t="str">
        <x:v>grid_size_winner</x:v>
      </x:c>
      <x:c r="AB1" s="8" t="str">
        <x:v>grid_faster_method</x:v>
      </x:c>
      <x:c r="AC1" s="8" t="str">
        <x:v>grid_outlier_type</x:v>
      </x:c>
      <x:c r="AD1" s="8" t="str">
        <x:v>circle_entropy_pre_prune_size</x:v>
      </x:c>
      <x:c r="AE1" s="8" t="str">
        <x:v>circle_entropy_size</x:v>
      </x:c>
      <x:c r="AF1" s="8" t="str">
        <x:v>circle_entropy_time_seconds</x:v>
      </x:c>
      <x:c r="AG1" s="8" t="str">
        <x:v>circle_entropy_valid</x:v>
      </x:c>
      <x:c r="AH1" s="8" t="str">
        <x:v>circle_collision_pre_prune_size</x:v>
      </x:c>
      <x:c r="AI1" s="8" t="str">
        <x:v>circle_collision_size</x:v>
      </x:c>
      <x:c r="AJ1" s="8" t="str">
        <x:v>circle_collision_time_seconds</x:v>
      </x:c>
      <x:c r="AK1" s="8" t="str">
        <x:v>circle_collision_valid</x:v>
      </x:c>
      <x:c r="AL1" s="8" t="str">
        <x:v>circle_both_valid</x:v>
      </x:c>
      <x:c r="AM1" s="8" t="str">
        <x:v>circle_size_difference_collision_minus_entropy</x:v>
      </x:c>
      <x:c r="AN1" s="8" t="str">
        <x:v>circle_pre_prune_difference_collision_minus_entropy</x:v>
      </x:c>
      <x:c r="AO1" s="8" t="str">
        <x:v>circle_time_difference_collision_minus_entropy</x:v>
      </x:c>
      <x:c r="AP1" s="8" t="str">
        <x:v>circle_collision_entropy_size_ratio</x:v>
      </x:c>
      <x:c r="AQ1" s="8" t="str">
        <x:v>circle_entropy_pruned_count</x:v>
      </x:c>
      <x:c r="AR1" s="8" t="str">
        <x:v>circle_collision_pruned_count</x:v>
      </x:c>
      <x:c r="AS1" s="8" t="str">
        <x:v>circle_size_winner</x:v>
      </x:c>
      <x:c r="AT1" s="8" t="str">
        <x:v>circle_faster_method</x:v>
      </x:c>
      <x:c r="AU1" s="8" t="str">
        <x:v>circle_outlier_type</x:v>
      </x:c>
      <x:c r="AV1" s="8" t="str">
        <x:v>zoomed_entropy_pre_prune_size</x:v>
      </x:c>
      <x:c r="AW1" s="8" t="str">
        <x:v>zoomed_entropy_size</x:v>
      </x:c>
      <x:c r="AX1" s="8" t="str">
        <x:v>zoomed_entropy_time_seconds</x:v>
      </x:c>
      <x:c r="AY1" s="8" t="str">
        <x:v>zoomed_entropy_valid</x:v>
      </x:c>
      <x:c r="AZ1" s="8" t="str">
        <x:v>zoomed_collision_pre_prune_size</x:v>
      </x:c>
      <x:c r="BA1" s="8" t="str">
        <x:v>zoomed_collision_size</x:v>
      </x:c>
      <x:c r="BB1" s="8" t="str">
        <x:v>zoomed_collision_time_seconds</x:v>
      </x:c>
      <x:c r="BC1" s="8" t="str">
        <x:v>zoomed_collision_valid</x:v>
      </x:c>
      <x:c r="BD1" s="8" t="str">
        <x:v>zoomed_both_valid</x:v>
      </x:c>
      <x:c r="BE1" s="8" t="str">
        <x:v>zoomed_size_difference_collision_minus_entropy</x:v>
      </x:c>
      <x:c r="BF1" s="8" t="str">
        <x:v>zoomed_pre_prune_difference_collision_minus_entropy</x:v>
      </x:c>
      <x:c r="BG1" s="8" t="str">
        <x:v>zoomed_time_difference_collision_minus_entropy</x:v>
      </x:c>
      <x:c r="BH1" s="8" t="str">
        <x:v>zoomed_collision_entropy_size_ratio</x:v>
      </x:c>
      <x:c r="BI1" s="8" t="str">
        <x:v>zoomed_entropy_pruned_count</x:v>
      </x:c>
      <x:c r="BJ1" s="8" t="str">
        <x:v>zoomed_collision_pruned_count</x:v>
      </x:c>
      <x:c r="BK1" s="8" t="str">
        <x:v>zoomed_size_winner</x:v>
      </x:c>
      <x:c r="BL1" s="8" t="str">
        <x:v>zoomed_faster_method</x:v>
      </x:c>
      <x:c r="BM1" s="8" t="str">
        <x:v>zoomed_outlier_type</x:v>
      </x:c>
      <x:c r="BN1" s="8" t="str">
        <x:v>ich_entropy_pre_prune_size</x:v>
      </x:c>
      <x:c r="BO1" s="8" t="str">
        <x:v>ich_entropy_size</x:v>
      </x:c>
      <x:c r="BP1" s="8" t="str">
        <x:v>ich_entropy_time_seconds</x:v>
      </x:c>
      <x:c r="BQ1" s="8" t="str">
        <x:v>ich_entropy_valid</x:v>
      </x:c>
      <x:c r="BR1" s="8" t="str">
        <x:v>ich_collision_pre_prune_size</x:v>
      </x:c>
      <x:c r="BS1" s="8" t="str">
        <x:v>ich_collision_size</x:v>
      </x:c>
      <x:c r="BT1" s="8" t="str">
        <x:v>ich_collision_time_seconds</x:v>
      </x:c>
      <x:c r="BU1" s="8" t="str">
        <x:v>ich_collision_valid</x:v>
      </x:c>
      <x:c r="BV1" s="8" t="str">
        <x:v>ich_both_valid</x:v>
      </x:c>
      <x:c r="BW1" s="8" t="str">
        <x:v>ich_size_difference_collision_minus_entropy</x:v>
      </x:c>
      <x:c r="BX1" s="8" t="str">
        <x:v>ich_pre_prune_difference_collision_minus_entropy</x:v>
      </x:c>
      <x:c r="BY1" s="8" t="str">
        <x:v>ich_time_difference_collision_minus_entropy</x:v>
      </x:c>
      <x:c r="BZ1" s="8" t="str">
        <x:v>ich_collision_entropy_size_ratio</x:v>
      </x:c>
      <x:c r="CA1" s="8" t="str">
        <x:v>ich_entropy_pruned_count</x:v>
      </x:c>
      <x:c r="CB1" s="8" t="str">
        <x:v>ich_collision_pruned_count</x:v>
      </x:c>
      <x:c r="CC1" s="8" t="str">
        <x:v>ich_size_winner</x:v>
      </x:c>
      <x:c r="CD1" s="8" t="str">
        <x:v>ich_faster_method</x:v>
      </x:c>
      <x:c r="CE1" s="8" t="str">
        <x:v>ich_outlier_type</x:v>
      </x:c>
    </x:row>
    <x:row r="2">
      <x:c r="A2" s="254" t="str">
        <x:v>50</x:v>
      </x:c>
      <x:c r="B2" s="254" t="str">
        <x:v>0.1</x:v>
      </x:c>
      <x:c r="C2" s="254" t="str">
        <x:v>1</x:v>
      </x:c>
      <x:c r="D2" s="254" t="str">
        <x:v>209009057</x:v>
      </x:c>
      <x:c r="E2" s="254" t="str">
        <x:v>34</x:v>
      </x:c>
      <x:c r="F2" s="254" t="str">
        <x:v>24</x:v>
      </x:c>
      <x:c r="G2" s="254" t="str">
        <x:v>12</x:v>
      </x:c>
      <x:c r="H2" s="254" t="str">
        <x:v>1.36</x:v>
      </x:c>
      <x:c r="I2" s="254" t="str">
        <x:v>0.027755102040816326</x:v>
      </x:c>
      <x:c r="J2" s="254" t="str">
        <x:v>5</x:v>
      </x:c>
      <x:c r="K2" s="254" t="str">
        <x:v>grid_entropy,grid_collision,circle_entropy,circle_collision,zoomed_entropy,zoomed_collision,ich_entropy,ich_collision</x:v>
      </x:c>
      <x:c r="L2" s="254" t="str">
        <x:v>28</x:v>
      </x:c>
      <x:c r="M2" s="254" t="str">
        <x:v>28</x:v>
      </x:c>
      <x:c r="N2" s="254" t="str">
        <x:v>0.0030211000703275204</x:v>
      </x:c>
      <x:c r="O2" s="254" t="str">
        <x:v>False</x:v>
      </x:c>
      <x:c r="P2" s="254" t="str">
        <x:v>27</x:v>
      </x:c>
      <x:c r="Q2" s="254" t="str">
        <x:v>27</x:v>
      </x:c>
      <x:c r="R2" s="254" t="str">
        <x:v>0.0017275999998673797</x:v>
      </x:c>
      <x:c r="S2" s="254" t="str">
        <x:v>False</x:v>
      </x:c>
      <x:c r="T2" s="254" t="str">
        <x:v>False</x:v>
      </x:c>
      <x:c r="U2" s="254" t="str">
        <x:v>-1</x:v>
      </x:c>
      <x:c r="V2" s="254" t="str">
        <x:v>-1</x:v>
      </x:c>
      <x:c r="W2" s="254" t="str">
        <x:v>-0.0012935000704601407</x:v>
      </x:c>
      <x:c r="X2" s="254" t="str">
        <x:v>0.9642857142857143</x:v>
      </x:c>
      <x:c r="Y2" s="254" t="str">
        <x:v>0</x:v>
      </x:c>
      <x:c r="Z2" s="254" t="str">
        <x:v>0</x:v>
      </x:c>
      <x:c r="AA2" s="254" t="str">
        <x:v>neither</x:v>
      </x:c>
      <x:c r="AB2" s="254" t="str">
        <x:v>collision</x:v>
      </x:c>
      <x:c r="AC2" s="254" t="str">
        <x:v>none</x:v>
      </x:c>
      <x:c r="AD2" s="254" t="str">
        <x:v>34</x:v>
      </x:c>
      <x:c r="AE2" s="254" t="str">
        <x:v>28</x:v>
      </x:c>
      <x:c r="AF2" s="254" t="str">
        <x:v>0.0028360000578686595</x:v>
      </x:c>
      <x:c r="AG2" s="254" t="str">
        <x:v>True</x:v>
      </x:c>
      <x:c r="AH2" s="254" t="str">
        <x:v>33</x:v>
      </x:c>
      <x:c r="AI2" s="254" t="str">
        <x:v>28</x:v>
      </x:c>
      <x:c r="AJ2" s="254" t="str">
        <x:v>0.003015300026163459</x:v>
      </x:c>
      <x:c r="AK2" s="254" t="str">
        <x:v>True</x:v>
      </x:c>
      <x:c r="AL2" s="254" t="str">
        <x:v>True</x:v>
      </x:c>
      <x:c r="AM2" s="254" t="str">
        <x:v>0</x:v>
      </x:c>
      <x:c r="AN2" s="254" t="str">
        <x:v>-1</x:v>
      </x:c>
      <x:c r="AO2" s="254" t="str">
        <x:v>0.00017929996829479933</x:v>
      </x:c>
      <x:c r="AP2" s="254" t="str">
        <x:v>1.0</x:v>
      </x:c>
      <x:c r="AQ2" s="254" t="str">
        <x:v>6</x:v>
      </x:c>
      <x:c r="AR2" s="254" t="str">
        <x:v>5</x:v>
      </x:c>
      <x:c r="AS2" s="254" t="str">
        <x:v>tie</x:v>
      </x:c>
      <x:c r="AT2" s="254" t="str">
        <x:v>entropy</x:v>
      </x:c>
      <x:c r="AU2" s="254" t="str">
        <x:v>none</x:v>
      </x:c>
      <x:c r="AV2" s="254" t="str">
        <x:v>36</x:v>
      </x:c>
      <x:c r="AW2" s="254" t="str">
        <x:v>28</x:v>
      </x:c>
      <x:c r="AX2" s="254" t="str">
        <x:v>0.00331579998601228</x:v>
      </x:c>
      <x:c r="AY2" s="254" t="str">
        <x:v>True</x:v>
      </x:c>
      <x:c r="AZ2" s="254" t="str">
        <x:v>35</x:v>
      </x:c>
      <x:c r="BA2" s="254" t="str">
        <x:v>28</x:v>
      </x:c>
      <x:c r="BB2" s="254" t="str">
        <x:v>0.0030246999813243747</x:v>
      </x:c>
      <x:c r="BC2" s="254" t="str">
        <x:v>True</x:v>
      </x:c>
      <x:c r="BD2" s="254" t="str">
        <x:v>True</x:v>
      </x:c>
      <x:c r="BE2" s="254" t="str">
        <x:v>0</x:v>
      </x:c>
      <x:c r="BF2" s="254" t="str">
        <x:v>-1</x:v>
      </x:c>
      <x:c r="BG2" s="254" t="str">
        <x:v>-0.0002911000046879053</x:v>
      </x:c>
      <x:c r="BH2" s="254" t="str">
        <x:v>1.0</x:v>
      </x:c>
      <x:c r="BI2" s="254" t="str">
        <x:v>8</x:v>
      </x:c>
      <x:c r="BJ2" s="254" t="str">
        <x:v>7</x:v>
      </x:c>
      <x:c r="BK2" s="254" t="str">
        <x:v>tie</x:v>
      </x:c>
      <x:c r="BL2" s="254" t="str">
        <x:v>collision</x:v>
      </x:c>
      <x:c r="BM2" s="254" t="str">
        <x:v>none</x:v>
      </x:c>
      <x:c r="BN2" s="254" t="str">
        <x:v>28</x:v>
      </x:c>
      <x:c r="BO2" s="254" t="str">
        <x:v>28</x:v>
      </x:c>
      <x:c r="BP2" s="254" t="str">
        <x:v>0.035803799983114004</x:v>
      </x:c>
      <x:c r="BQ2" s="254" t="str">
        <x:v>True</x:v>
      </x:c>
      <x:c r="BR2" s="254" t="str">
        <x:v>28</x:v>
      </x:c>
      <x:c r="BS2" s="254" t="str">
        <x:v>28</x:v>
      </x:c>
      <x:c r="BT2" s="254" t="str">
        <x:v>0.034192000050097704</x:v>
      </x:c>
      <x:c r="BU2" s="254" t="str">
        <x:v>True</x:v>
      </x:c>
      <x:c r="BV2" s="254" t="str">
        <x:v>True</x:v>
      </x:c>
      <x:c r="BW2" s="254" t="str">
        <x:v>0</x:v>
      </x:c>
      <x:c r="BX2" s="254" t="str">
        <x:v>0</x:v>
      </x:c>
      <x:c r="BY2" s="254" t="str">
        <x:v>-0.0016117999330163002</x:v>
      </x:c>
      <x:c r="BZ2" s="254" t="str">
        <x:v>1.0</x:v>
      </x:c>
      <x:c r="CA2" s="254" t="str">
        <x:v>0</x:v>
      </x:c>
      <x:c r="CB2" s="254" t="str">
        <x:v>0</x:v>
      </x:c>
      <x:c r="CC2" s="254" t="str">
        <x:v>tie</x:v>
      </x:c>
      <x:c r="CD2" s="254" t="str">
        <x:v>collision</x:v>
      </x:c>
      <x:c r="CE2" s="254" t="str">
        <x:v>none</x:v>
      </x:c>
    </x:row>
    <x:row r="3">
      <x:c r="A3" s="255" t="str">
        <x:v>50</x:v>
      </x:c>
      <x:c r="B3" s="255" t="str">
        <x:v>0.1</x:v>
      </x:c>
      <x:c r="C3" s="255" t="str">
        <x:v>2</x:v>
      </x:c>
      <x:c r="D3" s="255" t="str">
        <x:v>19468622</x:v>
      </x:c>
      <x:c r="E3" s="255" t="str">
        <x:v>37</x:v>
      </x:c>
      <x:c r="F3" s="255" t="str">
        <x:v>23</x:v>
      </x:c>
      <x:c r="G3" s="255" t="str">
        <x:v>10</x:v>
      </x:c>
      <x:c r="H3" s="255" t="str">
        <x:v>1.48</x:v>
      </x:c>
      <x:c r="I3" s="255" t="str">
        <x:v>0.030204081632653063</x:v>
      </x:c>
      <x:c r="J3" s="255" t="str">
        <x:v>5</x:v>
      </x:c>
      <x:c r="K3" s="255" t="str">
        <x:v>circle_collision,circle_entropy,zoomed_collision,zoomed_entropy,ich_collision,ich_entropy,grid_collision,grid_entropy</x:v>
      </x:c>
      <x:c r="L3" s="255" t="str">
        <x:v>32</x:v>
      </x:c>
      <x:c r="M3" s="255" t="str">
        <x:v>32</x:v>
      </x:c>
      <x:c r="N3" s="255" t="str">
        <x:v>0.001999200088903308</x:v>
      </x:c>
      <x:c r="O3" s="255" t="str">
        <x:v>False</x:v>
      </x:c>
      <x:c r="P3" s="255" t="str">
        <x:v>29</x:v>
      </x:c>
      <x:c r="Q3" s="255" t="str">
        <x:v>29</x:v>
      </x:c>
      <x:c r="R3" s="255" t="str">
        <x:v>0.0019987000850960612</x:v>
      </x:c>
      <x:c r="S3" s="255" t="str">
        <x:v>False</x:v>
      </x:c>
      <x:c r="T3" s="255" t="str">
        <x:v>False</x:v>
      </x:c>
      <x:c r="U3" s="255" t="str">
        <x:v>-3</x:v>
      </x:c>
      <x:c r="V3" s="255" t="str">
        <x:v>-3</x:v>
      </x:c>
      <x:c r="W3" s="255" t="str">
        <x:v>-5.00003807246685e-07</x:v>
      </x:c>
      <x:c r="X3" s="255" t="str">
        <x:v>0.90625</x:v>
      </x:c>
      <x:c r="Y3" s="255" t="str">
        <x:v>0</x:v>
      </x:c>
      <x:c r="Z3" s="255" t="str">
        <x:v>0</x:v>
      </x:c>
      <x:c r="AA3" s="255" t="str">
        <x:v>neither</x:v>
      </x:c>
      <x:c r="AB3" s="255" t="str">
        <x:v>collision</x:v>
      </x:c>
      <x:c r="AC3" s="255" t="str">
        <x:v>none</x:v>
      </x:c>
      <x:c r="AD3" s="255" t="str">
        <x:v>32</x:v>
      </x:c>
      <x:c r="AE3" s="255" t="str">
        <x:v>27</x:v>
      </x:c>
      <x:c r="AF3" s="255" t="str">
        <x:v>0.00282260007224977</x:v>
      </x:c>
      <x:c r="AG3" s="255" t="str">
        <x:v>True</x:v>
      </x:c>
      <x:c r="AH3" s="255" t="str">
        <x:v>32</x:v>
      </x:c>
      <x:c r="AI3" s="255" t="str">
        <x:v>27</x:v>
      </x:c>
      <x:c r="AJ3" s="255" t="str">
        <x:v>0.0034866000059992075</x:v>
      </x:c>
      <x:c r="AK3" s="255" t="str">
        <x:v>True</x:v>
      </x:c>
      <x:c r="AL3" s="255" t="str">
        <x:v>True</x:v>
      </x:c>
      <x:c r="AM3" s="255" t="str">
        <x:v>0</x:v>
      </x:c>
      <x:c r="AN3" s="255" t="str">
        <x:v>0</x:v>
      </x:c>
      <x:c r="AO3" s="255" t="str">
        <x:v>0.0006639999337494373</x:v>
      </x:c>
      <x:c r="AP3" s="255" t="str">
        <x:v>1.0</x:v>
      </x:c>
      <x:c r="AQ3" s="255" t="str">
        <x:v>5</x:v>
      </x:c>
      <x:c r="AR3" s="255" t="str">
        <x:v>5</x:v>
      </x:c>
      <x:c r="AS3" s="255" t="str">
        <x:v>tie</x:v>
      </x:c>
      <x:c r="AT3" s="255" t="str">
        <x:v>entropy</x:v>
      </x:c>
      <x:c r="AU3" s="255" t="str">
        <x:v>none</x:v>
      </x:c>
      <x:c r="AV3" s="255" t="str">
        <x:v>35</x:v>
      </x:c>
      <x:c r="AW3" s="255" t="str">
        <x:v>27</x:v>
      </x:c>
      <x:c r="AX3" s="255" t="str">
        <x:v>0.002898000064305961</x:v>
      </x:c>
      <x:c r="AY3" s="255" t="str">
        <x:v>True</x:v>
      </x:c>
      <x:c r="AZ3" s="255" t="str">
        <x:v>35</x:v>
      </x:c>
      <x:c r="BA3" s="255" t="str">
        <x:v>27</x:v>
      </x:c>
      <x:c r="BB3" s="255" t="str">
        <x:v>0.0026942999102175236</x:v>
      </x:c>
      <x:c r="BC3" s="255" t="str">
        <x:v>True</x:v>
      </x:c>
      <x:c r="BD3" s="255" t="str">
        <x:v>True</x:v>
      </x:c>
      <x:c r="BE3" s="255" t="str">
        <x:v>0</x:v>
      </x:c>
      <x:c r="BF3" s="255" t="str">
        <x:v>0</x:v>
      </x:c>
      <x:c r="BG3" s="255" t="str">
        <x:v>-0.00020370015408843756</x:v>
      </x:c>
      <x:c r="BH3" s="255" t="str">
        <x:v>1.0</x:v>
      </x:c>
      <x:c r="BI3" s="255" t="str">
        <x:v>8</x:v>
      </x:c>
      <x:c r="BJ3" s="255" t="str">
        <x:v>8</x:v>
      </x:c>
      <x:c r="BK3" s="255" t="str">
        <x:v>tie</x:v>
      </x:c>
      <x:c r="BL3" s="255" t="str">
        <x:v>collision</x:v>
      </x:c>
      <x:c r="BM3" s="255" t="str">
        <x:v>none</x:v>
      </x:c>
      <x:c r="BN3" s="255" t="str">
        <x:v>27</x:v>
      </x:c>
      <x:c r="BO3" s="255" t="str">
        <x:v>27</x:v>
      </x:c>
      <x:c r="BP3" s="255" t="str">
        <x:v>0.034058399964123964</x:v>
      </x:c>
      <x:c r="BQ3" s="255" t="str">
        <x:v>True</x:v>
      </x:c>
      <x:c r="BR3" s="255" t="str">
        <x:v>27</x:v>
      </x:c>
      <x:c r="BS3" s="255" t="str">
        <x:v>27</x:v>
      </x:c>
      <x:c r="BT3" s="255" t="str">
        <x:v>0.033850800013169646</x:v>
      </x:c>
      <x:c r="BU3" s="255" t="str">
        <x:v>True</x:v>
      </x:c>
      <x:c r="BV3" s="255" t="str">
        <x:v>True</x:v>
      </x:c>
      <x:c r="BW3" s="255" t="str">
        <x:v>0</x:v>
      </x:c>
      <x:c r="BX3" s="255" t="str">
        <x:v>0</x:v>
      </x:c>
      <x:c r="BY3" s="255" t="str">
        <x:v>-0.00020759995095431805</x:v>
      </x:c>
      <x:c r="BZ3" s="255" t="str">
        <x:v>1.0</x:v>
      </x:c>
      <x:c r="CA3" s="255" t="str">
        <x:v>0</x:v>
      </x:c>
      <x:c r="CB3" s="255" t="str">
        <x:v>0</x:v>
      </x:c>
      <x:c r="CC3" s="255" t="str">
        <x:v>tie</x:v>
      </x:c>
      <x:c r="CD3" s="255" t="str">
        <x:v>collision</x:v>
      </x:c>
      <x:c r="CE3" s="255" t="str">
        <x:v>none</x:v>
      </x:c>
    </x:row>
    <x:row r="4">
      <x:c r="A4" s="255" t="str">
        <x:v>50</x:v>
      </x:c>
      <x:c r="B4" s="255" t="str">
        <x:v>0.1</x:v>
      </x:c>
      <x:c r="C4" s="255" t="str">
        <x:v>3</x:v>
      </x:c>
      <x:c r="D4" s="255" t="str">
        <x:v>2553414308</x:v>
      </x:c>
      <x:c r="E4" s="255" t="str">
        <x:v>29</x:v>
      </x:c>
      <x:c r="F4" s="255" t="str">
        <x:v>27</x:v>
      </x:c>
      <x:c r="G4" s="255" t="str">
        <x:v>6</x:v>
      </x:c>
      <x:c r="H4" s="255" t="str">
        <x:v>1.16</x:v>
      </x:c>
      <x:c r="I4" s="255" t="str">
        <x:v>0.0236734693877551</x:v>
      </x:c>
      <x:c r="J4" s="255" t="str">
        <x:v>5</x:v>
      </x:c>
      <x:c r="K4" s="255" t="str">
        <x:v>zoomed_entropy,zoomed_collision,ich_entropy,ich_collision,grid_entropy,grid_collision,circle_entropy,circle_collision</x:v>
      </x:c>
      <x:c r="L4" s="255" t="str">
        <x:v>28</x:v>
      </x:c>
      <x:c r="M4" s="255" t="str">
        <x:v>28</x:v>
      </x:c>
      <x:c r="N4" s="255" t="str">
        <x:v>0.0019138000207021832</x:v>
      </x:c>
      <x:c r="O4" s="255" t="str">
        <x:v>False</x:v>
      </x:c>
      <x:c r="P4" s="255" t="str">
        <x:v>28</x:v>
      </x:c>
      <x:c r="Q4" s="255" t="str">
        <x:v>28</x:v>
      </x:c>
      <x:c r="R4" s="255" t="str">
        <x:v>0.0018563000485301018</x:v>
      </x:c>
      <x:c r="S4" s="255" t="str">
        <x:v>False</x:v>
      </x:c>
      <x:c r="T4" s="255" t="str">
        <x:v>False</x:v>
      </x:c>
      <x:c r="U4" s="255" t="str">
        <x:v>0</x:v>
      </x:c>
      <x:c r="V4" s="255" t="str">
        <x:v>0</x:v>
      </x:c>
      <x:c r="W4" s="255" t="str">
        <x:v>-5.749997217208147e-05</x:v>
      </x:c>
      <x:c r="X4" s="255" t="str">
        <x:v>1.0</x:v>
      </x:c>
      <x:c r="Y4" s="255" t="str">
        <x:v>0</x:v>
      </x:c>
      <x:c r="Z4" s="255" t="str">
        <x:v>0</x:v>
      </x:c>
      <x:c r="AA4" s="255" t="str">
        <x:v>neither</x:v>
      </x:c>
      <x:c r="AB4" s="255" t="str">
        <x:v>collision</x:v>
      </x:c>
      <x:c r="AC4" s="255" t="str">
        <x:v>none</x:v>
      </x:c>
      <x:c r="AD4" s="255" t="str">
        <x:v>36</x:v>
      </x:c>
      <x:c r="AE4" s="255" t="str">
        <x:v>30</x:v>
      </x:c>
      <x:c r="AF4" s="255" t="str">
        <x:v>0.003739599953405559</x:v>
      </x:c>
      <x:c r="AG4" s="255" t="str">
        <x:v>True</x:v>
      </x:c>
      <x:c r="AH4" s="255" t="str">
        <x:v>35</x:v>
      </x:c>
      <x:c r="AI4" s="255" t="str">
        <x:v>30</x:v>
      </x:c>
      <x:c r="AJ4" s="255" t="str">
        <x:v>0.00322089996188879</x:v>
      </x:c>
      <x:c r="AK4" s="255" t="str">
        <x:v>True</x:v>
      </x:c>
      <x:c r="AL4" s="255" t="str">
        <x:v>True</x:v>
      </x:c>
      <x:c r="AM4" s="255" t="str">
        <x:v>0</x:v>
      </x:c>
      <x:c r="AN4" s="255" t="str">
        <x:v>-1</x:v>
      </x:c>
      <x:c r="AO4" s="255" t="str">
        <x:v>-0.0005186999915167689</x:v>
      </x:c>
      <x:c r="AP4" s="255" t="str">
        <x:v>1.0</x:v>
      </x:c>
      <x:c r="AQ4" s="255" t="str">
        <x:v>6</x:v>
      </x:c>
      <x:c r="AR4" s="255" t="str">
        <x:v>5</x:v>
      </x:c>
      <x:c r="AS4" s="255" t="str">
        <x:v>tie</x:v>
      </x:c>
      <x:c r="AT4" s="255" t="str">
        <x:v>collision</x:v>
      </x:c>
      <x:c r="AU4" s="255" t="str">
        <x:v>none</x:v>
      </x:c>
      <x:c r="AV4" s="255" t="str">
        <x:v>34</x:v>
      </x:c>
      <x:c r="AW4" s="255" t="str">
        <x:v>30</x:v>
      </x:c>
      <x:c r="AX4" s="255" t="str">
        <x:v>0.003042900003492832</x:v>
      </x:c>
      <x:c r="AY4" s="255" t="str">
        <x:v>True</x:v>
      </x:c>
      <x:c r="AZ4" s="255" t="str">
        <x:v>34</x:v>
      </x:c>
      <x:c r="BA4" s="255" t="str">
        <x:v>30</x:v>
      </x:c>
      <x:c r="BB4" s="255" t="str">
        <x:v>0.0030397999798879027</x:v>
      </x:c>
      <x:c r="BC4" s="255" t="str">
        <x:v>True</x:v>
      </x:c>
      <x:c r="BD4" s="255" t="str">
        <x:v>True</x:v>
      </x:c>
      <x:c r="BE4" s="255" t="str">
        <x:v>0</x:v>
      </x:c>
      <x:c r="BF4" s="255" t="str">
        <x:v>0</x:v>
      </x:c>
      <x:c r="BG4" s="255" t="str">
        <x:v>-3.100023604929447e-06</x:v>
      </x:c>
      <x:c r="BH4" s="255" t="str">
        <x:v>1.0</x:v>
      </x:c>
      <x:c r="BI4" s="255" t="str">
        <x:v>4</x:v>
      </x:c>
      <x:c r="BJ4" s="255" t="str">
        <x:v>4</x:v>
      </x:c>
      <x:c r="BK4" s="255" t="str">
        <x:v>tie</x:v>
      </x:c>
      <x:c r="BL4" s="255" t="str">
        <x:v>collision</x:v>
      </x:c>
      <x:c r="BM4" s="255" t="str">
        <x:v>none</x:v>
      </x:c>
      <x:c r="BN4" s="255" t="str">
        <x:v>30</x:v>
      </x:c>
      <x:c r="BO4" s="255" t="str">
        <x:v>30</x:v>
      </x:c>
      <x:c r="BP4" s="255" t="str">
        <x:v>0.03721380000934005</x:v>
      </x:c>
      <x:c r="BQ4" s="255" t="str">
        <x:v>True</x:v>
      </x:c>
      <x:c r="BR4" s="255" t="str">
        <x:v>30</x:v>
      </x:c>
      <x:c r="BS4" s="255" t="str">
        <x:v>30</x:v>
      </x:c>
      <x:c r="BT4" s="255" t="str">
        <x:v>0.03497169993352145</x:v>
      </x:c>
      <x:c r="BU4" s="255" t="str">
        <x:v>True</x:v>
      </x:c>
      <x:c r="BV4" s="255" t="str">
        <x:v>True</x:v>
      </x:c>
      <x:c r="BW4" s="255" t="str">
        <x:v>0</x:v>
      </x:c>
      <x:c r="BX4" s="255" t="str">
        <x:v>0</x:v>
      </x:c>
      <x:c r="BY4" s="255" t="str">
        <x:v>-0.0022421000758185983</x:v>
      </x:c>
      <x:c r="BZ4" s="255" t="str">
        <x:v>1.0</x:v>
      </x:c>
      <x:c r="CA4" s="255" t="str">
        <x:v>0</x:v>
      </x:c>
      <x:c r="CB4" s="255" t="str">
        <x:v>0</x:v>
      </x:c>
      <x:c r="CC4" s="255" t="str">
        <x:v>tie</x:v>
      </x:c>
      <x:c r="CD4" s="255" t="str">
        <x:v>collision</x:v>
      </x:c>
      <x:c r="CE4" s="255" t="str">
        <x:v>none</x:v>
      </x:c>
    </x:row>
    <x:row r="5">
      <x:c r="A5" s="255" t="str">
        <x:v>50</x:v>
      </x:c>
      <x:c r="B5" s="255" t="str">
        <x:v>0.3</x:v>
      </x:c>
      <x:c r="C5" s="255" t="str">
        <x:v>1</x:v>
      </x:c>
      <x:c r="D5" s="255" t="str">
        <x:v>4165256226</x:v>
      </x:c>
      <x:c r="E5" s="255" t="str">
        <x:v>272</x:v>
      </x:c>
      <x:c r="F5" s="255" t="str">
        <x:v>1</x:v>
      </x:c>
      <x:c r="G5" s="255" t="str">
        <x:v>50</x:v>
      </x:c>
      <x:c r="H5" s="255" t="str">
        <x:v>10.88</x:v>
      </x:c>
      <x:c r="I5" s="255" t="str">
        <x:v>0.2220408163265306</x:v>
      </x:c>
      <x:c r="J5" s="255" t="str">
        <x:v>5</x:v>
      </x:c>
      <x:c r="K5" s="255" t="str">
        <x:v>grid_entropy,grid_collision,circle_entropy,circle_collision,zoomed_entropy,zoomed_collision,ich_entropy,ich_collision</x:v>
      </x:c>
      <x:c r="L5" s="255" t="str">
        <x:v>35</x:v>
      </x:c>
      <x:c r="M5" s="255" t="str">
        <x:v>12</x:v>
      </x:c>
      <x:c r="N5" s="255" t="str">
        <x:v>0.005136599997058511</x:v>
      </x:c>
      <x:c r="O5" s="255" t="str">
        <x:v>True</x:v>
      </x:c>
      <x:c r="P5" s="255" t="str">
        <x:v>24</x:v>
      </x:c>
      <x:c r="Q5" s="255" t="str">
        <x:v>12</x:v>
      </x:c>
      <x:c r="R5" s="255" t="str">
        <x:v>0.00434109999332577</x:v>
      </x:c>
      <x:c r="S5" s="255" t="str">
        <x:v>True</x:v>
      </x:c>
      <x:c r="T5" s="255" t="str">
        <x:v>True</x:v>
      </x:c>
      <x:c r="U5" s="255" t="str">
        <x:v>0</x:v>
      </x:c>
      <x:c r="V5" s="255" t="str">
        <x:v>-11</x:v>
      </x:c>
      <x:c r="W5" s="255" t="str">
        <x:v>-0.0007955000037327409</x:v>
      </x:c>
      <x:c r="X5" s="255" t="str">
        <x:v>1.0</x:v>
      </x:c>
      <x:c r="Y5" s="255" t="str">
        <x:v>23</x:v>
      </x:c>
      <x:c r="Z5" s="255" t="str">
        <x:v>12</x:v>
      </x:c>
      <x:c r="AA5" s="255" t="str">
        <x:v>tie</x:v>
      </x:c>
      <x:c r="AB5" s="255" t="str">
        <x:v>collision</x:v>
      </x:c>
      <x:c r="AC5" s="255" t="str">
        <x:v>none</x:v>
      </x:c>
      <x:c r="AD5" s="255" t="str">
        <x:v>33</x:v>
      </x:c>
      <x:c r="AE5" s="255" t="str">
        <x:v>12</x:v>
      </x:c>
      <x:c r="AF5" s="255" t="str">
        <x:v>0.004573900019749999</x:v>
      </x:c>
      <x:c r="AG5" s="255" t="str">
        <x:v>True</x:v>
      </x:c>
      <x:c r="AH5" s="255" t="str">
        <x:v>27</x:v>
      </x:c>
      <x:c r="AI5" s="255" t="str">
        <x:v>13</x:v>
      </x:c>
      <x:c r="AJ5" s="255" t="str">
        <x:v>0.0040281000547111034</x:v>
      </x:c>
      <x:c r="AK5" s="255" t="str">
        <x:v>True</x:v>
      </x:c>
      <x:c r="AL5" s="255" t="str">
        <x:v>True</x:v>
      </x:c>
      <x:c r="AM5" s="255" t="str">
        <x:v>1</x:v>
      </x:c>
      <x:c r="AN5" s="255" t="str">
        <x:v>-6</x:v>
      </x:c>
      <x:c r="AO5" s="255" t="str">
        <x:v>-0.0005457999650388956</x:v>
      </x:c>
      <x:c r="AP5" s="255" t="str">
        <x:v>1.0833333333333333</x:v>
      </x:c>
      <x:c r="AQ5" s="255" t="str">
        <x:v>21</x:v>
      </x:c>
      <x:c r="AR5" s="255" t="str">
        <x:v>14</x:v>
      </x:c>
      <x:c r="AS5" s="255" t="str">
        <x:v>entropy</x:v>
      </x:c>
      <x:c r="AT5" s="255" t="str">
        <x:v>collision</x:v>
      </x:c>
      <x:c r="AU5" s="255" t="str">
        <x:v>none</x:v>
      </x:c>
      <x:c r="AV5" s="255" t="str">
        <x:v>36</x:v>
      </x:c>
      <x:c r="AW5" s="255" t="str">
        <x:v>13</x:v>
      </x:c>
      <x:c r="AX5" s="255" t="str">
        <x:v>0.0042421999387443066</x:v>
      </x:c>
      <x:c r="AY5" s="255" t="str">
        <x:v>True</x:v>
      </x:c>
      <x:c r="AZ5" s="255" t="str">
        <x:v>30</x:v>
      </x:c>
      <x:c r="BA5" s="255" t="str">
        <x:v>13</x:v>
      </x:c>
      <x:c r="BB5" s="255" t="str">
        <x:v>0.004242900060489774</x:v>
      </x:c>
      <x:c r="BC5" s="255" t="str">
        <x:v>True</x:v>
      </x:c>
      <x:c r="BD5" s="255" t="str">
        <x:v>True</x:v>
      </x:c>
      <x:c r="BE5" s="255" t="str">
        <x:v>0</x:v>
      </x:c>
      <x:c r="BF5" s="255" t="str">
        <x:v>-6</x:v>
      </x:c>
      <x:c r="BG5" s="255" t="str">
        <x:v>7.00121745467186e-07</x:v>
      </x:c>
      <x:c r="BH5" s="255" t="str">
        <x:v>1.0</x:v>
      </x:c>
      <x:c r="BI5" s="255" t="str">
        <x:v>23</x:v>
      </x:c>
      <x:c r="BJ5" s="255" t="str">
        <x:v>17</x:v>
      </x:c>
      <x:c r="BK5" s="255" t="str">
        <x:v>tie</x:v>
      </x:c>
      <x:c r="BL5" s="255" t="str">
        <x:v>entropy</x:v>
      </x:c>
      <x:c r="BM5" s="255" t="str">
        <x:v>none</x:v>
      </x:c>
      <x:c r="BN5" s="255" t="str">
        <x:v>13</x:v>
      </x:c>
      <x:c r="BO5" s="255" t="str">
        <x:v>13</x:v>
      </x:c>
      <x:c r="BP5" s="255" t="str">
        <x:v>0.026735799969173968</x:v>
      </x:c>
      <x:c r="BQ5" s="255" t="str">
        <x:v>True</x:v>
      </x:c>
      <x:c r="BR5" s="255" t="str">
        <x:v>12</x:v>
      </x:c>
      <x:c r="BS5" s="255" t="str">
        <x:v>12</x:v>
      </x:c>
      <x:c r="BT5" s="255" t="str">
        <x:v>0.023687400040216744</x:v>
      </x:c>
      <x:c r="BU5" s="255" t="str">
        <x:v>True</x:v>
      </x:c>
      <x:c r="BV5" s="255" t="str">
        <x:v>True</x:v>
      </x:c>
      <x:c r="BW5" s="255" t="str">
        <x:v>-1</x:v>
      </x:c>
      <x:c r="BX5" s="255" t="str">
        <x:v>-1</x:v>
      </x:c>
      <x:c r="BY5" s="255" t="str">
        <x:v>-0.003048399928957224</x:v>
      </x:c>
      <x:c r="BZ5" s="255" t="str">
        <x:v>0.9230769230769231</x:v>
      </x:c>
      <x:c r="CA5" s="255" t="str">
        <x:v>0</x:v>
      </x:c>
      <x:c r="CB5" s="255" t="str">
        <x:v>0</x:v>
      </x:c>
      <x:c r="CC5" s="255" t="str">
        <x:v>collision</x:v>
      </x:c>
      <x:c r="CD5" s="255" t="str">
        <x:v>collision</x:v>
      </x:c>
      <x:c r="CE5" s="255" t="str">
        <x:v>none</x:v>
      </x:c>
    </x:row>
    <x:row r="6">
      <x:c r="A6" s="255" t="str">
        <x:v>50</x:v>
      </x:c>
      <x:c r="B6" s="255" t="str">
        <x:v>0.3</x:v>
      </x:c>
      <x:c r="C6" s="255" t="str">
        <x:v>2</x:v>
      </x:c>
      <x:c r="D6" s="255" t="str">
        <x:v>3034549</x:v>
      </x:c>
      <x:c r="E6" s="255" t="str">
        <x:v>243</x:v>
      </x:c>
      <x:c r="F6" s="255" t="str">
        <x:v>1</x:v>
      </x:c>
      <x:c r="G6" s="255" t="str">
        <x:v>50</x:v>
      </x:c>
      <x:c r="H6" s="255" t="str">
        <x:v>9.72</x:v>
      </x:c>
      <x:c r="I6" s="255" t="str">
        <x:v>0.1983673469387755</x:v>
      </x:c>
      <x:c r="J6" s="255" t="str">
        <x:v>5</x:v>
      </x:c>
      <x:c r="K6" s="255" t="str">
        <x:v>circle_collision,circle_entropy,zoomed_collision,zoomed_entropy,ich_collision,ich_entropy,grid_collision,grid_entropy</x:v>
      </x:c>
      <x:c r="L6" s="255" t="str">
        <x:v>34</x:v>
      </x:c>
      <x:c r="M6" s="255" t="str">
        <x:v>12</x:v>
      </x:c>
      <x:c r="N6" s="255" t="str">
        <x:v>0.003982699941843748</x:v>
      </x:c>
      <x:c r="O6" s="255" t="str">
        <x:v>True</x:v>
      </x:c>
      <x:c r="P6" s="255" t="str">
        <x:v>22</x:v>
      </x:c>
      <x:c r="Q6" s="255" t="str">
        <x:v>22</x:v>
      </x:c>
      <x:c r="R6" s="255" t="str">
        <x:v>0.0028989999555051327</x:v>
      </x:c>
      <x:c r="S6" s="255" t="str">
        <x:v>False</x:v>
      </x:c>
      <x:c r="T6" s="255" t="str">
        <x:v>False</x:v>
      </x:c>
      <x:c r="U6" s="255" t="str">
        <x:v>10</x:v>
      </x:c>
      <x:c r="V6" s="255" t="str">
        <x:v>-12</x:v>
      </x:c>
      <x:c r="W6" s="255" t="str">
        <x:v>-0.0010836999863386154</x:v>
      </x:c>
      <x:c r="X6" s="255" t="str">
        <x:v>1.8333333333333333</x:v>
      </x:c>
      <x:c r="Y6" s="255" t="str">
        <x:v>22</x:v>
      </x:c>
      <x:c r="Z6" s="255" t="str">
        <x:v>0</x:v>
      </x:c>
      <x:c r="AA6" s="255" t="str">
        <x:v>entropy</x:v>
      </x:c>
      <x:c r="AB6" s="255" t="str">
        <x:v>collision</x:v>
      </x:c>
      <x:c r="AC6" s="255" t="str">
        <x:v>large_and_invalid</x:v>
      </x:c>
      <x:c r="AD6" s="255" t="str">
        <x:v>32</x:v>
      </x:c>
      <x:c r="AE6" s="255" t="str">
        <x:v>11</x:v>
      </x:c>
      <x:c r="AF6" s="255" t="str">
        <x:v>0.004142799996770918</x:v>
      </x:c>
      <x:c r="AG6" s="255" t="str">
        <x:v>True</x:v>
      </x:c>
      <x:c r="AH6" s="255" t="str">
        <x:v>30</x:v>
      </x:c>
      <x:c r="AI6" s="255" t="str">
        <x:v>11</x:v>
      </x:c>
      <x:c r="AJ6" s="255" t="str">
        <x:v>0.0042397999204695225</x:v>
      </x:c>
      <x:c r="AK6" s="255" t="str">
        <x:v>True</x:v>
      </x:c>
      <x:c r="AL6" s="255" t="str">
        <x:v>True</x:v>
      </x:c>
      <x:c r="AM6" s="255" t="str">
        <x:v>0</x:v>
      </x:c>
      <x:c r="AN6" s="255" t="str">
        <x:v>-2</x:v>
      </x:c>
      <x:c r="AO6" s="255" t="str">
        <x:v>9.699992369860411e-05</x:v>
      </x:c>
      <x:c r="AP6" s="255" t="str">
        <x:v>1.0</x:v>
      </x:c>
      <x:c r="AQ6" s="255" t="str">
        <x:v>21</x:v>
      </x:c>
      <x:c r="AR6" s="255" t="str">
        <x:v>19</x:v>
      </x:c>
      <x:c r="AS6" s="255" t="str">
        <x:v>tie</x:v>
      </x:c>
      <x:c r="AT6" s="255" t="str">
        <x:v>entropy</x:v>
      </x:c>
      <x:c r="AU6" s="255" t="str">
        <x:v>none</x:v>
      </x:c>
      <x:c r="AV6" s="255" t="str">
        <x:v>30</x:v>
      </x:c>
      <x:c r="AW6" s="255" t="str">
        <x:v>11</x:v>
      </x:c>
      <x:c r="AX6" s="255" t="str">
        <x:v>0.0036935999523848295</x:v>
      </x:c>
      <x:c r="AY6" s="255" t="str">
        <x:v>True</x:v>
      </x:c>
      <x:c r="AZ6" s="255" t="str">
        <x:v>24</x:v>
      </x:c>
      <x:c r="BA6" s="255" t="str">
        <x:v>11</x:v>
      </x:c>
      <x:c r="BB6" s="255" t="str">
        <x:v>0.00374399998690933</x:v>
      </x:c>
      <x:c r="BC6" s="255" t="str">
        <x:v>True</x:v>
      </x:c>
      <x:c r="BD6" s="255" t="str">
        <x:v>True</x:v>
      </x:c>
      <x:c r="BE6" s="255" t="str">
        <x:v>0</x:v>
      </x:c>
      <x:c r="BF6" s="255" t="str">
        <x:v>-6</x:v>
      </x:c>
      <x:c r="BG6" s="255" t="str">
        <x:v>5.040003452450037e-05</x:v>
      </x:c>
      <x:c r="BH6" s="255" t="str">
        <x:v>1.0</x:v>
      </x:c>
      <x:c r="BI6" s="255" t="str">
        <x:v>19</x:v>
      </x:c>
      <x:c r="BJ6" s="255" t="str">
        <x:v>13</x:v>
      </x:c>
      <x:c r="BK6" s="255" t="str">
        <x:v>tie</x:v>
      </x:c>
      <x:c r="BL6" s="255" t="str">
        <x:v>entropy</x:v>
      </x:c>
      <x:c r="BM6" s="255" t="str">
        <x:v>none</x:v>
      </x:c>
      <x:c r="BN6" s="255" t="str">
        <x:v>13</x:v>
      </x:c>
      <x:c r="BO6" s="255" t="str">
        <x:v>13</x:v>
      </x:c>
      <x:c r="BP6" s="255" t="str">
        <x:v>0.02866299997549504</x:v>
      </x:c>
      <x:c r="BQ6" s="255" t="str">
        <x:v>True</x:v>
      </x:c>
      <x:c r="BR6" s="255" t="str">
        <x:v>13</x:v>
      </x:c>
      <x:c r="BS6" s="255" t="str">
        <x:v>13</x:v>
      </x:c>
      <x:c r="BT6" s="255" t="str">
        <x:v>0.02392179996240884</x:v>
      </x:c>
      <x:c r="BU6" s="255" t="str">
        <x:v>True</x:v>
      </x:c>
      <x:c r="BV6" s="255" t="str">
        <x:v>True</x:v>
      </x:c>
      <x:c r="BW6" s="255" t="str">
        <x:v>0</x:v>
      </x:c>
      <x:c r="BX6" s="255" t="str">
        <x:v>0</x:v>
      </x:c>
      <x:c r="BY6" s="255" t="str">
        <x:v>-0.0047412000130862</x:v>
      </x:c>
      <x:c r="BZ6" s="255" t="str">
        <x:v>1.0</x:v>
      </x:c>
      <x:c r="CA6" s="255" t="str">
        <x:v>0</x:v>
      </x:c>
      <x:c r="CB6" s="255" t="str">
        <x:v>0</x:v>
      </x:c>
      <x:c r="CC6" s="255" t="str">
        <x:v>tie</x:v>
      </x:c>
      <x:c r="CD6" s="255" t="str">
        <x:v>collision</x:v>
      </x:c>
      <x:c r="CE6" s="255" t="str">
        <x:v>none</x:v>
      </x:c>
    </x:row>
    <x:row r="7">
      <x:c r="A7" s="255" t="str">
        <x:v>50</x:v>
      </x:c>
      <x:c r="B7" s="255" t="str">
        <x:v>0.3</x:v>
      </x:c>
      <x:c r="C7" s="255" t="str">
        <x:v>3</x:v>
      </x:c>
      <x:c r="D7" s="255" t="str">
        <x:v>469876426</x:v>
      </x:c>
      <x:c r="E7" s="255" t="str">
        <x:v>259</x:v>
      </x:c>
      <x:c r="F7" s="255" t="str">
        <x:v>1</x:v>
      </x:c>
      <x:c r="G7" s="255" t="str">
        <x:v>50</x:v>
      </x:c>
      <x:c r="H7" s="255" t="str">
        <x:v>10.36</x:v>
      </x:c>
      <x:c r="I7" s="255" t="str">
        <x:v>0.21142857142857144</x:v>
      </x:c>
      <x:c r="J7" s="255" t="str">
        <x:v>5</x:v>
      </x:c>
      <x:c r="K7" s="255" t="str">
        <x:v>zoomed_entropy,zoomed_collision,ich_entropy,ich_collision,grid_entropy,grid_collision,circle_entropy,circle_collision</x:v>
      </x:c>
      <x:c r="L7" s="255" t="str">
        <x:v>33</x:v>
      </x:c>
      <x:c r="M7" s="255" t="str">
        <x:v>10</x:v>
      </x:c>
      <x:c r="N7" s="255" t="str">
        <x:v>0.004351300070993602</x:v>
      </x:c>
      <x:c r="O7" s="255" t="str">
        <x:v>True</x:v>
      </x:c>
      <x:c r="P7" s="255" t="str">
        <x:v>23</x:v>
      </x:c>
      <x:c r="Q7" s="255" t="str">
        <x:v>11</x:v>
      </x:c>
      <x:c r="R7" s="255" t="str">
        <x:v>0.0038855000166222453</x:v>
      </x:c>
      <x:c r="S7" s="255" t="str">
        <x:v>True</x:v>
      </x:c>
      <x:c r="T7" s="255" t="str">
        <x:v>True</x:v>
      </x:c>
      <x:c r="U7" s="255" t="str">
        <x:v>1</x:v>
      </x:c>
      <x:c r="V7" s="255" t="str">
        <x:v>-10</x:v>
      </x:c>
      <x:c r="W7" s="255" t="str">
        <x:v>-0.00046580005437135696</x:v>
      </x:c>
      <x:c r="X7" s="255" t="str">
        <x:v>1.1</x:v>
      </x:c>
      <x:c r="Y7" s="255" t="str">
        <x:v>23</x:v>
      </x:c>
      <x:c r="Z7" s="255" t="str">
        <x:v>12</x:v>
      </x:c>
      <x:c r="AA7" s="255" t="str">
        <x:v>entropy</x:v>
      </x:c>
      <x:c r="AB7" s="255" t="str">
        <x:v>collision</x:v>
      </x:c>
      <x:c r="AC7" s="255" t="str">
        <x:v>none</x:v>
      </x:c>
      <x:c r="AD7" s="255" t="str">
        <x:v>35</x:v>
      </x:c>
      <x:c r="AE7" s="255" t="str">
        <x:v>7</x:v>
      </x:c>
      <x:c r="AF7" s="255" t="str">
        <x:v>0.004796899971552193</x:v>
      </x:c>
      <x:c r="AG7" s="255" t="str">
        <x:v>True</x:v>
      </x:c>
      <x:c r="AH7" s="255" t="str">
        <x:v>29</x:v>
      </x:c>
      <x:c r="AI7" s="255" t="str">
        <x:v>7</x:v>
      </x:c>
      <x:c r="AJ7" s="255" t="str">
        <x:v>0.004025700036436319</x:v>
      </x:c>
      <x:c r="AK7" s="255" t="str">
        <x:v>True</x:v>
      </x:c>
      <x:c r="AL7" s="255" t="str">
        <x:v>True</x:v>
      </x:c>
      <x:c r="AM7" s="255" t="str">
        <x:v>0</x:v>
      </x:c>
      <x:c r="AN7" s="255" t="str">
        <x:v>-6</x:v>
      </x:c>
      <x:c r="AO7" s="255" t="str">
        <x:v>-0.0007711999351158738</x:v>
      </x:c>
      <x:c r="AP7" s="255" t="str">
        <x:v>1.0</x:v>
      </x:c>
      <x:c r="AQ7" s="255" t="str">
        <x:v>28</x:v>
      </x:c>
      <x:c r="AR7" s="255" t="str">
        <x:v>22</x:v>
      </x:c>
      <x:c r="AS7" s="255" t="str">
        <x:v>tie</x:v>
      </x:c>
      <x:c r="AT7" s="255" t="str">
        <x:v>collision</x:v>
      </x:c>
      <x:c r="AU7" s="255" t="str">
        <x:v>none</x:v>
      </x:c>
      <x:c r="AV7" s="255" t="str">
        <x:v>31</x:v>
      </x:c>
      <x:c r="AW7" s="255" t="str">
        <x:v>10</x:v>
      </x:c>
      <x:c r="AX7" s="255" t="str">
        <x:v>0.0032191999489441514</x:v>
      </x:c>
      <x:c r="AY7" s="255" t="str">
        <x:v>True</x:v>
      </x:c>
      <x:c r="AZ7" s="255" t="str">
        <x:v>24</x:v>
      </x:c>
      <x:c r="BA7" s="255" t="str">
        <x:v>11</x:v>
      </x:c>
      <x:c r="BB7" s="255" t="str">
        <x:v>0.0030622000340372324</x:v>
      </x:c>
      <x:c r="BC7" s="255" t="str">
        <x:v>True</x:v>
      </x:c>
      <x:c r="BD7" s="255" t="str">
        <x:v>True</x:v>
      </x:c>
      <x:c r="BE7" s="255" t="str">
        <x:v>1</x:v>
      </x:c>
      <x:c r="BF7" s="255" t="str">
        <x:v>-7</x:v>
      </x:c>
      <x:c r="BG7" s="255" t="str">
        <x:v>-0.000156999914906919</x:v>
      </x:c>
      <x:c r="BH7" s="255" t="str">
        <x:v>1.1</x:v>
      </x:c>
      <x:c r="BI7" s="255" t="str">
        <x:v>21</x:v>
      </x:c>
      <x:c r="BJ7" s="255" t="str">
        <x:v>13</x:v>
      </x:c>
      <x:c r="BK7" s="255" t="str">
        <x:v>entropy</x:v>
      </x:c>
      <x:c r="BL7" s="255" t="str">
        <x:v>collision</x:v>
      </x:c>
      <x:c r="BM7" s="255" t="str">
        <x:v>none</x:v>
      </x:c>
      <x:c r="BN7" s="255" t="str">
        <x:v>7</x:v>
      </x:c>
      <x:c r="BO7" s="255" t="str">
        <x:v>7</x:v>
      </x:c>
      <x:c r="BP7" s="255" t="str">
        <x:v>0.019005200010724366</x:v>
      </x:c>
      <x:c r="BQ7" s="255" t="str">
        <x:v>True</x:v>
      </x:c>
      <x:c r="BR7" s="255" t="str">
        <x:v>8</x:v>
      </x:c>
      <x:c r="BS7" s="255" t="str">
        <x:v>8</x:v>
      </x:c>
      <x:c r="BT7" s="255" t="str">
        <x:v>0.02069779997691512</x:v>
      </x:c>
      <x:c r="BU7" s="255" t="str">
        <x:v>True</x:v>
      </x:c>
      <x:c r="BV7" s="255" t="str">
        <x:v>True</x:v>
      </x:c>
      <x:c r="BW7" s="255" t="str">
        <x:v>1</x:v>
      </x:c>
      <x:c r="BX7" s="255" t="str">
        <x:v>1</x:v>
      </x:c>
      <x:c r="BY7" s="255" t="str">
        <x:v>0.0016925999661907554</x:v>
      </x:c>
      <x:c r="BZ7" s="255" t="str">
        <x:v>1.1428571428571428</x:v>
      </x:c>
      <x:c r="CA7" s="255" t="str">
        <x:v>0</x:v>
      </x:c>
      <x:c r="CB7" s="255" t="str">
        <x:v>0</x:v>
      </x:c>
      <x:c r="CC7" s="255" t="str">
        <x:v>entropy</x:v>
      </x:c>
      <x:c r="CD7" s="255" t="str">
        <x:v>entropy</x:v>
      </x:c>
      <x:c r="CE7" s="255" t="str">
        <x:v>none</x:v>
      </x:c>
    </x:row>
    <x:row r="8">
      <x:c r="A8" s="255" t="str">
        <x:v>50</x:v>
      </x:c>
      <x:c r="B8" s="255" t="str">
        <x:v>0.5</x:v>
      </x:c>
      <x:c r="C8" s="255" t="str">
        <x:v>1</x:v>
      </x:c>
      <x:c r="D8" s="255" t="str">
        <x:v>3564035587</x:v>
      </x:c>
      <x:c r="E8" s="255" t="str">
        <x:v>576</x:v>
      </x:c>
      <x:c r="F8" s="255" t="str">
        <x:v>1</x:v>
      </x:c>
      <x:c r="G8" s="255" t="str">
        <x:v>50</x:v>
      </x:c>
      <x:c r="H8" s="255" t="str">
        <x:v>23.04</x:v>
      </x:c>
      <x:c r="I8" s="255" t="str">
        <x:v>0.47020408163265304</x:v>
      </x:c>
      <x:c r="J8" s="255" t="str">
        <x:v>5</x:v>
      </x:c>
      <x:c r="K8" s="255" t="str">
        <x:v>grid_entropy,grid_collision,circle_entropy,circle_collision,zoomed_entropy,zoomed_collision,ich_entropy,ich_collision</x:v>
      </x:c>
      <x:c r="L8" s="255" t="str">
        <x:v>35</x:v>
      </x:c>
      <x:c r="M8" s="255" t="str">
        <x:v>15</x:v>
      </x:c>
      <x:c r="N8" s="255" t="str">
        <x:v>0.016175700002349913</x:v>
      </x:c>
      <x:c r="O8" s="255" t="str">
        <x:v>True</x:v>
      </x:c>
      <x:c r="P8" s="255" t="str">
        <x:v>17</x:v>
      </x:c>
      <x:c r="Q8" s="255" t="str">
        <x:v>15</x:v>
      </x:c>
      <x:c r="R8" s="255" t="str">
        <x:v>0.014653899939730763</x:v>
      </x:c>
      <x:c r="S8" s="255" t="str">
        <x:v>True</x:v>
      </x:c>
      <x:c r="T8" s="255" t="str">
        <x:v>True</x:v>
      </x:c>
      <x:c r="U8" s="255" t="str">
        <x:v>0</x:v>
      </x:c>
      <x:c r="V8" s="255" t="str">
        <x:v>-18</x:v>
      </x:c>
      <x:c r="W8" s="255" t="str">
        <x:v>-0.0015218000626191497</x:v>
      </x:c>
      <x:c r="X8" s="255" t="str">
        <x:v>1.0</x:v>
      </x:c>
      <x:c r="Y8" s="255" t="str">
        <x:v>20</x:v>
      </x:c>
      <x:c r="Z8" s="255" t="str">
        <x:v>2</x:v>
      </x:c>
      <x:c r="AA8" s="255" t="str">
        <x:v>tie</x:v>
      </x:c>
      <x:c r="AB8" s="255" t="str">
        <x:v>collision</x:v>
      </x:c>
      <x:c r="AC8" s="255" t="str">
        <x:v>none</x:v>
      </x:c>
      <x:c r="AD8" s="255" t="str">
        <x:v>39</x:v>
      </x:c>
      <x:c r="AE8" s="255" t="str">
        <x:v>17</x:v>
      </x:c>
      <x:c r="AF8" s="255" t="str">
        <x:v>0.00524189998395741</x:v>
      </x:c>
      <x:c r="AG8" s="255" t="str">
        <x:v>True</x:v>
      </x:c>
      <x:c r="AH8" s="255" t="str">
        <x:v>32</x:v>
      </x:c>
      <x:c r="AI8" s="255" t="str">
        <x:v>16</x:v>
      </x:c>
      <x:c r="AJ8" s="255" t="str">
        <x:v>0.005189799936488271</x:v>
      </x:c>
      <x:c r="AK8" s="255" t="str">
        <x:v>True</x:v>
      </x:c>
      <x:c r="AL8" s="255" t="str">
        <x:v>True</x:v>
      </x:c>
      <x:c r="AM8" s="255" t="str">
        <x:v>-1</x:v>
      </x:c>
      <x:c r="AN8" s="255" t="str">
        <x:v>-7</x:v>
      </x:c>
      <x:c r="AO8" s="255" t="str">
        <x:v>-5.21000474691391e-05</x:v>
      </x:c>
      <x:c r="AP8" s="255" t="str">
        <x:v>0.9411764705882353</x:v>
      </x:c>
      <x:c r="AQ8" s="255" t="str">
        <x:v>22</x:v>
      </x:c>
      <x:c r="AR8" s="255" t="str">
        <x:v>16</x:v>
      </x:c>
      <x:c r="AS8" s="255" t="str">
        <x:v>collision</x:v>
      </x:c>
      <x:c r="AT8" s="255" t="str">
        <x:v>collision</x:v>
      </x:c>
      <x:c r="AU8" s="255" t="str">
        <x:v>none</x:v>
      </x:c>
      <x:c r="AV8" s="255" t="str">
        <x:v>37</x:v>
      </x:c>
      <x:c r="AW8" s="255" t="str">
        <x:v>16</x:v>
      </x:c>
      <x:c r="AX8" s="255" t="str">
        <x:v>0.006327300099655986</x:v>
      </x:c>
      <x:c r="AY8" s="255" t="str">
        <x:v>True</x:v>
      </x:c>
      <x:c r="AZ8" s="255" t="str">
        <x:v>26</x:v>
      </x:c>
      <x:c r="BA8" s="255" t="str">
        <x:v>15</x:v>
      </x:c>
      <x:c r="BB8" s="255" t="str">
        <x:v>0.006566800060681999</x:v>
      </x:c>
      <x:c r="BC8" s="255" t="str">
        <x:v>True</x:v>
      </x:c>
      <x:c r="BD8" s="255" t="str">
        <x:v>True</x:v>
      </x:c>
      <x:c r="BE8" s="255" t="str">
        <x:v>-1</x:v>
      </x:c>
      <x:c r="BF8" s="255" t="str">
        <x:v>-11</x:v>
      </x:c>
      <x:c r="BG8" s="255" t="str">
        <x:v>0.0002394999610260129</x:v>
      </x:c>
      <x:c r="BH8" s="255" t="str">
        <x:v>0.9375</x:v>
      </x:c>
      <x:c r="BI8" s="255" t="str">
        <x:v>21</x:v>
      </x:c>
      <x:c r="BJ8" s="255" t="str">
        <x:v>11</x:v>
      </x:c>
      <x:c r="BK8" s="255" t="str">
        <x:v>collision</x:v>
      </x:c>
      <x:c r="BL8" s="255" t="str">
        <x:v>entropy</x:v>
      </x:c>
      <x:c r="BM8" s="255" t="str">
        <x:v>none</x:v>
      </x:c>
      <x:c r="BN8" s="255" t="str">
        <x:v>16</x:v>
      </x:c>
      <x:c r="BO8" s="255" t="str">
        <x:v>16</x:v>
      </x:c>
      <x:c r="BP8" s="255" t="str">
        <x:v>0.028796899947337806</x:v>
      </x:c>
      <x:c r="BQ8" s="255" t="str">
        <x:v>True</x:v>
      </x:c>
      <x:c r="BR8" s="255" t="str">
        <x:v>16</x:v>
      </x:c>
      <x:c r="BS8" s="255" t="str">
        <x:v>16</x:v>
      </x:c>
      <x:c r="BT8" s="255" t="str">
        <x:v>0.02640240010805428</x:v>
      </x:c>
      <x:c r="BU8" s="255" t="str">
        <x:v>True</x:v>
      </x:c>
      <x:c r="BV8" s="255" t="str">
        <x:v>True</x:v>
      </x:c>
      <x:c r="BW8" s="255" t="str">
        <x:v>0</x:v>
      </x:c>
      <x:c r="BX8" s="255" t="str">
        <x:v>0</x:v>
      </x:c>
      <x:c r="BY8" s="255" t="str">
        <x:v>-0.002394499839283526</x:v>
      </x:c>
      <x:c r="BZ8" s="255" t="str">
        <x:v>1.0</x:v>
      </x:c>
      <x:c r="CA8" s="255" t="str">
        <x:v>0</x:v>
      </x:c>
      <x:c r="CB8" s="255" t="str">
        <x:v>0</x:v>
      </x:c>
      <x:c r="CC8" s="255" t="str">
        <x:v>tie</x:v>
      </x:c>
      <x:c r="CD8" s="255" t="str">
        <x:v>collision</x:v>
      </x:c>
      <x:c r="CE8" s="255" t="str">
        <x:v>none</x:v>
      </x:c>
    </x:row>
    <x:row r="9">
      <x:c r="A9" s="255" t="str">
        <x:v>50</x:v>
      </x:c>
      <x:c r="B9" s="255" t="str">
        <x:v>0.5</x:v>
      </x:c>
      <x:c r="C9" s="255" t="str">
        <x:v>2</x:v>
      </x:c>
      <x:c r="D9" s="255" t="str">
        <x:v>3396175580</x:v>
      </x:c>
      <x:c r="E9" s="255" t="str">
        <x:v>642</x:v>
      </x:c>
      <x:c r="F9" s="255" t="str">
        <x:v>1</x:v>
      </x:c>
      <x:c r="G9" s="255" t="str">
        <x:v>50</x:v>
      </x:c>
      <x:c r="H9" s="255" t="str">
        <x:v>25.68</x:v>
      </x:c>
      <x:c r="I9" s="255" t="str">
        <x:v>0.5240816326530612</x:v>
      </x:c>
      <x:c r="J9" s="255" t="str">
        <x:v>5</x:v>
      </x:c>
      <x:c r="K9" s="255" t="str">
        <x:v>circle_collision,circle_entropy,zoomed_collision,zoomed_entropy,ich_collision,ich_entropy,grid_collision,grid_entropy</x:v>
      </x:c>
      <x:c r="L9" s="255" t="str">
        <x:v>44</x:v>
      </x:c>
      <x:c r="M9" s="255" t="str">
        <x:v>17</x:v>
      </x:c>
      <x:c r="N9" s="255" t="str">
        <x:v>0.01872769999317825</x:v>
      </x:c>
      <x:c r="O9" s="255" t="str">
        <x:v>True</x:v>
      </x:c>
      <x:c r="P9" s="255" t="str">
        <x:v>15</x:v>
      </x:c>
      <x:c r="Q9" s="255" t="str">
        <x:v>15</x:v>
      </x:c>
      <x:c r="R9" s="255" t="str">
        <x:v>0.016957199899479747</x:v>
      </x:c>
      <x:c r="S9" s="255" t="str">
        <x:v>True</x:v>
      </x:c>
      <x:c r="T9" s="255" t="str">
        <x:v>True</x:v>
      </x:c>
      <x:c r="U9" s="255" t="str">
        <x:v>-2</x:v>
      </x:c>
      <x:c r="V9" s="255" t="str">
        <x:v>-29</x:v>
      </x:c>
      <x:c r="W9" s="255" t="str">
        <x:v>-0.0017705000936985016</x:v>
      </x:c>
      <x:c r="X9" s="255" t="str">
        <x:v>0.8823529411764706</x:v>
      </x:c>
      <x:c r="Y9" s="255" t="str">
        <x:v>27</x:v>
      </x:c>
      <x:c r="Z9" s="255" t="str">
        <x:v>0</x:v>
      </x:c>
      <x:c r="AA9" s="255" t="str">
        <x:v>collision</x:v>
      </x:c>
      <x:c r="AB9" s="255" t="str">
        <x:v>collision</x:v>
      </x:c>
      <x:c r="AC9" s="255" t="str">
        <x:v>none</x:v>
      </x:c>
      <x:c r="AD9" s="255" t="str">
        <x:v>40</x:v>
      </x:c>
      <x:c r="AE9" s="255" t="str">
        <x:v>17</x:v>
      </x:c>
      <x:c r="AF9" s="255" t="str">
        <x:v>0.006065000081434846</x:v>
      </x:c>
      <x:c r="AG9" s="255" t="str">
        <x:v>True</x:v>
      </x:c>
      <x:c r="AH9" s="255" t="str">
        <x:v>31</x:v>
      </x:c>
      <x:c r="AI9" s="255" t="str">
        <x:v>20</x:v>
      </x:c>
      <x:c r="AJ9" s="255" t="str">
        <x:v>0.0051423999248072505</x:v>
      </x:c>
      <x:c r="AK9" s="255" t="str">
        <x:v>True</x:v>
      </x:c>
      <x:c r="AL9" s="255" t="str">
        <x:v>True</x:v>
      </x:c>
      <x:c r="AM9" s="255" t="str">
        <x:v>3</x:v>
      </x:c>
      <x:c r="AN9" s="255" t="str">
        <x:v>-9</x:v>
      </x:c>
      <x:c r="AO9" s="255" t="str">
        <x:v>-0.0009226001566275954</x:v>
      </x:c>
      <x:c r="AP9" s="255" t="str">
        <x:v>1.1764705882352942</x:v>
      </x:c>
      <x:c r="AQ9" s="255" t="str">
        <x:v>23</x:v>
      </x:c>
      <x:c r="AR9" s="255" t="str">
        <x:v>11</x:v>
      </x:c>
      <x:c r="AS9" s="255" t="str">
        <x:v>entropy</x:v>
      </x:c>
      <x:c r="AT9" s="255" t="str">
        <x:v>collision</x:v>
      </x:c>
      <x:c r="AU9" s="255" t="str">
        <x:v>none</x:v>
      </x:c>
      <x:c r="AV9" s="255" t="str">
        <x:v>38</x:v>
      </x:c>
      <x:c r="AW9" s="255" t="str">
        <x:v>19</x:v>
      </x:c>
      <x:c r="AX9" s="255" t="str">
        <x:v>0.0070047000190243125</x:v>
      </x:c>
      <x:c r="AY9" s="255" t="str">
        <x:v>True</x:v>
      </x:c>
      <x:c r="AZ9" s="255" t="str">
        <x:v>28</x:v>
      </x:c>
      <x:c r="BA9" s="255" t="str">
        <x:v>17</x:v>
      </x:c>
      <x:c r="BB9" s="255" t="str">
        <x:v>0.006715100025758147</x:v>
      </x:c>
      <x:c r="BC9" s="255" t="str">
        <x:v>True</x:v>
      </x:c>
      <x:c r="BD9" s="255" t="str">
        <x:v>True</x:v>
      </x:c>
      <x:c r="BE9" s="255" t="str">
        <x:v>-2</x:v>
      </x:c>
      <x:c r="BF9" s="255" t="str">
        <x:v>-10</x:v>
      </x:c>
      <x:c r="BG9" s="255" t="str">
        <x:v>-0.00028959999326616526</x:v>
      </x:c>
      <x:c r="BH9" s="255" t="str">
        <x:v>0.8947368421052632</x:v>
      </x:c>
      <x:c r="BI9" s="255" t="str">
        <x:v>19</x:v>
      </x:c>
      <x:c r="BJ9" s="255" t="str">
        <x:v>11</x:v>
      </x:c>
      <x:c r="BK9" s="255" t="str">
        <x:v>collision</x:v>
      </x:c>
      <x:c r="BL9" s="255" t="str">
        <x:v>collision</x:v>
      </x:c>
      <x:c r="BM9" s="255" t="str">
        <x:v>none</x:v>
      </x:c>
      <x:c r="BN9" s="255" t="str">
        <x:v>15</x:v>
      </x:c>
      <x:c r="BO9" s="255" t="str">
        <x:v>15</x:v>
      </x:c>
      <x:c r="BP9" s="255" t="str">
        <x:v>0.02756939991377294</x:v>
      </x:c>
      <x:c r="BQ9" s="255" t="str">
        <x:v>True</x:v>
      </x:c>
      <x:c r="BR9" s="255" t="str">
        <x:v>14</x:v>
      </x:c>
      <x:c r="BS9" s="255" t="str">
        <x:v>14</x:v>
      </x:c>
      <x:c r="BT9" s="255" t="str">
        <x:v>0.022960899979807436</x:v>
      </x:c>
      <x:c r="BU9" s="255" t="str">
        <x:v>True</x:v>
      </x:c>
      <x:c r="BV9" s="255" t="str">
        <x:v>True</x:v>
      </x:c>
      <x:c r="BW9" s="255" t="str">
        <x:v>-1</x:v>
      </x:c>
      <x:c r="BX9" s="255" t="str">
        <x:v>-1</x:v>
      </x:c>
      <x:c r="BY9" s="255" t="str">
        <x:v>-0.004608499933965504</x:v>
      </x:c>
      <x:c r="BZ9" s="255" t="str">
        <x:v>0.9333333333333333</x:v>
      </x:c>
      <x:c r="CA9" s="255" t="str">
        <x:v>0</x:v>
      </x:c>
      <x:c r="CB9" s="255" t="str">
        <x:v>0</x:v>
      </x:c>
      <x:c r="CC9" s="255" t="str">
        <x:v>collision</x:v>
      </x:c>
      <x:c r="CD9" s="255" t="str">
        <x:v>collision</x:v>
      </x:c>
      <x:c r="CE9" s="255" t="str">
        <x:v>none</x:v>
      </x:c>
    </x:row>
    <x:row r="10">
      <x:c r="A10" s="255" t="str">
        <x:v>50</x:v>
      </x:c>
      <x:c r="B10" s="255" t="str">
        <x:v>0.5</x:v>
      </x:c>
      <x:c r="C10" s="255" t="str">
        <x:v>3</x:v>
      </x:c>
      <x:c r="D10" s="255" t="str">
        <x:v>2120122110</x:v>
      </x:c>
      <x:c r="E10" s="255" t="str">
        <x:v>586</x:v>
      </x:c>
      <x:c r="F10" s="255" t="str">
        <x:v>1</x:v>
      </x:c>
      <x:c r="G10" s="255" t="str">
        <x:v>50</x:v>
      </x:c>
      <x:c r="H10" s="255" t="str">
        <x:v>23.44</x:v>
      </x:c>
      <x:c r="I10" s="255" t="str">
        <x:v>0.47836734693877553</x:v>
      </x:c>
      <x:c r="J10" s="255" t="str">
        <x:v>5</x:v>
      </x:c>
      <x:c r="K10" s="255" t="str">
        <x:v>zoomed_entropy,zoomed_collision,ich_entropy,ich_collision,grid_entropy,grid_collision,circle_entropy,circle_collision</x:v>
      </x:c>
      <x:c r="L10" s="255" t="str">
        <x:v>42</x:v>
      </x:c>
      <x:c r="M10" s="255" t="str">
        <x:v>15</x:v>
      </x:c>
      <x:c r="N10" s="255" t="str">
        <x:v>0.015868299989961088</x:v>
      </x:c>
      <x:c r="O10" s="255" t="str">
        <x:v>True</x:v>
      </x:c>
      <x:c r="P10" s="255" t="str">
        <x:v>16</x:v>
      </x:c>
      <x:c r="Q10" s="255" t="str">
        <x:v>16</x:v>
      </x:c>
      <x:c r="R10" s="255" t="str">
        <x:v>0.013201700057834387</x:v>
      </x:c>
      <x:c r="S10" s="255" t="str">
        <x:v>True</x:v>
      </x:c>
      <x:c r="T10" s="255" t="str">
        <x:v>True</x:v>
      </x:c>
      <x:c r="U10" s="255" t="str">
        <x:v>1</x:v>
      </x:c>
      <x:c r="V10" s="255" t="str">
        <x:v>-26</x:v>
      </x:c>
      <x:c r="W10" s="255" t="str">
        <x:v>-0.002666599932126701</x:v>
      </x:c>
      <x:c r="X10" s="255" t="str">
        <x:v>1.0666666666666667</x:v>
      </x:c>
      <x:c r="Y10" s="255" t="str">
        <x:v>27</x:v>
      </x:c>
      <x:c r="Z10" s="255" t="str">
        <x:v>0</x:v>
      </x:c>
      <x:c r="AA10" s="255" t="str">
        <x:v>entropy</x:v>
      </x:c>
      <x:c r="AB10" s="255" t="str">
        <x:v>collision</x:v>
      </x:c>
      <x:c r="AC10" s="255" t="str">
        <x:v>none</x:v>
      </x:c>
      <x:c r="AD10" s="255" t="str">
        <x:v>42</x:v>
      </x:c>
      <x:c r="AE10" s="255" t="str">
        <x:v>17</x:v>
      </x:c>
      <x:c r="AF10" s="255" t="str">
        <x:v>0.005161000066436827</x:v>
      </x:c>
      <x:c r="AG10" s="255" t="str">
        <x:v>True</x:v>
      </x:c>
      <x:c r="AH10" s="255" t="str">
        <x:v>37</x:v>
      </x:c>
      <x:c r="AI10" s="255" t="str">
        <x:v>17</x:v>
      </x:c>
      <x:c r="AJ10" s="255" t="str">
        <x:v>0.004783300100825727</x:v>
      </x:c>
      <x:c r="AK10" s="255" t="str">
        <x:v>True</x:v>
      </x:c>
      <x:c r="AL10" s="255" t="str">
        <x:v>True</x:v>
      </x:c>
      <x:c r="AM10" s="255" t="str">
        <x:v>0</x:v>
      </x:c>
      <x:c r="AN10" s="255" t="str">
        <x:v>-5</x:v>
      </x:c>
      <x:c r="AO10" s="255" t="str">
        <x:v>-0.0003776999656111002</x:v>
      </x:c>
      <x:c r="AP10" s="255" t="str">
        <x:v>1.0</x:v>
      </x:c>
      <x:c r="AQ10" s="255" t="str">
        <x:v>25</x:v>
      </x:c>
      <x:c r="AR10" s="255" t="str">
        <x:v>20</x:v>
      </x:c>
      <x:c r="AS10" s="255" t="str">
        <x:v>tie</x:v>
      </x:c>
      <x:c r="AT10" s="255" t="str">
        <x:v>collision</x:v>
      </x:c>
      <x:c r="AU10" s="255" t="str">
        <x:v>none</x:v>
      </x:c>
      <x:c r="AV10" s="255" t="str">
        <x:v>44</x:v>
      </x:c>
      <x:c r="AW10" s="255" t="str">
        <x:v>15</x:v>
      </x:c>
      <x:c r="AX10" s="255" t="str">
        <x:v>0.006254800013266504</x:v>
      </x:c>
      <x:c r="AY10" s="255" t="str">
        <x:v>True</x:v>
      </x:c>
      <x:c r="AZ10" s="255" t="str">
        <x:v>38</x:v>
      </x:c>
      <x:c r="BA10" s="255" t="str">
        <x:v>15</x:v>
      </x:c>
      <x:c r="BB10" s="255" t="str">
        <x:v>0.006544700008817017</x:v>
      </x:c>
      <x:c r="BC10" s="255" t="str">
        <x:v>True</x:v>
      </x:c>
      <x:c r="BD10" s="255" t="str">
        <x:v>True</x:v>
      </x:c>
      <x:c r="BE10" s="255" t="str">
        <x:v>0</x:v>
      </x:c>
      <x:c r="BF10" s="255" t="str">
        <x:v>-6</x:v>
      </x:c>
      <x:c r="BG10" s="255" t="str">
        <x:v>0.00028989999555051327</x:v>
      </x:c>
      <x:c r="BH10" s="255" t="str">
        <x:v>1.0</x:v>
      </x:c>
      <x:c r="BI10" s="255" t="str">
        <x:v>29</x:v>
      </x:c>
      <x:c r="BJ10" s="255" t="str">
        <x:v>23</x:v>
      </x:c>
      <x:c r="BK10" s="255" t="str">
        <x:v>tie</x:v>
      </x:c>
      <x:c r="BL10" s="255" t="str">
        <x:v>entropy</x:v>
      </x:c>
      <x:c r="BM10" s="255" t="str">
        <x:v>none</x:v>
      </x:c>
      <x:c r="BN10" s="255" t="str">
        <x:v>16</x:v>
      </x:c>
      <x:c r="BO10" s="255" t="str">
        <x:v>16</x:v>
      </x:c>
      <x:c r="BP10" s="255" t="str">
        <x:v>0.029446200001984835</x:v>
      </x:c>
      <x:c r="BQ10" s="255" t="str">
        <x:v>True</x:v>
      </x:c>
      <x:c r="BR10" s="255" t="str">
        <x:v>16</x:v>
      </x:c>
      <x:c r="BS10" s="255" t="str">
        <x:v>16</x:v>
      </x:c>
      <x:c r="BT10" s="255" t="str">
        <x:v>0.02706160000525415</x:v>
      </x:c>
      <x:c r="BU10" s="255" t="str">
        <x:v>True</x:v>
      </x:c>
      <x:c r="BV10" s="255" t="str">
        <x:v>True</x:v>
      </x:c>
      <x:c r="BW10" s="255" t="str">
        <x:v>0</x:v>
      </x:c>
      <x:c r="BX10" s="255" t="str">
        <x:v>0</x:v>
      </x:c>
      <x:c r="BY10" s="255" t="str">
        <x:v>-0.0023845999967306852</x:v>
      </x:c>
      <x:c r="BZ10" s="255" t="str">
        <x:v>1.0</x:v>
      </x:c>
      <x:c r="CA10" s="255" t="str">
        <x:v>0</x:v>
      </x:c>
      <x:c r="CB10" s="255" t="str">
        <x:v>0</x:v>
      </x:c>
      <x:c r="CC10" s="255" t="str">
        <x:v>tie</x:v>
      </x:c>
      <x:c r="CD10" s="255" t="str">
        <x:v>collision</x:v>
      </x:c>
      <x:c r="CE10" s="255" t="str">
        <x:v>none</x:v>
      </x:c>
    </x:row>
    <x:row r="11">
      <x:c r="A11" s="255" t="str">
        <x:v>50</x:v>
      </x:c>
      <x:c r="B11" s="255" t="str">
        <x:v>0.7</x:v>
      </x:c>
      <x:c r="C11" s="255" t="str">
        <x:v>1</x:v>
      </x:c>
      <x:c r="D11" s="255" t="str">
        <x:v>1240493215</x:v>
      </x:c>
      <x:c r="E11" s="255" t="str">
        <x:v>905</x:v>
      </x:c>
      <x:c r="F11" s="255" t="str">
        <x:v>1</x:v>
      </x:c>
      <x:c r="G11" s="255" t="str">
        <x:v>50</x:v>
      </x:c>
      <x:c r="H11" s="255" t="str">
        <x:v>36.2</x:v>
      </x:c>
      <x:c r="I11" s="255" t="str">
        <x:v>0.7387755102040816</x:v>
      </x:c>
      <x:c r="J11" s="255" t="str">
        <x:v>5</x:v>
      </x:c>
      <x:c r="K11" s="255" t="str">
        <x:v>grid_entropy,grid_collision,circle_entropy,circle_collision,zoomed_entropy,zoomed_collision,ich_entropy,ich_collision</x:v>
      </x:c>
      <x:c r="L11" s="255" t="str">
        <x:v>46</x:v>
      </x:c>
      <x:c r="M11" s="255" t="str">
        <x:v>21</x:v>
      </x:c>
      <x:c r="N11" s="255" t="str">
        <x:v>0.01623229996766895</x:v>
      </x:c>
      <x:c r="O11" s="255" t="str">
        <x:v>True</x:v>
      </x:c>
      <x:c r="P11" s="255" t="str">
        <x:v>19</x:v>
      </x:c>
      <x:c r="Q11" s="255" t="str">
        <x:v>18</x:v>
      </x:c>
      <x:c r="R11" s="255" t="str">
        <x:v>0.013825599919073284</x:v>
      </x:c>
      <x:c r="S11" s="255" t="str">
        <x:v>True</x:v>
      </x:c>
      <x:c r="T11" s="255" t="str">
        <x:v>True</x:v>
      </x:c>
      <x:c r="U11" s="255" t="str">
        <x:v>-3</x:v>
      </x:c>
      <x:c r="V11" s="255" t="str">
        <x:v>-27</x:v>
      </x:c>
      <x:c r="W11" s="255" t="str">
        <x:v>-0.002406700048595667</x:v>
      </x:c>
      <x:c r="X11" s="255" t="str">
        <x:v>0.8571428571428571</x:v>
      </x:c>
      <x:c r="Y11" s="255" t="str">
        <x:v>25</x:v>
      </x:c>
      <x:c r="Z11" s="255" t="str">
        <x:v>1</x:v>
      </x:c>
      <x:c r="AA11" s="255" t="str">
        <x:v>collision</x:v>
      </x:c>
      <x:c r="AB11" s="255" t="str">
        <x:v>collision</x:v>
      </x:c>
      <x:c r="AC11" s="255" t="str">
        <x:v>none</x:v>
      </x:c>
      <x:c r="AD11" s="255" t="str">
        <x:v>45</x:v>
      </x:c>
      <x:c r="AE11" s="255" t="str">
        <x:v>22</x:v>
      </x:c>
      <x:c r="AF11" s="255" t="str">
        <x:v>0.009461299981921911</x:v>
      </x:c>
      <x:c r="AG11" s="255" t="str">
        <x:v>True</x:v>
      </x:c>
      <x:c r="AH11" s="255" t="str">
        <x:v>38</x:v>
      </x:c>
      <x:c r="AI11" s="255" t="str">
        <x:v>21</x:v>
      </x:c>
      <x:c r="AJ11" s="255" t="str">
        <x:v>0.009743700036779046</x:v>
      </x:c>
      <x:c r="AK11" s="255" t="str">
        <x:v>True</x:v>
      </x:c>
      <x:c r="AL11" s="255" t="str">
        <x:v>True</x:v>
      </x:c>
      <x:c r="AM11" s="255" t="str">
        <x:v>-1</x:v>
      </x:c>
      <x:c r="AN11" s="255" t="str">
        <x:v>-7</x:v>
      </x:c>
      <x:c r="AO11" s="255" t="str">
        <x:v>0.0002824000548571348</x:v>
      </x:c>
      <x:c r="AP11" s="255" t="str">
        <x:v>0.9545454545454546</x:v>
      </x:c>
      <x:c r="AQ11" s="255" t="str">
        <x:v>23</x:v>
      </x:c>
      <x:c r="AR11" s="255" t="str">
        <x:v>17</x:v>
      </x:c>
      <x:c r="AS11" s="255" t="str">
        <x:v>collision</x:v>
      </x:c>
      <x:c r="AT11" s="255" t="str">
        <x:v>entropy</x:v>
      </x:c>
      <x:c r="AU11" s="255" t="str">
        <x:v>none</x:v>
      </x:c>
      <x:c r="AV11" s="255" t="str">
        <x:v>42</x:v>
      </x:c>
      <x:c r="AW11" s="255" t="str">
        <x:v>22</x:v>
      </x:c>
      <x:c r="AX11" s="255" t="str">
        <x:v>0.008657500031404197</x:v>
      </x:c>
      <x:c r="AY11" s="255" t="str">
        <x:v>True</x:v>
      </x:c>
      <x:c r="AZ11" s="255" t="str">
        <x:v>32</x:v>
      </x:c>
      <x:c r="BA11" s="255" t="str">
        <x:v>19</x:v>
      </x:c>
      <x:c r="BB11" s="255" t="str">
        <x:v>0.009930299944244325</x:v>
      </x:c>
      <x:c r="BC11" s="255" t="str">
        <x:v>True</x:v>
      </x:c>
      <x:c r="BD11" s="255" t="str">
        <x:v>True</x:v>
      </x:c>
      <x:c r="BE11" s="255" t="str">
        <x:v>-3</x:v>
      </x:c>
      <x:c r="BF11" s="255" t="str">
        <x:v>-10</x:v>
      </x:c>
      <x:c r="BG11" s="255" t="str">
        <x:v>0.001272799912840128</x:v>
      </x:c>
      <x:c r="BH11" s="255" t="str">
        <x:v>0.8636363636363636</x:v>
      </x:c>
      <x:c r="BI11" s="255" t="str">
        <x:v>20</x:v>
      </x:c>
      <x:c r="BJ11" s="255" t="str">
        <x:v>13</x:v>
      </x:c>
      <x:c r="BK11" s="255" t="str">
        <x:v>collision</x:v>
      </x:c>
      <x:c r="BL11" s="255" t="str">
        <x:v>entropy</x:v>
      </x:c>
      <x:c r="BM11" s="255" t="str">
        <x:v>none</x:v>
      </x:c>
      <x:c r="BN11" s="255" t="str">
        <x:v>19</x:v>
      </x:c>
      <x:c r="BO11" s="255" t="str">
        <x:v>19</x:v>
      </x:c>
      <x:c r="BP11" s="255" t="str">
        <x:v>0.029234000016003847</x:v>
      </x:c>
      <x:c r="BQ11" s="255" t="str">
        <x:v>True</x:v>
      </x:c>
      <x:c r="BR11" s="255" t="str">
        <x:v>18</x:v>
      </x:c>
      <x:c r="BS11" s="255" t="str">
        <x:v>18</x:v>
      </x:c>
      <x:c r="BT11" s="255" t="str">
        <x:v>0.027853599982336164</x:v>
      </x:c>
      <x:c r="BU11" s="255" t="str">
        <x:v>True</x:v>
      </x:c>
      <x:c r="BV11" s="255" t="str">
        <x:v>True</x:v>
      </x:c>
      <x:c r="BW11" s="255" t="str">
        <x:v>-1</x:v>
      </x:c>
      <x:c r="BX11" s="255" t="str">
        <x:v>-1</x:v>
      </x:c>
      <x:c r="BY11" s="255" t="str">
        <x:v>-0.0013804000336676836</x:v>
      </x:c>
      <x:c r="BZ11" s="255" t="str">
        <x:v>0.9473684210526315</x:v>
      </x:c>
      <x:c r="CA11" s="255" t="str">
        <x:v>0</x:v>
      </x:c>
      <x:c r="CB11" s="255" t="str">
        <x:v>0</x:v>
      </x:c>
      <x:c r="CC11" s="255" t="str">
        <x:v>collision</x:v>
      </x:c>
      <x:c r="CD11" s="255" t="str">
        <x:v>collision</x:v>
      </x:c>
      <x:c r="CE11" s="255" t="str">
        <x:v>none</x:v>
      </x:c>
    </x:row>
    <x:row r="12">
      <x:c r="A12" s="255" t="str">
        <x:v>50</x:v>
      </x:c>
      <x:c r="B12" s="255" t="str">
        <x:v>0.7</x:v>
      </x:c>
      <x:c r="C12" s="255" t="str">
        <x:v>2</x:v>
      </x:c>
      <x:c r="D12" s="255" t="str">
        <x:v>3987472412</x:v>
      </x:c>
      <x:c r="E12" s="255" t="str">
        <x:v>942</x:v>
      </x:c>
      <x:c r="F12" s="255" t="str">
        <x:v>1</x:v>
      </x:c>
      <x:c r="G12" s="255" t="str">
        <x:v>50</x:v>
      </x:c>
      <x:c r="H12" s="255" t="str">
        <x:v>37.68</x:v>
      </x:c>
      <x:c r="I12" s="255" t="str">
        <x:v>0.7689795918367347</x:v>
      </x:c>
      <x:c r="J12" s="255" t="str">
        <x:v>5</x:v>
      </x:c>
      <x:c r="K12" s="255" t="str">
        <x:v>circle_collision,circle_entropy,zoomed_collision,zoomed_entropy,ich_collision,ich_entropy,grid_collision,grid_entropy</x:v>
      </x:c>
      <x:c r="L12" s="255" t="str">
        <x:v>45</x:v>
      </x:c>
      <x:c r="M12" s="255" t="str">
        <x:v>24</x:v>
      </x:c>
      <x:c r="N12" s="255" t="str">
        <x:v>0.016049399971961975</x:v>
      </x:c>
      <x:c r="O12" s="255" t="str">
        <x:v>True</x:v>
      </x:c>
      <x:c r="P12" s="255" t="str">
        <x:v>22</x:v>
      </x:c>
      <x:c r="Q12" s="255" t="str">
        <x:v>22</x:v>
      </x:c>
      <x:c r="R12" s="255" t="str">
        <x:v>0.015643600025214255</x:v>
      </x:c>
      <x:c r="S12" s="255" t="str">
        <x:v>True</x:v>
      </x:c>
      <x:c r="T12" s="255" t="str">
        <x:v>True</x:v>
      </x:c>
      <x:c r="U12" s="255" t="str">
        <x:v>-2</x:v>
      </x:c>
      <x:c r="V12" s="255" t="str">
        <x:v>-23</x:v>
      </x:c>
      <x:c r="W12" s="255" t="str">
        <x:v>-0.00040579994674772024</x:v>
      </x:c>
      <x:c r="X12" s="255" t="str">
        <x:v>0.9166666666666666</x:v>
      </x:c>
      <x:c r="Y12" s="255" t="str">
        <x:v>21</x:v>
      </x:c>
      <x:c r="Z12" s="255" t="str">
        <x:v>0</x:v>
      </x:c>
      <x:c r="AA12" s="255" t="str">
        <x:v>collision</x:v>
      </x:c>
      <x:c r="AB12" s="255" t="str">
        <x:v>collision</x:v>
      </x:c>
      <x:c r="AC12" s="255" t="str">
        <x:v>none</x:v>
      </x:c>
      <x:c r="AD12" s="255" t="str">
        <x:v>44</x:v>
      </x:c>
      <x:c r="AE12" s="255" t="str">
        <x:v>25</x:v>
      </x:c>
      <x:c r="AF12" s="255" t="str">
        <x:v>0.0070189000107347965</x:v>
      </x:c>
      <x:c r="AG12" s="255" t="str">
        <x:v>True</x:v>
      </x:c>
      <x:c r="AH12" s="255" t="str">
        <x:v>39</x:v>
      </x:c>
      <x:c r="AI12" s="255" t="str">
        <x:v>23</x:v>
      </x:c>
      <x:c r="AJ12" s="255" t="str">
        <x:v>0.0068026999942958355</x:v>
      </x:c>
      <x:c r="AK12" s="255" t="str">
        <x:v>True</x:v>
      </x:c>
      <x:c r="AL12" s="255" t="str">
        <x:v>True</x:v>
      </x:c>
      <x:c r="AM12" s="255" t="str">
        <x:v>-2</x:v>
      </x:c>
      <x:c r="AN12" s="255" t="str">
        <x:v>-5</x:v>
      </x:c>
      <x:c r="AO12" s="255" t="str">
        <x:v>-0.00021620001643896103</x:v>
      </x:c>
      <x:c r="AP12" s="255" t="str">
        <x:v>0.92</x:v>
      </x:c>
      <x:c r="AQ12" s="255" t="str">
        <x:v>19</x:v>
      </x:c>
      <x:c r="AR12" s="255" t="str">
        <x:v>16</x:v>
      </x:c>
      <x:c r="AS12" s="255" t="str">
        <x:v>collision</x:v>
      </x:c>
      <x:c r="AT12" s="255" t="str">
        <x:v>collision</x:v>
      </x:c>
      <x:c r="AU12" s="255" t="str">
        <x:v>none</x:v>
      </x:c>
      <x:c r="AV12" s="255" t="str">
        <x:v>47</x:v>
      </x:c>
      <x:c r="AW12" s="255" t="str">
        <x:v>25</x:v>
      </x:c>
      <x:c r="AX12" s="255" t="str">
        <x:v>0.009287200053222477</x:v>
      </x:c>
      <x:c r="AY12" s="255" t="str">
        <x:v>True</x:v>
      </x:c>
      <x:c r="AZ12" s="255" t="str">
        <x:v>41</x:v>
      </x:c>
      <x:c r="BA12" s="255" t="str">
        <x:v>23</x:v>
      </x:c>
      <x:c r="BB12" s="255" t="str">
        <x:v>0.009630599990487099</x:v>
      </x:c>
      <x:c r="BC12" s="255" t="str">
        <x:v>True</x:v>
      </x:c>
      <x:c r="BD12" s="255" t="str">
        <x:v>True</x:v>
      </x:c>
      <x:c r="BE12" s="255" t="str">
        <x:v>-2</x:v>
      </x:c>
      <x:c r="BF12" s="255" t="str">
        <x:v>-6</x:v>
      </x:c>
      <x:c r="BG12" s="255" t="str">
        <x:v>0.00034339993726462126</x:v>
      </x:c>
      <x:c r="BH12" s="255" t="str">
        <x:v>0.92</x:v>
      </x:c>
      <x:c r="BI12" s="255" t="str">
        <x:v>22</x:v>
      </x:c>
      <x:c r="BJ12" s="255" t="str">
        <x:v>18</x:v>
      </x:c>
      <x:c r="BK12" s="255" t="str">
        <x:v>collision</x:v>
      </x:c>
      <x:c r="BL12" s="255" t="str">
        <x:v>entropy</x:v>
      </x:c>
      <x:c r="BM12" s="255" t="str">
        <x:v>none</x:v>
      </x:c>
      <x:c r="BN12" s="255" t="str">
        <x:v>23</x:v>
      </x:c>
      <x:c r="BO12" s="255" t="str">
        <x:v>23</x:v>
      </x:c>
      <x:c r="BP12" s="255" t="str">
        <x:v>0.031990300049073994</x:v>
      </x:c>
      <x:c r="BQ12" s="255" t="str">
        <x:v>True</x:v>
      </x:c>
      <x:c r="BR12" s="255" t="str">
        <x:v>22</x:v>
      </x:c>
      <x:c r="BS12" s="255" t="str">
        <x:v>22</x:v>
      </x:c>
      <x:c r="BT12" s="255" t="str">
        <x:v>0.03353030001744628</x:v>
      </x:c>
      <x:c r="BU12" s="255" t="str">
        <x:v>True</x:v>
      </x:c>
      <x:c r="BV12" s="255" t="str">
        <x:v>True</x:v>
      </x:c>
      <x:c r="BW12" s="255" t="str">
        <x:v>-1</x:v>
      </x:c>
      <x:c r="BX12" s="255" t="str">
        <x:v>-1</x:v>
      </x:c>
      <x:c r="BY12" s="255" t="str">
        <x:v>0.0015399999683722854</x:v>
      </x:c>
      <x:c r="BZ12" s="255" t="str">
        <x:v>0.9565217391304348</x:v>
      </x:c>
      <x:c r="CA12" s="255" t="str">
        <x:v>0</x:v>
      </x:c>
      <x:c r="CB12" s="255" t="str">
        <x:v>0</x:v>
      </x:c>
      <x:c r="CC12" s="255" t="str">
        <x:v>collision</x:v>
      </x:c>
      <x:c r="CD12" s="255" t="str">
        <x:v>entropy</x:v>
      </x:c>
      <x:c r="CE12" s="255" t="str">
        <x:v>none</x:v>
      </x:c>
    </x:row>
    <x:row r="13">
      <x:c r="A13" s="255" t="str">
        <x:v>50</x:v>
      </x:c>
      <x:c r="B13" s="255" t="str">
        <x:v>0.7</x:v>
      </x:c>
      <x:c r="C13" s="255" t="str">
        <x:v>3</x:v>
      </x:c>
      <x:c r="D13" s="255" t="str">
        <x:v>1043458498</x:v>
      </x:c>
      <x:c r="E13" s="255" t="str">
        <x:v>877</x:v>
      </x:c>
      <x:c r="F13" s="255" t="str">
        <x:v>1</x:v>
      </x:c>
      <x:c r="G13" s="255" t="str">
        <x:v>50</x:v>
      </x:c>
      <x:c r="H13" s="255" t="str">
        <x:v>35.08</x:v>
      </x:c>
      <x:c r="I13" s="255" t="str">
        <x:v>0.7159183673469388</x:v>
      </x:c>
      <x:c r="J13" s="255" t="str">
        <x:v>5</x:v>
      </x:c>
      <x:c r="K13" s="255" t="str">
        <x:v>zoomed_entropy,zoomed_collision,ich_entropy,ich_collision,grid_entropy,grid_collision,circle_entropy,circle_collision</x:v>
      </x:c>
      <x:c r="L13" s="255" t="str">
        <x:v>46</x:v>
      </x:c>
      <x:c r="M13" s="255" t="str">
        <x:v>21</x:v>
      </x:c>
      <x:c r="N13" s="255" t="str">
        <x:v>0.016057999921031296</x:v>
      </x:c>
      <x:c r="O13" s="255" t="str">
        <x:v>True</x:v>
      </x:c>
      <x:c r="P13" s="255" t="str">
        <x:v>20</x:v>
      </x:c>
      <x:c r="Q13" s="255" t="str">
        <x:v>20</x:v>
      </x:c>
      <x:c r="R13" s="255" t="str">
        <x:v>0.014496199903078377</x:v>
      </x:c>
      <x:c r="S13" s="255" t="str">
        <x:v>True</x:v>
      </x:c>
      <x:c r="T13" s="255" t="str">
        <x:v>True</x:v>
      </x:c>
      <x:c r="U13" s="255" t="str">
        <x:v>-1</x:v>
      </x:c>
      <x:c r="V13" s="255" t="str">
        <x:v>-26</x:v>
      </x:c>
      <x:c r="W13" s="255" t="str">
        <x:v>-0.001561800017952919</x:v>
      </x:c>
      <x:c r="X13" s="255" t="str">
        <x:v>0.9523809523809523</x:v>
      </x:c>
      <x:c r="Y13" s="255" t="str">
        <x:v>25</x:v>
      </x:c>
      <x:c r="Z13" s="255" t="str">
        <x:v>0</x:v>
      </x:c>
      <x:c r="AA13" s="255" t="str">
        <x:v>collision</x:v>
      </x:c>
      <x:c r="AB13" s="255" t="str">
        <x:v>collision</x:v>
      </x:c>
      <x:c r="AC13" s="255" t="str">
        <x:v>none</x:v>
      </x:c>
      <x:c r="AD13" s="255" t="str">
        <x:v>38</x:v>
      </x:c>
      <x:c r="AE13" s="255" t="str">
        <x:v>22</x:v>
      </x:c>
      <x:c r="AF13" s="255" t="str">
        <x:v>0.008242600015364587</x:v>
      </x:c>
      <x:c r="AG13" s="255" t="str">
        <x:v>True</x:v>
      </x:c>
      <x:c r="AH13" s="255" t="str">
        <x:v>32</x:v>
      </x:c>
      <x:c r="AI13" s="255" t="str">
        <x:v>22</x:v>
      </x:c>
      <x:c r="AJ13" s="255" t="str">
        <x:v>0.007372800027951598</x:v>
      </x:c>
      <x:c r="AK13" s="255" t="str">
        <x:v>True</x:v>
      </x:c>
      <x:c r="AL13" s="255" t="str">
        <x:v>True</x:v>
      </x:c>
      <x:c r="AM13" s="255" t="str">
        <x:v>0</x:v>
      </x:c>
      <x:c r="AN13" s="255" t="str">
        <x:v>-6</x:v>
      </x:c>
      <x:c r="AO13" s="255" t="str">
        <x:v>-0.0008697999874129891</x:v>
      </x:c>
      <x:c r="AP13" s="255" t="str">
        <x:v>1.0</x:v>
      </x:c>
      <x:c r="AQ13" s="255" t="str">
        <x:v>16</x:v>
      </x:c>
      <x:c r="AR13" s="255" t="str">
        <x:v>10</x:v>
      </x:c>
      <x:c r="AS13" s="255" t="str">
        <x:v>tie</x:v>
      </x:c>
      <x:c r="AT13" s="255" t="str">
        <x:v>collision</x:v>
      </x:c>
      <x:c r="AU13" s="255" t="str">
        <x:v>none</x:v>
      </x:c>
      <x:c r="AV13" s="255" t="str">
        <x:v>39</x:v>
      </x:c>
      <x:c r="AW13" s="255" t="str">
        <x:v>23</x:v>
      </x:c>
      <x:c r="AX13" s="255" t="str">
        <x:v>0.006280299974605441</x:v>
      </x:c>
      <x:c r="AY13" s="255" t="str">
        <x:v>True</x:v>
      </x:c>
      <x:c r="AZ13" s="255" t="str">
        <x:v>39</x:v>
      </x:c>
      <x:c r="BA13" s="255" t="str">
        <x:v>23</x:v>
      </x:c>
      <x:c r="BB13" s="255" t="str">
        <x:v>0.0073087000055238605</x:v>
      </x:c>
      <x:c r="BC13" s="255" t="str">
        <x:v>True</x:v>
      </x:c>
      <x:c r="BD13" s="255" t="str">
        <x:v>True</x:v>
      </x:c>
      <x:c r="BE13" s="255" t="str">
        <x:v>0</x:v>
      </x:c>
      <x:c r="BF13" s="255" t="str">
        <x:v>0</x:v>
      </x:c>
      <x:c r="BG13" s="255" t="str">
        <x:v>0.0010284000309184194</x:v>
      </x:c>
      <x:c r="BH13" s="255" t="str">
        <x:v>1.0</x:v>
      </x:c>
      <x:c r="BI13" s="255" t="str">
        <x:v>16</x:v>
      </x:c>
      <x:c r="BJ13" s="255" t="str">
        <x:v>16</x:v>
      </x:c>
      <x:c r="BK13" s="255" t="str">
        <x:v>tie</x:v>
      </x:c>
      <x:c r="BL13" s="255" t="str">
        <x:v>entropy</x:v>
      </x:c>
      <x:c r="BM13" s="255" t="str">
        <x:v>none</x:v>
      </x:c>
      <x:c r="BN13" s="255" t="str">
        <x:v>19</x:v>
      </x:c>
      <x:c r="BO13" s="255" t="str">
        <x:v>19</x:v>
      </x:c>
      <x:c r="BP13" s="255" t="str">
        <x:v>0.02984259999357164</x:v>
      </x:c>
      <x:c r="BQ13" s="255" t="str">
        <x:v>True</x:v>
      </x:c>
      <x:c r="BR13" s="255" t="str">
        <x:v>19</x:v>
      </x:c>
      <x:c r="BS13" s="255" t="str">
        <x:v>19</x:v>
      </x:c>
      <x:c r="BT13" s="255" t="str">
        <x:v>0.02939169993624091</x:v>
      </x:c>
      <x:c r="BU13" s="255" t="str">
        <x:v>True</x:v>
      </x:c>
      <x:c r="BV13" s="255" t="str">
        <x:v>True</x:v>
      </x:c>
      <x:c r="BW13" s="255" t="str">
        <x:v>0</x:v>
      </x:c>
      <x:c r="BX13" s="255" t="str">
        <x:v>0</x:v>
      </x:c>
      <x:c r="BY13" s="255" t="str">
        <x:v>-0.0004509000573307276</x:v>
      </x:c>
      <x:c r="BZ13" s="255" t="str">
        <x:v>1.0</x:v>
      </x:c>
      <x:c r="CA13" s="255" t="str">
        <x:v>0</x:v>
      </x:c>
      <x:c r="CB13" s="255" t="str">
        <x:v>0</x:v>
      </x:c>
      <x:c r="CC13" s="255" t="str">
        <x:v>tie</x:v>
      </x:c>
      <x:c r="CD13" s="255" t="str">
        <x:v>collision</x:v>
      </x:c>
      <x:c r="CE13" s="255" t="str">
        <x:v>none</x:v>
      </x:c>
    </x:row>
    <x:row r="14">
      <x:c r="A14" s="255" t="str">
        <x:v>100</x:v>
      </x:c>
      <x:c r="B14" s="255" t="str">
        <x:v>0.1</x:v>
      </x:c>
      <x:c r="C14" s="255" t="str">
        <x:v>1</x:v>
      </x:c>
      <x:c r="D14" s="255" t="str">
        <x:v>1235212459</x:v>
      </x:c>
      <x:c r="E14" s="255" t="str">
        <x:v>141</x:v>
      </x:c>
      <x:c r="F14" s="255" t="str">
        <x:v>20</x:v>
      </x:c>
      <x:c r="G14" s="255" t="str">
        <x:v>58</x:v>
      </x:c>
      <x:c r="H14" s="255" t="str">
        <x:v>2.82</x:v>
      </x:c>
      <x:c r="I14" s="255" t="str">
        <x:v>0.028484848484848484</x:v>
      </x:c>
      <x:c r="J14" s="255" t="str">
        <x:v>5</x:v>
      </x:c>
      <x:c r="K14" s="255" t="str">
        <x:v>grid_entropy,grid_collision,circle_entropy,circle_collision,zoomed_entropy,zoomed_collision,ich_entropy,ich_collision</x:v>
      </x:c>
      <x:c r="L14" s="255" t="str">
        <x:v>47</x:v>
      </x:c>
      <x:c r="M14" s="255" t="str">
        <x:v>47</x:v>
      </x:c>
      <x:c r="N14" s="255" t="str">
        <x:v>0.005995100014843047</x:v>
      </x:c>
      <x:c r="O14" s="255" t="str">
        <x:v>False</x:v>
      </x:c>
      <x:c r="P14" s="255" t="str">
        <x:v>41</x:v>
      </x:c>
      <x:c r="Q14" s="255" t="str">
        <x:v>41</x:v>
      </x:c>
      <x:c r="R14" s="255" t="str">
        <x:v>0.005636199959553778</x:v>
      </x:c>
      <x:c r="S14" s="255" t="str">
        <x:v>False</x:v>
      </x:c>
      <x:c r="T14" s="255" t="str">
        <x:v>False</x:v>
      </x:c>
      <x:c r="U14" s="255" t="str">
        <x:v>-6</x:v>
      </x:c>
      <x:c r="V14" s="255" t="str">
        <x:v>-6</x:v>
      </x:c>
      <x:c r="W14" s="255" t="str">
        <x:v>-0.0003589000552892685</x:v>
      </x:c>
      <x:c r="X14" s="255" t="str">
        <x:v>0.8723404255319149</x:v>
      </x:c>
      <x:c r="Y14" s="255" t="str">
        <x:v>0</x:v>
      </x:c>
      <x:c r="Z14" s="255" t="str">
        <x:v>0</x:v>
      </x:c>
      <x:c r="AA14" s="255" t="str">
        <x:v>neither</x:v>
      </x:c>
      <x:c r="AB14" s="255" t="str">
        <x:v>collision</x:v>
      </x:c>
      <x:c r="AC14" s="255" t="str">
        <x:v>none</x:v>
      </x:c>
      <x:c r="AD14" s="255" t="str">
        <x:v>65</x:v>
      </x:c>
      <x:c r="AE14" s="255" t="str">
        <x:v>38</x:v>
      </x:c>
      <x:c r="AF14" s="255" t="str">
        <x:v>0.018258600030094385</x:v>
      </x:c>
      <x:c r="AG14" s="255" t="str">
        <x:v>True</x:v>
      </x:c>
      <x:c r="AH14" s="255" t="str">
        <x:v>58</x:v>
      </x:c>
      <x:c r="AI14" s="255" t="str">
        <x:v>38</x:v>
      </x:c>
      <x:c r="AJ14" s="255" t="str">
        <x:v>0.012084099929779768</x:v>
      </x:c>
      <x:c r="AK14" s="255" t="str">
        <x:v>True</x:v>
      </x:c>
      <x:c r="AL14" s="255" t="str">
        <x:v>True</x:v>
      </x:c>
      <x:c r="AM14" s="255" t="str">
        <x:v>0</x:v>
      </x:c>
      <x:c r="AN14" s="255" t="str">
        <x:v>-7</x:v>
      </x:c>
      <x:c r="AO14" s="255" t="str">
        <x:v>-0.006174500100314617</x:v>
      </x:c>
      <x:c r="AP14" s="255" t="str">
        <x:v>1.0</x:v>
      </x:c>
      <x:c r="AQ14" s="255" t="str">
        <x:v>27</x:v>
      </x:c>
      <x:c r="AR14" s="255" t="str">
        <x:v>20</x:v>
      </x:c>
      <x:c r="AS14" s="255" t="str">
        <x:v>tie</x:v>
      </x:c>
      <x:c r="AT14" s="255" t="str">
        <x:v>collision</x:v>
      </x:c>
      <x:c r="AU14" s="255" t="str">
        <x:v>none</x:v>
      </x:c>
      <x:c r="AV14" s="255" t="str">
        <x:v>65</x:v>
      </x:c>
      <x:c r="AW14" s="255" t="str">
        <x:v>38</x:v>
      </x:c>
      <x:c r="AX14" s="255" t="str">
        <x:v>0.01635100005660206</x:v>
      </x:c>
      <x:c r="AY14" s="255" t="str">
        <x:v>True</x:v>
      </x:c>
      <x:c r="AZ14" s="255" t="str">
        <x:v>60</x:v>
      </x:c>
      <x:c r="BA14" s="255" t="str">
        <x:v>38</x:v>
      </x:c>
      <x:c r="BB14" s="255" t="str">
        <x:v>0.01647090003825724</x:v>
      </x:c>
      <x:c r="BC14" s="255" t="str">
        <x:v>True</x:v>
      </x:c>
      <x:c r="BD14" s="255" t="str">
        <x:v>True</x:v>
      </x:c>
      <x:c r="BE14" s="255" t="str">
        <x:v>0</x:v>
      </x:c>
      <x:c r="BF14" s="255" t="str">
        <x:v>-5</x:v>
      </x:c>
      <x:c r="BG14" s="255" t="str">
        <x:v>0.00011989998165518045</x:v>
      </x:c>
      <x:c r="BH14" s="255" t="str">
        <x:v>1.0</x:v>
      </x:c>
      <x:c r="BI14" s="255" t="str">
        <x:v>27</x:v>
      </x:c>
      <x:c r="BJ14" s="255" t="str">
        <x:v>22</x:v>
      </x:c>
      <x:c r="BK14" s="255" t="str">
        <x:v>tie</x:v>
      </x:c>
      <x:c r="BL14" s="255" t="str">
        <x:v>entropy</x:v>
      </x:c>
      <x:c r="BM14" s="255" t="str">
        <x:v>none</x:v>
      </x:c>
      <x:c r="BN14" s="255" t="str">
        <x:v>38</x:v>
      </x:c>
      <x:c r="BO14" s="255" t="str">
        <x:v>38</x:v>
      </x:c>
      <x:c r="BP14" s="255" t="str">
        <x:v>0.21408069995231926</x:v>
      </x:c>
      <x:c r="BQ14" s="255" t="str">
        <x:v>True</x:v>
      </x:c>
      <x:c r="BR14" s="255" t="str">
        <x:v>38</x:v>
      </x:c>
      <x:c r="BS14" s="255" t="str">
        <x:v>38</x:v>
      </x:c>
      <x:c r="BT14" s="255" t="str">
        <x:v>0.1997402000706643</x:v>
      </x:c>
      <x:c r="BU14" s="255" t="str">
        <x:v>True</x:v>
      </x:c>
      <x:c r="BV14" s="255" t="str">
        <x:v>True</x:v>
      </x:c>
      <x:c r="BW14" s="255" t="str">
        <x:v>0</x:v>
      </x:c>
      <x:c r="BX14" s="255" t="str">
        <x:v>0</x:v>
      </x:c>
      <x:c r="BY14" s="255" t="str">
        <x:v>-0.014340499881654978</x:v>
      </x:c>
      <x:c r="BZ14" s="255" t="str">
        <x:v>1.0</x:v>
      </x:c>
      <x:c r="CA14" s="255" t="str">
        <x:v>0</x:v>
      </x:c>
      <x:c r="CB14" s="255" t="str">
        <x:v>0</x:v>
      </x:c>
      <x:c r="CC14" s="255" t="str">
        <x:v>tie</x:v>
      </x:c>
      <x:c r="CD14" s="255" t="str">
        <x:v>collision</x:v>
      </x:c>
      <x:c r="CE14" s="255" t="str">
        <x:v>none</x:v>
      </x:c>
    </x:row>
    <x:row r="15">
      <x:c r="A15" s="255" t="str">
        <x:v>100</x:v>
      </x:c>
      <x:c r="B15" s="255" t="str">
        <x:v>0.1</x:v>
      </x:c>
      <x:c r="C15" s="255" t="str">
        <x:v>2</x:v>
      </x:c>
      <x:c r="D15" s="255" t="str">
        <x:v>2254199506</x:v>
      </x:c>
      <x:c r="E15" s="255" t="str">
        <x:v>132</x:v>
      </x:c>
      <x:c r="F15" s="255" t="str">
        <x:v>22</x:v>
      </x:c>
      <x:c r="G15" s="255" t="str">
        <x:v>20</x:v>
      </x:c>
      <x:c r="H15" s="255" t="str">
        <x:v>2.64</x:v>
      </x:c>
      <x:c r="I15" s="255" t="str">
        <x:v>0.02666666666666667</x:v>
      </x:c>
      <x:c r="J15" s="255" t="str">
        <x:v>5</x:v>
      </x:c>
      <x:c r="K15" s="255" t="str">
        <x:v>circle_collision,circle_entropy,zoomed_collision,zoomed_entropy,ich_collision,ich_entropy,grid_collision,grid_entropy</x:v>
      </x:c>
      <x:c r="L15" s="255" t="str">
        <x:v>53</x:v>
      </x:c>
      <x:c r="M15" s="255" t="str">
        <x:v>53</x:v>
      </x:c>
      <x:c r="N15" s="255" t="str">
        <x:v>0.005400100024417043</x:v>
      </x:c>
      <x:c r="O15" s="255" t="str">
        <x:v>False</x:v>
      </x:c>
      <x:c r="P15" s="255" t="str">
        <x:v>45</x:v>
      </x:c>
      <x:c r="Q15" s="255" t="str">
        <x:v>45</x:v>
      </x:c>
      <x:c r="R15" s="255" t="str">
        <x:v>0.00467289995867759</x:v>
      </x:c>
      <x:c r="S15" s="255" t="str">
        <x:v>False</x:v>
      </x:c>
      <x:c r="T15" s="255" t="str">
        <x:v>False</x:v>
      </x:c>
      <x:c r="U15" s="255" t="str">
        <x:v>-8</x:v>
      </x:c>
      <x:c r="V15" s="255" t="str">
        <x:v>-8</x:v>
      </x:c>
      <x:c r="W15" s="255" t="str">
        <x:v>-0.0007272000657394528</x:v>
      </x:c>
      <x:c r="X15" s="255" t="str">
        <x:v>0.8490566037735849</x:v>
      </x:c>
      <x:c r="Y15" s="255" t="str">
        <x:v>0</x:v>
      </x:c>
      <x:c r="Z15" s="255" t="str">
        <x:v>0</x:v>
      </x:c>
      <x:c r="AA15" s="255" t="str">
        <x:v>neither</x:v>
      </x:c>
      <x:c r="AB15" s="255" t="str">
        <x:v>collision</x:v>
      </x:c>
      <x:c r="AC15" s="255" t="str">
        <x:v>none</x:v>
      </x:c>
      <x:c r="AD15" s="255" t="str">
        <x:v>65</x:v>
      </x:c>
      <x:c r="AE15" s="255" t="str">
        <x:v>38</x:v>
      </x:c>
      <x:c r="AF15" s="255" t="str">
        <x:v>0.019517399952746928</x:v>
      </x:c>
      <x:c r="AG15" s="255" t="str">
        <x:v>True</x:v>
      </x:c>
      <x:c r="AH15" s="255" t="str">
        <x:v>59</x:v>
      </x:c>
      <x:c r="AI15" s="255" t="str">
        <x:v>38</x:v>
      </x:c>
      <x:c r="AJ15" s="255" t="str">
        <x:v>0.0171745999250561</x:v>
      </x:c>
      <x:c r="AK15" s="255" t="str">
        <x:v>True</x:v>
      </x:c>
      <x:c r="AL15" s="255" t="str">
        <x:v>True</x:v>
      </x:c>
      <x:c r="AM15" s="255" t="str">
        <x:v>0</x:v>
      </x:c>
      <x:c r="AN15" s="255" t="str">
        <x:v>-6</x:v>
      </x:c>
      <x:c r="AO15" s="255" t="str">
        <x:v>-0.002342800027690828</x:v>
      </x:c>
      <x:c r="AP15" s="255" t="str">
        <x:v>1.0</x:v>
      </x:c>
      <x:c r="AQ15" s="255" t="str">
        <x:v>27</x:v>
      </x:c>
      <x:c r="AR15" s="255" t="str">
        <x:v>21</x:v>
      </x:c>
      <x:c r="AS15" s="255" t="str">
        <x:v>tie</x:v>
      </x:c>
      <x:c r="AT15" s="255" t="str">
        <x:v>collision</x:v>
      </x:c>
      <x:c r="AU15" s="255" t="str">
        <x:v>none</x:v>
      </x:c>
      <x:c r="AV15" s="255" t="str">
        <x:v>61</x:v>
      </x:c>
      <x:c r="AW15" s="255" t="str">
        <x:v>39</x:v>
      </x:c>
      <x:c r="AX15" s="255" t="str">
        <x:v>0.01533910003490746</x:v>
      </x:c>
      <x:c r="AY15" s="255" t="str">
        <x:v>True</x:v>
      </x:c>
      <x:c r="AZ15" s="255" t="str">
        <x:v>57</x:v>
      </x:c>
      <x:c r="BA15" s="255" t="str">
        <x:v>39</x:v>
      </x:c>
      <x:c r="BB15" s="255" t="str">
        <x:v>0.012991400086320937</x:v>
      </x:c>
      <x:c r="BC15" s="255" t="str">
        <x:v>True</x:v>
      </x:c>
      <x:c r="BD15" s="255" t="str">
        <x:v>True</x:v>
      </x:c>
      <x:c r="BE15" s="255" t="str">
        <x:v>0</x:v>
      </x:c>
      <x:c r="BF15" s="255" t="str">
        <x:v>-4</x:v>
      </x:c>
      <x:c r="BG15" s="255" t="str">
        <x:v>-0.0023476999485865235</x:v>
      </x:c>
      <x:c r="BH15" s="255" t="str">
        <x:v>1.0</x:v>
      </x:c>
      <x:c r="BI15" s="255" t="str">
        <x:v>22</x:v>
      </x:c>
      <x:c r="BJ15" s="255" t="str">
        <x:v>18</x:v>
      </x:c>
      <x:c r="BK15" s="255" t="str">
        <x:v>tie</x:v>
      </x:c>
      <x:c r="BL15" s="255" t="str">
        <x:v>collision</x:v>
      </x:c>
      <x:c r="BM15" s="255" t="str">
        <x:v>none</x:v>
      </x:c>
      <x:c r="BN15" s="255" t="str">
        <x:v>39</x:v>
      </x:c>
      <x:c r="BO15" s="255" t="str">
        <x:v>39</x:v>
      </x:c>
      <x:c r="BP15" s="255" t="str">
        <x:v>0.2262079999782145</x:v>
      </x:c>
      <x:c r="BQ15" s="255" t="str">
        <x:v>True</x:v>
      </x:c>
      <x:c r="BR15" s="255" t="str">
        <x:v>39</x:v>
      </x:c>
      <x:c r="BS15" s="255" t="str">
        <x:v>39</x:v>
      </x:c>
      <x:c r="BT15" s="255" t="str">
        <x:v>0.19361439999192953</x:v>
      </x:c>
      <x:c r="BU15" s="255" t="str">
        <x:v>True</x:v>
      </x:c>
      <x:c r="BV15" s="255" t="str">
        <x:v>True</x:v>
      </x:c>
      <x:c r="BW15" s="255" t="str">
        <x:v>0</x:v>
      </x:c>
      <x:c r="BX15" s="255" t="str">
        <x:v>0</x:v>
      </x:c>
      <x:c r="BY15" s="255" t="str">
        <x:v>-0.03259359998628497</x:v>
      </x:c>
      <x:c r="BZ15" s="255" t="str">
        <x:v>1.0</x:v>
      </x:c>
      <x:c r="CA15" s="255" t="str">
        <x:v>0</x:v>
      </x:c>
      <x:c r="CB15" s="255" t="str">
        <x:v>0</x:v>
      </x:c>
      <x:c r="CC15" s="255" t="str">
        <x:v>tie</x:v>
      </x:c>
      <x:c r="CD15" s="255" t="str">
        <x:v>collision</x:v>
      </x:c>
      <x:c r="CE15" s="255" t="str">
        <x:v>none</x:v>
      </x:c>
    </x:row>
    <x:row r="16">
      <x:c r="A16" s="255" t="str">
        <x:v>100</x:v>
      </x:c>
      <x:c r="B16" s="255" t="str">
        <x:v>0.1</x:v>
      </x:c>
      <x:c r="C16" s="255" t="str">
        <x:v>3</x:v>
      </x:c>
      <x:c r="D16" s="255" t="str">
        <x:v>983702907</x:v>
      </x:c>
      <x:c r="E16" s="255" t="str">
        <x:v>173</x:v>
      </x:c>
      <x:c r="F16" s="255" t="str">
        <x:v>19</x:v>
      </x:c>
      <x:c r="G16" s="255" t="str">
        <x:v>43</x:v>
      </x:c>
      <x:c r="H16" s="255" t="str">
        <x:v>3.46</x:v>
      </x:c>
      <x:c r="I16" s="255" t="str">
        <x:v>0.03494949494949495</x:v>
      </x:c>
      <x:c r="J16" s="255" t="str">
        <x:v>5</x:v>
      </x:c>
      <x:c r="K16" s="255" t="str">
        <x:v>zoomed_entropy,zoomed_collision,ich_entropy,ich_collision,grid_entropy,grid_collision,circle_entropy,circle_collision</x:v>
      </x:c>
      <x:c r="L16" s="255" t="str">
        <x:v>57</x:v>
      </x:c>
      <x:c r="M16" s="255" t="str">
        <x:v>57</x:v>
      </x:c>
      <x:c r="N16" s="255" t="str">
        <x:v>0.007878100033849478</x:v>
      </x:c>
      <x:c r="O16" s="255" t="str">
        <x:v>False</x:v>
      </x:c>
      <x:c r="P16" s="255" t="str">
        <x:v>52</x:v>
      </x:c>
      <x:c r="Q16" s="255" t="str">
        <x:v>52</x:v>
      </x:c>
      <x:c r="R16" s="255" t="str">
        <x:v>0.006340399966575205</x:v>
      </x:c>
      <x:c r="S16" s="255" t="str">
        <x:v>False</x:v>
      </x:c>
      <x:c r="T16" s="255" t="str">
        <x:v>False</x:v>
      </x:c>
      <x:c r="U16" s="255" t="str">
        <x:v>-5</x:v>
      </x:c>
      <x:c r="V16" s="255" t="str">
        <x:v>-5</x:v>
      </x:c>
      <x:c r="W16" s="255" t="str">
        <x:v>-0.0015377000672742724</x:v>
      </x:c>
      <x:c r="X16" s="255" t="str">
        <x:v>0.9122807017543859</x:v>
      </x:c>
      <x:c r="Y16" s="255" t="str">
        <x:v>0</x:v>
      </x:c>
      <x:c r="Z16" s="255" t="str">
        <x:v>0</x:v>
      </x:c>
      <x:c r="AA16" s="255" t="str">
        <x:v>neither</x:v>
      </x:c>
      <x:c r="AB16" s="255" t="str">
        <x:v>collision</x:v>
      </x:c>
      <x:c r="AC16" s="255" t="str">
        <x:v>none</x:v>
      </x:c>
      <x:c r="AD16" s="255" t="str">
        <x:v>68</x:v>
      </x:c>
      <x:c r="AE16" s="255" t="str">
        <x:v>38</x:v>
      </x:c>
      <x:c r="AF16" s="255" t="str">
        <x:v>0.019490999984554946</x:v>
      </x:c>
      <x:c r="AG16" s="255" t="str">
        <x:v>True</x:v>
      </x:c>
      <x:c r="AH16" s="255" t="str">
        <x:v>66</x:v>
      </x:c>
      <x:c r="AI16" s="255" t="str">
        <x:v>37</x:v>
      </x:c>
      <x:c r="AJ16" s="255" t="str">
        <x:v>0.02874760003760457</x:v>
      </x:c>
      <x:c r="AK16" s="255" t="str">
        <x:v>True</x:v>
      </x:c>
      <x:c r="AL16" s="255" t="str">
        <x:v>True</x:v>
      </x:c>
      <x:c r="AM16" s="255" t="str">
        <x:v>-1</x:v>
      </x:c>
      <x:c r="AN16" s="255" t="str">
        <x:v>-2</x:v>
      </x:c>
      <x:c r="AO16" s="255" t="str">
        <x:v>0.009256600053049624</x:v>
      </x:c>
      <x:c r="AP16" s="255" t="str">
        <x:v>0.9736842105263158</x:v>
      </x:c>
      <x:c r="AQ16" s="255" t="str">
        <x:v>30</x:v>
      </x:c>
      <x:c r="AR16" s="255" t="str">
        <x:v>29</x:v>
      </x:c>
      <x:c r="AS16" s="255" t="str">
        <x:v>collision</x:v>
      </x:c>
      <x:c r="AT16" s="255" t="str">
        <x:v>entropy</x:v>
      </x:c>
      <x:c r="AU16" s="255" t="str">
        <x:v>none</x:v>
      </x:c>
      <x:c r="AV16" s="255" t="str">
        <x:v>72</x:v>
      </x:c>
      <x:c r="AW16" s="255" t="str">
        <x:v>38</x:v>
      </x:c>
      <x:c r="AX16" s="255" t="str">
        <x:v>0.02364609995856881</x:v>
      </x:c>
      <x:c r="AY16" s="255" t="str">
        <x:v>True</x:v>
      </x:c>
      <x:c r="AZ16" s="255" t="str">
        <x:v>67</x:v>
      </x:c>
      <x:c r="BA16" s="255" t="str">
        <x:v>38</x:v>
      </x:c>
      <x:c r="BB16" s="255" t="str">
        <x:v>0.020953900064341724</x:v>
      </x:c>
      <x:c r="BC16" s="255" t="str">
        <x:v>True</x:v>
      </x:c>
      <x:c r="BD16" s="255" t="str">
        <x:v>True</x:v>
      </x:c>
      <x:c r="BE16" s="255" t="str">
        <x:v>0</x:v>
      </x:c>
      <x:c r="BF16" s="255" t="str">
        <x:v>-5</x:v>
      </x:c>
      <x:c r="BG16" s="255" t="str">
        <x:v>-0.0026921998942270875</x:v>
      </x:c>
      <x:c r="BH16" s="255" t="str">
        <x:v>1.0</x:v>
      </x:c>
      <x:c r="BI16" s="255" t="str">
        <x:v>34</x:v>
      </x:c>
      <x:c r="BJ16" s="255" t="str">
        <x:v>29</x:v>
      </x:c>
      <x:c r="BK16" s="255" t="str">
        <x:v>tie</x:v>
      </x:c>
      <x:c r="BL16" s="255" t="str">
        <x:v>collision</x:v>
      </x:c>
      <x:c r="BM16" s="255" t="str">
        <x:v>none</x:v>
      </x:c>
      <x:c r="BN16" s="255" t="str">
        <x:v>37</x:v>
      </x:c>
      <x:c r="BO16" s="255" t="str">
        <x:v>37</x:v>
      </x:c>
      <x:c r="BP16" s="255" t="str">
        <x:v>0.24658319994341582</x:v>
      </x:c>
      <x:c r="BQ16" s="255" t="str">
        <x:v>True</x:v>
      </x:c>
      <x:c r="BR16" s="255" t="str">
        <x:v>37</x:v>
      </x:c>
      <x:c r="BS16" s="255" t="str">
        <x:v>37</x:v>
      </x:c>
      <x:c r="BT16" s="255" t="str">
        <x:v>0.24219479993917048</x:v>
      </x:c>
      <x:c r="BU16" s="255" t="str">
        <x:v>True</x:v>
      </x:c>
      <x:c r="BV16" s="255" t="str">
        <x:v>True</x:v>
      </x:c>
      <x:c r="BW16" s="255" t="str">
        <x:v>0</x:v>
      </x:c>
      <x:c r="BX16" s="255" t="str">
        <x:v>0</x:v>
      </x:c>
      <x:c r="BY16" s="255" t="str">
        <x:v>-0.004388400004245341</x:v>
      </x:c>
      <x:c r="BZ16" s="255" t="str">
        <x:v>1.0</x:v>
      </x:c>
      <x:c r="CA16" s="255" t="str">
        <x:v>0</x:v>
      </x:c>
      <x:c r="CB16" s="255" t="str">
        <x:v>0</x:v>
      </x:c>
      <x:c r="CC16" s="255" t="str">
        <x:v>tie</x:v>
      </x:c>
      <x:c r="CD16" s="255" t="str">
        <x:v>collision</x:v>
      </x:c>
      <x:c r="CE16" s="255" t="str">
        <x:v>none</x:v>
      </x:c>
    </x:row>
    <x:row r="17">
      <x:c r="A17" s="255" t="str">
        <x:v>100</x:v>
      </x:c>
      <x:c r="B17" s="255" t="str">
        <x:v>0.3</x:v>
      </x:c>
      <x:c r="C17" s="255" t="str">
        <x:v>1</x:v>
      </x:c>
      <x:c r="D17" s="255" t="str">
        <x:v>3343778646</x:v>
      </x:c>
      <x:c r="E17" s="255" t="str">
        <x:v>1082</x:v>
      </x:c>
      <x:c r="F17" s="255" t="str">
        <x:v>1</x:v>
      </x:c>
      <x:c r="G17" s="255" t="str">
        <x:v>100</x:v>
      </x:c>
      <x:c r="H17" s="255" t="str">
        <x:v>21.64</x:v>
      </x:c>
      <x:c r="I17" s="255" t="str">
        <x:v>0.21858585858585858</x:v>
      </x:c>
      <x:c r="J17" s="255" t="str">
        <x:v>5</x:v>
      </x:c>
      <x:c r="K17" s="255" t="str">
        <x:v>grid_entropy,grid_collision,circle_entropy,circle_collision,zoomed_entropy,zoomed_collision,ich_entropy,ich_collision</x:v>
      </x:c>
      <x:c r="L17" s="255" t="str">
        <x:v>80</x:v>
      </x:c>
      <x:c r="M17" s="255" t="str">
        <x:v>20</x:v>
      </x:c>
      <x:c r="N17" s="255" t="str">
        <x:v>0.032596500008367</x:v>
      </x:c>
      <x:c r="O17" s="255" t="str">
        <x:v>True</x:v>
      </x:c>
      <x:c r="P17" s="255" t="str">
        <x:v>44</x:v>
      </x:c>
      <x:c r="Q17" s="255" t="str">
        <x:v>20</x:v>
      </x:c>
      <x:c r="R17" s="255" t="str">
        <x:v>0.024974199943244457</x:v>
      </x:c>
      <x:c r="S17" s="255" t="str">
        <x:v>True</x:v>
      </x:c>
      <x:c r="T17" s="255" t="str">
        <x:v>True</x:v>
      </x:c>
      <x:c r="U17" s="255" t="str">
        <x:v>0</x:v>
      </x:c>
      <x:c r="V17" s="255" t="str">
        <x:v>-36</x:v>
      </x:c>
      <x:c r="W17" s="255" t="str">
        <x:v>-0.007622300065122545</x:v>
      </x:c>
      <x:c r="X17" s="255" t="str">
        <x:v>1.0</x:v>
      </x:c>
      <x:c r="Y17" s="255" t="str">
        <x:v>60</x:v>
      </x:c>
      <x:c r="Z17" s="255" t="str">
        <x:v>24</x:v>
      </x:c>
      <x:c r="AA17" s="255" t="str">
        <x:v>tie</x:v>
      </x:c>
      <x:c r="AB17" s="255" t="str">
        <x:v>collision</x:v>
      </x:c>
      <x:c r="AC17" s="255" t="str">
        <x:v>none</x:v>
      </x:c>
      <x:c r="AD17" s="255" t="str">
        <x:v>75</x:v>
      </x:c>
      <x:c r="AE17" s="255" t="str">
        <x:v>21</x:v>
      </x:c>
      <x:c r="AF17" s="255" t="str">
        <x:v>0.028550100047141314</x:v>
      </x:c>
      <x:c r="AG17" s="255" t="str">
        <x:v>True</x:v>
      </x:c>
      <x:c r="AH17" s="255" t="str">
        <x:v>65</x:v>
      </x:c>
      <x:c r="AI17" s="255" t="str">
        <x:v>19</x:v>
      </x:c>
      <x:c r="AJ17" s="255" t="str">
        <x:v>0.024053400033153594</x:v>
      </x:c>
      <x:c r="AK17" s="255" t="str">
        <x:v>True</x:v>
      </x:c>
      <x:c r="AL17" s="255" t="str">
        <x:v>True</x:v>
      </x:c>
      <x:c r="AM17" s="255" t="str">
        <x:v>-2</x:v>
      </x:c>
      <x:c r="AN17" s="255" t="str">
        <x:v>-10</x:v>
      </x:c>
      <x:c r="AO17" s="255" t="str">
        <x:v>-0.00449670001398772</x:v>
      </x:c>
      <x:c r="AP17" s="255" t="str">
        <x:v>0.9047619047619048</x:v>
      </x:c>
      <x:c r="AQ17" s="255" t="str">
        <x:v>54</x:v>
      </x:c>
      <x:c r="AR17" s="255" t="str">
        <x:v>46</x:v>
      </x:c>
      <x:c r="AS17" s="255" t="str">
        <x:v>collision</x:v>
      </x:c>
      <x:c r="AT17" s="255" t="str">
        <x:v>collision</x:v>
      </x:c>
      <x:c r="AU17" s="255" t="str">
        <x:v>none</x:v>
      </x:c>
      <x:c r="AV17" s="255" t="str">
        <x:v>74</x:v>
      </x:c>
      <x:c r="AW17" s="255" t="str">
        <x:v>20</x:v>
      </x:c>
      <x:c r="AX17" s="255" t="str">
        <x:v>0.027396899997256696</x:v>
      </x:c>
      <x:c r="AY17" s="255" t="str">
        <x:v>True</x:v>
      </x:c>
      <x:c r="AZ17" s="255" t="str">
        <x:v>53</x:v>
      </x:c>
      <x:c r="BA17" s="255" t="str">
        <x:v>20</x:v>
      </x:c>
      <x:c r="BB17" s="255" t="str">
        <x:v>0.022734199999831617</x:v>
      </x:c>
      <x:c r="BC17" s="255" t="str">
        <x:v>True</x:v>
      </x:c>
      <x:c r="BD17" s="255" t="str">
        <x:v>True</x:v>
      </x:c>
      <x:c r="BE17" s="255" t="str">
        <x:v>0</x:v>
      </x:c>
      <x:c r="BF17" s="255" t="str">
        <x:v>-21</x:v>
      </x:c>
      <x:c r="BG17" s="255" t="str">
        <x:v>-0.004662699997425079</x:v>
      </x:c>
      <x:c r="BH17" s="255" t="str">
        <x:v>1.0</x:v>
      </x:c>
      <x:c r="BI17" s="255" t="str">
        <x:v>54</x:v>
      </x:c>
      <x:c r="BJ17" s="255" t="str">
        <x:v>33</x:v>
      </x:c>
      <x:c r="BK17" s="255" t="str">
        <x:v>tie</x:v>
      </x:c>
      <x:c r="BL17" s="255" t="str">
        <x:v>collision</x:v>
      </x:c>
      <x:c r="BM17" s="255" t="str">
        <x:v>none</x:v>
      </x:c>
      <x:c r="BN17" s="255" t="str">
        <x:v>22</x:v>
      </x:c>
      <x:c r="BO17" s="255" t="str">
        <x:v>22</x:v>
      </x:c>
      <x:c r="BP17" s="255" t="str">
        <x:v>0.20185449998825788</x:v>
      </x:c>
      <x:c r="BQ17" s="255" t="str">
        <x:v>True</x:v>
      </x:c>
      <x:c r="BR17" s="255" t="str">
        <x:v>23</x:v>
      </x:c>
      <x:c r="BS17" s="255" t="str">
        <x:v>23</x:v>
      </x:c>
      <x:c r="BT17" s="255" t="str">
        <x:v>0.18259199999738485</x:v>
      </x:c>
      <x:c r="BU17" s="255" t="str">
        <x:v>True</x:v>
      </x:c>
      <x:c r="BV17" s="255" t="str">
        <x:v>True</x:v>
      </x:c>
      <x:c r="BW17" s="255" t="str">
        <x:v>1</x:v>
      </x:c>
      <x:c r="BX17" s="255" t="str">
        <x:v>1</x:v>
      </x:c>
      <x:c r="BY17" s="255" t="str">
        <x:v>-0.01926249999087304</x:v>
      </x:c>
      <x:c r="BZ17" s="255" t="str">
        <x:v>1.0454545454545454</x:v>
      </x:c>
      <x:c r="CA17" s="255" t="str">
        <x:v>0</x:v>
      </x:c>
      <x:c r="CB17" s="255" t="str">
        <x:v>0</x:v>
      </x:c>
      <x:c r="CC17" s="255" t="str">
        <x:v>entropy</x:v>
      </x:c>
      <x:c r="CD17" s="255" t="str">
        <x:v>collision</x:v>
      </x:c>
      <x:c r="CE17" s="255" t="str">
        <x:v>none</x:v>
      </x:c>
    </x:row>
    <x:row r="18">
      <x:c r="A18" s="255" t="str">
        <x:v>100</x:v>
      </x:c>
      <x:c r="B18" s="255" t="str">
        <x:v>0.3</x:v>
      </x:c>
      <x:c r="C18" s="255" t="str">
        <x:v>2</x:v>
      </x:c>
      <x:c r="D18" s="255" t="str">
        <x:v>1469195711</x:v>
      </x:c>
      <x:c r="E18" s="255" t="str">
        <x:v>1093</x:v>
      </x:c>
      <x:c r="F18" s="255" t="str">
        <x:v>1</x:v>
      </x:c>
      <x:c r="G18" s="255" t="str">
        <x:v>100</x:v>
      </x:c>
      <x:c r="H18" s="255" t="str">
        <x:v>21.86</x:v>
      </x:c>
      <x:c r="I18" s="255" t="str">
        <x:v>0.22080808080808081</x:v>
      </x:c>
      <x:c r="J18" s="255" t="str">
        <x:v>5</x:v>
      </x:c>
      <x:c r="K18" s="255" t="str">
        <x:v>circle_collision,circle_entropy,zoomed_collision,zoomed_entropy,ich_collision,ich_entropy,grid_collision,grid_entropy</x:v>
      </x:c>
      <x:c r="L18" s="255" t="str">
        <x:v>75</x:v>
      </x:c>
      <x:c r="M18" s="255" t="str">
        <x:v>22</x:v>
      </x:c>
      <x:c r="N18" s="255" t="str">
        <x:v>0.03185040003154427</x:v>
      </x:c>
      <x:c r="O18" s="255" t="str">
        <x:v>True</x:v>
      </x:c>
      <x:c r="P18" s="255" t="str">
        <x:v>41</x:v>
      </x:c>
      <x:c r="Q18" s="255" t="str">
        <x:v>41</x:v>
      </x:c>
      <x:c r="R18" s="255" t="str">
        <x:v>0.01819129998330027</x:v>
      </x:c>
      <x:c r="S18" s="255" t="str">
        <x:v>False</x:v>
      </x:c>
      <x:c r="T18" s="255" t="str">
        <x:v>False</x:v>
      </x:c>
      <x:c r="U18" s="255" t="str">
        <x:v>19</x:v>
      </x:c>
      <x:c r="V18" s="255" t="str">
        <x:v>-34</x:v>
      </x:c>
      <x:c r="W18" s="255" t="str">
        <x:v>-0.013659100048244</x:v>
      </x:c>
      <x:c r="X18" s="255" t="str">
        <x:v>1.8636363636363635</x:v>
      </x:c>
      <x:c r="Y18" s="255" t="str">
        <x:v>53</x:v>
      </x:c>
      <x:c r="Z18" s="255" t="str">
        <x:v>0</x:v>
      </x:c>
      <x:c r="AA18" s="255" t="str">
        <x:v>entropy</x:v>
      </x:c>
      <x:c r="AB18" s="255" t="str">
        <x:v>collision</x:v>
      </x:c>
      <x:c r="AC18" s="255" t="str">
        <x:v>large_and_invalid</x:v>
      </x:c>
      <x:c r="AD18" s="255" t="str">
        <x:v>73</x:v>
      </x:c>
      <x:c r="AE18" s="255" t="str">
        <x:v>23</x:v>
      </x:c>
      <x:c r="AF18" s="255" t="str">
        <x:v>0.02003900008276105</x:v>
      </x:c>
      <x:c r="AG18" s="255" t="str">
        <x:v>True</x:v>
      </x:c>
      <x:c r="AH18" s="255" t="str">
        <x:v>58</x:v>
      </x:c>
      <x:c r="AI18" s="255" t="str">
        <x:v>23</x:v>
      </x:c>
      <x:c r="AJ18" s="255" t="str">
        <x:v>0.017046399996615946</x:v>
      </x:c>
      <x:c r="AK18" s="255" t="str">
        <x:v>True</x:v>
      </x:c>
      <x:c r="AL18" s="255" t="str">
        <x:v>True</x:v>
      </x:c>
      <x:c r="AM18" s="255" t="str">
        <x:v>0</x:v>
      </x:c>
      <x:c r="AN18" s="255" t="str">
        <x:v>-15</x:v>
      </x:c>
      <x:c r="AO18" s="255" t="str">
        <x:v>-0.002992600086145103</x:v>
      </x:c>
      <x:c r="AP18" s="255" t="str">
        <x:v>1.0</x:v>
      </x:c>
      <x:c r="AQ18" s="255" t="str">
        <x:v>50</x:v>
      </x:c>
      <x:c r="AR18" s="255" t="str">
        <x:v>35</x:v>
      </x:c>
      <x:c r="AS18" s="255" t="str">
        <x:v>tie</x:v>
      </x:c>
      <x:c r="AT18" s="255" t="str">
        <x:v>collision</x:v>
      </x:c>
      <x:c r="AU18" s="255" t="str">
        <x:v>none</x:v>
      </x:c>
      <x:c r="AV18" s="255" t="str">
        <x:v>79</x:v>
      </x:c>
      <x:c r="AW18" s="255" t="str">
        <x:v>22</x:v>
      </x:c>
      <x:c r="AX18" s="255" t="str">
        <x:v>0.025582100031897426</x:v>
      </x:c>
      <x:c r="AY18" s="255" t="str">
        <x:v>True</x:v>
      </x:c>
      <x:c r="AZ18" s="255" t="str">
        <x:v>54</x:v>
      </x:c>
      <x:c r="BA18" s="255" t="str">
        <x:v>23</x:v>
      </x:c>
      <x:c r="BB18" s="255" t="str">
        <x:v>0.0229203999042511</x:v>
      </x:c>
      <x:c r="BC18" s="255" t="str">
        <x:v>True</x:v>
      </x:c>
      <x:c r="BD18" s="255" t="str">
        <x:v>True</x:v>
      </x:c>
      <x:c r="BE18" s="255" t="str">
        <x:v>1</x:v>
      </x:c>
      <x:c r="BF18" s="255" t="str">
        <x:v>-25</x:v>
      </x:c>
      <x:c r="BG18" s="255" t="str">
        <x:v>-0.002661700127646327</x:v>
      </x:c>
      <x:c r="BH18" s="255" t="str">
        <x:v>1.0454545454545454</x:v>
      </x:c>
      <x:c r="BI18" s="255" t="str">
        <x:v>57</x:v>
      </x:c>
      <x:c r="BJ18" s="255" t="str">
        <x:v>31</x:v>
      </x:c>
      <x:c r="BK18" s="255" t="str">
        <x:v>entropy</x:v>
      </x:c>
      <x:c r="BL18" s="255" t="str">
        <x:v>collision</x:v>
      </x:c>
      <x:c r="BM18" s="255" t="str">
        <x:v>none</x:v>
      </x:c>
      <x:c r="BN18" s="255" t="str">
        <x:v>21</x:v>
      </x:c>
      <x:c r="BO18" s="255" t="str">
        <x:v>21</x:v>
      </x:c>
      <x:c r="BP18" s="255" t="str">
        <x:v>0.19510430004447699</x:v>
      </x:c>
      <x:c r="BQ18" s="255" t="str">
        <x:v>True</x:v>
      </x:c>
      <x:c r="BR18" s="255" t="str">
        <x:v>21</x:v>
      </x:c>
      <x:c r="BS18" s="255" t="str">
        <x:v>21</x:v>
      </x:c>
      <x:c r="BT18" s="255" t="str">
        <x:v>0.17289109993726015</x:v>
      </x:c>
      <x:c r="BU18" s="255" t="str">
        <x:v>True</x:v>
      </x:c>
      <x:c r="BV18" s="255" t="str">
        <x:v>True</x:v>
      </x:c>
      <x:c r="BW18" s="255" t="str">
        <x:v>0</x:v>
      </x:c>
      <x:c r="BX18" s="255" t="str">
        <x:v>0</x:v>
      </x:c>
      <x:c r="BY18" s="255" t="str">
        <x:v>-0.022213200107216835</x:v>
      </x:c>
      <x:c r="BZ18" s="255" t="str">
        <x:v>1.0</x:v>
      </x:c>
      <x:c r="CA18" s="255" t="str">
        <x:v>0</x:v>
      </x:c>
      <x:c r="CB18" s="255" t="str">
        <x:v>0</x:v>
      </x:c>
      <x:c r="CC18" s="255" t="str">
        <x:v>tie</x:v>
      </x:c>
      <x:c r="CD18" s="255" t="str">
        <x:v>collision</x:v>
      </x:c>
      <x:c r="CE18" s="255" t="str">
        <x:v>none</x:v>
      </x:c>
    </x:row>
    <x:row r="19">
      <x:c r="A19" s="255" t="str">
        <x:v>100</x:v>
      </x:c>
      <x:c r="B19" s="255" t="str">
        <x:v>0.3</x:v>
      </x:c>
      <x:c r="C19" s="255" t="str">
        <x:v>3</x:v>
      </x:c>
      <x:c r="D19" s="255" t="str">
        <x:v>4234583871</x:v>
      </x:c>
      <x:c r="E19" s="255" t="str">
        <x:v>1039</x:v>
      </x:c>
      <x:c r="F19" s="255" t="str">
        <x:v>1</x:v>
      </x:c>
      <x:c r="G19" s="255" t="str">
        <x:v>100</x:v>
      </x:c>
      <x:c r="H19" s="255" t="str">
        <x:v>20.78</x:v>
      </x:c>
      <x:c r="I19" s="255" t="str">
        <x:v>0.2098989898989899</x:v>
      </x:c>
      <x:c r="J19" s="255" t="str">
        <x:v>5</x:v>
      </x:c>
      <x:c r="K19" s="255" t="str">
        <x:v>zoomed_entropy,zoomed_collision,ich_entropy,ich_collision,grid_entropy,grid_collision,circle_entropy,circle_collision</x:v>
      </x:c>
      <x:c r="L19" s="255" t="str">
        <x:v>72</x:v>
      </x:c>
      <x:c r="M19" s="255" t="str">
        <x:v>22</x:v>
      </x:c>
      <x:c r="N19" s="255" t="str">
        <x:v>0.021869100048206747</x:v>
      </x:c>
      <x:c r="O19" s="255" t="str">
        <x:v>True</x:v>
      </x:c>
      <x:c r="P19" s="255" t="str">
        <x:v>40</x:v>
      </x:c>
      <x:c r="Q19" s="255" t="str">
        <x:v>21</x:v>
      </x:c>
      <x:c r="R19" s="255" t="str">
        <x:v>0.017447999911382794</x:v>
      </x:c>
      <x:c r="S19" s="255" t="str">
        <x:v>True</x:v>
      </x:c>
      <x:c r="T19" s="255" t="str">
        <x:v>True</x:v>
      </x:c>
      <x:c r="U19" s="255" t="str">
        <x:v>-1</x:v>
      </x:c>
      <x:c r="V19" s="255" t="str">
        <x:v>-32</x:v>
      </x:c>
      <x:c r="W19" s="255" t="str">
        <x:v>-0.004421100136823952</x:v>
      </x:c>
      <x:c r="X19" s="255" t="str">
        <x:v>0.9545454545454546</x:v>
      </x:c>
      <x:c r="Y19" s="255" t="str">
        <x:v>50</x:v>
      </x:c>
      <x:c r="Z19" s="255" t="str">
        <x:v>19</x:v>
      </x:c>
      <x:c r="AA19" s="255" t="str">
        <x:v>collision</x:v>
      </x:c>
      <x:c r="AB19" s="255" t="str">
        <x:v>collision</x:v>
      </x:c>
      <x:c r="AC19" s="255" t="str">
        <x:v>none</x:v>
      </x:c>
      <x:c r="AD19" s="255" t="str">
        <x:v>83</x:v>
      </x:c>
      <x:c r="AE19" s="255" t="str">
        <x:v>19</x:v>
      </x:c>
      <x:c r="AF19" s="255" t="str">
        <x:v>0.021746600046753883</x:v>
      </x:c>
      <x:c r="AG19" s="255" t="str">
        <x:v>True</x:v>
      </x:c>
      <x:c r="AH19" s="255" t="str">
        <x:v>70</x:v>
      </x:c>
      <x:c r="AI19" s="255" t="str">
        <x:v>20</x:v>
      </x:c>
      <x:c r="AJ19" s="255" t="str">
        <x:v>0.01487830001860857</x:v>
      </x:c>
      <x:c r="AK19" s="255" t="str">
        <x:v>True</x:v>
      </x:c>
      <x:c r="AL19" s="255" t="str">
        <x:v>True</x:v>
      </x:c>
      <x:c r="AM19" s="255" t="str">
        <x:v>1</x:v>
      </x:c>
      <x:c r="AN19" s="255" t="str">
        <x:v>-13</x:v>
      </x:c>
      <x:c r="AO19" s="255" t="str">
        <x:v>-0.006868300028145313</x:v>
      </x:c>
      <x:c r="AP19" s="255" t="str">
        <x:v>1.0526315789473684</x:v>
      </x:c>
      <x:c r="AQ19" s="255" t="str">
        <x:v>64</x:v>
      </x:c>
      <x:c r="AR19" s="255" t="str">
        <x:v>50</x:v>
      </x:c>
      <x:c r="AS19" s="255" t="str">
        <x:v>entropy</x:v>
      </x:c>
      <x:c r="AT19" s="255" t="str">
        <x:v>collision</x:v>
      </x:c>
      <x:c r="AU19" s="255" t="str">
        <x:v>none</x:v>
      </x:c>
      <x:c r="AV19" s="255" t="str">
        <x:v>78</x:v>
      </x:c>
      <x:c r="AW19" s="255" t="str">
        <x:v>20</x:v>
      </x:c>
      <x:c r="AX19" s="255" t="str">
        <x:v>0.022965500014834106</x:v>
      </x:c>
      <x:c r="AY19" s="255" t="str">
        <x:v>True</x:v>
      </x:c>
      <x:c r="AZ19" s="255" t="str">
        <x:v>53</x:v>
      </x:c>
      <x:c r="BA19" s="255" t="str">
        <x:v>20</x:v>
      </x:c>
      <x:c r="BB19" s="255" t="str">
        <x:v>0.017698099953122437</x:v>
      </x:c>
      <x:c r="BC19" s="255" t="str">
        <x:v>True</x:v>
      </x:c>
      <x:c r="BD19" s="255" t="str">
        <x:v>True</x:v>
      </x:c>
      <x:c r="BE19" s="255" t="str">
        <x:v>0</x:v>
      </x:c>
      <x:c r="BF19" s="255" t="str">
        <x:v>-25</x:v>
      </x:c>
      <x:c r="BG19" s="255" t="str">
        <x:v>-0.005267400061711669</x:v>
      </x:c>
      <x:c r="BH19" s="255" t="str">
        <x:v>1.0</x:v>
      </x:c>
      <x:c r="BI19" s="255" t="str">
        <x:v>58</x:v>
      </x:c>
      <x:c r="BJ19" s="255" t="str">
        <x:v>33</x:v>
      </x:c>
      <x:c r="BK19" s="255" t="str">
        <x:v>tie</x:v>
      </x:c>
      <x:c r="BL19" s="255" t="str">
        <x:v>collision</x:v>
      </x:c>
      <x:c r="BM19" s="255" t="str">
        <x:v>none</x:v>
      </x:c>
      <x:c r="BN19" s="255" t="str">
        <x:v>19</x:v>
      </x:c>
      <x:c r="BO19" s="255" t="str">
        <x:v>19</x:v>
      </x:c>
      <x:c r="BP19" s="255" t="str">
        <x:v>0.16447059996426105</x:v>
      </x:c>
      <x:c r="BQ19" s="255" t="str">
        <x:v>True</x:v>
      </x:c>
      <x:c r="BR19" s="255" t="str">
        <x:v>19</x:v>
      </x:c>
      <x:c r="BS19" s="255" t="str">
        <x:v>19</x:v>
      </x:c>
      <x:c r="BT19" s="255" t="str">
        <x:v>0.15561040001921356</x:v>
      </x:c>
      <x:c r="BU19" s="255" t="str">
        <x:v>True</x:v>
      </x:c>
      <x:c r="BV19" s="255" t="str">
        <x:v>True</x:v>
      </x:c>
      <x:c r="BW19" s="255" t="str">
        <x:v>0</x:v>
      </x:c>
      <x:c r="BX19" s="255" t="str">
        <x:v>0</x:v>
      </x:c>
      <x:c r="BY19" s="255" t="str">
        <x:v>-0.008860199945047498</x:v>
      </x:c>
      <x:c r="BZ19" s="255" t="str">
        <x:v>1.0</x:v>
      </x:c>
      <x:c r="CA19" s="255" t="str">
        <x:v>0</x:v>
      </x:c>
      <x:c r="CB19" s="255" t="str">
        <x:v>0</x:v>
      </x:c>
      <x:c r="CC19" s="255" t="str">
        <x:v>tie</x:v>
      </x:c>
      <x:c r="CD19" s="255" t="str">
        <x:v>collision</x:v>
      </x:c>
      <x:c r="CE19" s="255" t="str">
        <x:v>none</x:v>
      </x:c>
    </x:row>
    <x:row r="20">
      <x:c r="A20" s="255" t="str">
        <x:v>100</x:v>
      </x:c>
      <x:c r="B20" s="255" t="str">
        <x:v>0.5</x:v>
      </x:c>
      <x:c r="C20" s="255" t="str">
        <x:v>1</x:v>
      </x:c>
      <x:c r="D20" s="255" t="str">
        <x:v>188944305</x:v>
      </x:c>
      <x:c r="E20" s="255" t="str">
        <x:v>2405</x:v>
      </x:c>
      <x:c r="F20" s="255" t="str">
        <x:v>1</x:v>
      </x:c>
      <x:c r="G20" s="255" t="str">
        <x:v>100</x:v>
      </x:c>
      <x:c r="H20" s="255" t="str">
        <x:v>48.1</x:v>
      </x:c>
      <x:c r="I20" s="255" t="str">
        <x:v>0.4858585858585859</x:v>
      </x:c>
      <x:c r="J20" s="255" t="str">
        <x:v>5</x:v>
      </x:c>
      <x:c r="K20" s="255" t="str">
        <x:v>grid_entropy,grid_collision,circle_entropy,circle_collision,zoomed_entropy,zoomed_collision,ich_entropy,ich_collision</x:v>
      </x:c>
      <x:c r="L20" s="255" t="str">
        <x:v>78</x:v>
      </x:c>
      <x:c r="M20" s="255" t="str">
        <x:v>26</x:v>
      </x:c>
      <x:c r="N20" s="255" t="str">
        <x:v>0.15413259994238615</x:v>
      </x:c>
      <x:c r="O20" s="255" t="str">
        <x:v>True</x:v>
      </x:c>
      <x:c r="P20" s="255" t="str">
        <x:v>24</x:v>
      </x:c>
      <x:c r="Q20" s="255" t="str">
        <x:v>24</x:v>
      </x:c>
      <x:c r="R20" s="255" t="str">
        <x:v>0.08072980004362762</x:v>
      </x:c>
      <x:c r="S20" s="255" t="str">
        <x:v>True</x:v>
      </x:c>
      <x:c r="T20" s="255" t="str">
        <x:v>True</x:v>
      </x:c>
      <x:c r="U20" s="255" t="str">
        <x:v>-2</x:v>
      </x:c>
      <x:c r="V20" s="255" t="str">
        <x:v>-54</x:v>
      </x:c>
      <x:c r="W20" s="255" t="str">
        <x:v>-0.07340279989875853</x:v>
      </x:c>
      <x:c r="X20" s="255" t="str">
        <x:v>0.9230769230769231</x:v>
      </x:c>
      <x:c r="Y20" s="255" t="str">
        <x:v>52</x:v>
      </x:c>
      <x:c r="Z20" s="255" t="str">
        <x:v>0</x:v>
      </x:c>
      <x:c r="AA20" s="255" t="str">
        <x:v>collision</x:v>
      </x:c>
      <x:c r="AB20" s="255" t="str">
        <x:v>collision</x:v>
      </x:c>
      <x:c r="AC20" s="255" t="str">
        <x:v>none</x:v>
      </x:c>
      <x:c r="AD20" s="255" t="str">
        <x:v>78</x:v>
      </x:c>
      <x:c r="AE20" s="255" t="str">
        <x:v>24</x:v>
      </x:c>
      <x:c r="AF20" s="255" t="str">
        <x:v>0.02225969999562949</x:v>
      </x:c>
      <x:c r="AG20" s="255" t="str">
        <x:v>True</x:v>
      </x:c>
      <x:c r="AH20" s="255" t="str">
        <x:v>66</x:v>
      </x:c>
      <x:c r="AI20" s="255" t="str">
        <x:v>25</x:v>
      </x:c>
      <x:c r="AJ20" s="255" t="str">
        <x:v>0.02226280001923442</x:v>
      </x:c>
      <x:c r="AK20" s="255" t="str">
        <x:v>True</x:v>
      </x:c>
      <x:c r="AL20" s="255" t="str">
        <x:v>True</x:v>
      </x:c>
      <x:c r="AM20" s="255" t="str">
        <x:v>1</x:v>
      </x:c>
      <x:c r="AN20" s="255" t="str">
        <x:v>-12</x:v>
      </x:c>
      <x:c r="AO20" s="255" t="str">
        <x:v>3.100023604929447e-06</x:v>
      </x:c>
      <x:c r="AP20" s="255" t="str">
        <x:v>1.0416666666666667</x:v>
      </x:c>
      <x:c r="AQ20" s="255" t="str">
        <x:v>54</x:v>
      </x:c>
      <x:c r="AR20" s="255" t="str">
        <x:v>41</x:v>
      </x:c>
      <x:c r="AS20" s="255" t="str">
        <x:v>entropy</x:v>
      </x:c>
      <x:c r="AT20" s="255" t="str">
        <x:v>entropy</x:v>
      </x:c>
      <x:c r="AU20" s="255" t="str">
        <x:v>none</x:v>
      </x:c>
      <x:c r="AV20" s="255" t="str">
        <x:v>86</x:v>
      </x:c>
      <x:c r="AW20" s="255" t="str">
        <x:v>28</x:v>
      </x:c>
      <x:c r="AX20" s="255" t="str">
        <x:v>0.030096800066530704</x:v>
      </x:c>
      <x:c r="AY20" s="255" t="str">
        <x:v>True</x:v>
      </x:c>
      <x:c r="AZ20" s="255" t="str">
        <x:v>63</x:v>
      </x:c>
      <x:c r="BA20" s="255" t="str">
        <x:v>25</x:v>
      </x:c>
      <x:c r="BB20" s="255" t="str">
        <x:v>0.030863599968142807</x:v>
      </x:c>
      <x:c r="BC20" s="255" t="str">
        <x:v>True</x:v>
      </x:c>
      <x:c r="BD20" s="255" t="str">
        <x:v>True</x:v>
      </x:c>
      <x:c r="BE20" s="255" t="str">
        <x:v>-3</x:v>
      </x:c>
      <x:c r="BF20" s="255" t="str">
        <x:v>-23</x:v>
      </x:c>
      <x:c r="BG20" s="255" t="str">
        <x:v>0.000766799901612103</x:v>
      </x:c>
      <x:c r="BH20" s="255" t="str">
        <x:v>0.8928571428571429</x:v>
      </x:c>
      <x:c r="BI20" s="255" t="str">
        <x:v>58</x:v>
      </x:c>
      <x:c r="BJ20" s="255" t="str">
        <x:v>38</x:v>
      </x:c>
      <x:c r="BK20" s="255" t="str">
        <x:v>collision</x:v>
      </x:c>
      <x:c r="BL20" s="255" t="str">
        <x:v>entropy</x:v>
      </x:c>
      <x:c r="BM20" s="255" t="str">
        <x:v>none</x:v>
      </x:c>
      <x:c r="BN20" s="255" t="str">
        <x:v>24</x:v>
      </x:c>
      <x:c r="BO20" s="255" t="str">
        <x:v>24</x:v>
      </x:c>
      <x:c r="BP20" s="255" t="str">
        <x:v>0.18551850004587322</x:v>
      </x:c>
      <x:c r="BQ20" s="255" t="str">
        <x:v>True</x:v>
      </x:c>
      <x:c r="BR20" s="255" t="str">
        <x:v>23</x:v>
      </x:c>
      <x:c r="BS20" s="255" t="str">
        <x:v>23</x:v>
      </x:c>
      <x:c r="BT20" s="255" t="str">
        <x:v>0.1765906000509858</x:v>
      </x:c>
      <x:c r="BU20" s="255" t="str">
        <x:v>True</x:v>
      </x:c>
      <x:c r="BV20" s="255" t="str">
        <x:v>True</x:v>
      </x:c>
      <x:c r="BW20" s="255" t="str">
        <x:v>-1</x:v>
      </x:c>
      <x:c r="BX20" s="255" t="str">
        <x:v>-1</x:v>
      </x:c>
      <x:c r="BY20" s="255" t="str">
        <x:v>-0.008927899994887412</x:v>
      </x:c>
      <x:c r="BZ20" s="255" t="str">
        <x:v>0.9583333333333334</x:v>
      </x:c>
      <x:c r="CA20" s="255" t="str">
        <x:v>0</x:v>
      </x:c>
      <x:c r="CB20" s="255" t="str">
        <x:v>0</x:v>
      </x:c>
      <x:c r="CC20" s="255" t="str">
        <x:v>collision</x:v>
      </x:c>
      <x:c r="CD20" s="255" t="str">
        <x:v>collision</x:v>
      </x:c>
      <x:c r="CE20" s="255" t="str">
        <x:v>none</x:v>
      </x:c>
    </x:row>
    <x:row r="21">
      <x:c r="A21" s="255" t="str">
        <x:v>100</x:v>
      </x:c>
      <x:c r="B21" s="255" t="str">
        <x:v>0.5</x:v>
      </x:c>
      <x:c r="C21" s="255" t="str">
        <x:v>2</x:v>
      </x:c>
      <x:c r="D21" s="255" t="str">
        <x:v>1744016034</x:v>
      </x:c>
      <x:c r="E21" s="255" t="str">
        <x:v>2318</x:v>
      </x:c>
      <x:c r="F21" s="255" t="str">
        <x:v>1</x:v>
      </x:c>
      <x:c r="G21" s="255" t="str">
        <x:v>100</x:v>
      </x:c>
      <x:c r="H21" s="255" t="str">
        <x:v>46.36</x:v>
      </x:c>
      <x:c r="I21" s="255" t="str">
        <x:v>0.4682828282828283</x:v>
      </x:c>
      <x:c r="J21" s="255" t="str">
        <x:v>5</x:v>
      </x:c>
      <x:c r="K21" s="255" t="str">
        <x:v>circle_collision,circle_entropy,zoomed_collision,zoomed_entropy,ich_collision,ich_entropy,grid_collision,grid_entropy</x:v>
      </x:c>
      <x:c r="L21" s="255" t="str">
        <x:v>61</x:v>
      </x:c>
      <x:c r="M21" s="255" t="str">
        <x:v>26</x:v>
      </x:c>
      <x:c r="N21" s="255" t="str">
        <x:v>0.11670250003226101</x:v>
      </x:c>
      <x:c r="O21" s="255" t="str">
        <x:v>True</x:v>
      </x:c>
      <x:c r="P21" s="255" t="str">
        <x:v>24</x:v>
      </x:c>
      <x:c r="Q21" s="255" t="str">
        <x:v>22</x:v>
      </x:c>
      <x:c r="R21" s="255" t="str">
        <x:v>0.08748419990297407</x:v>
      </x:c>
      <x:c r="S21" s="255" t="str">
        <x:v>True</x:v>
      </x:c>
      <x:c r="T21" s="255" t="str">
        <x:v>True</x:v>
      </x:c>
      <x:c r="U21" s="255" t="str">
        <x:v>-4</x:v>
      </x:c>
      <x:c r="V21" s="255" t="str">
        <x:v>-37</x:v>
      </x:c>
      <x:c r="W21" s="255" t="str">
        <x:v>-0.029218300129286945</x:v>
      </x:c>
      <x:c r="X21" s="255" t="str">
        <x:v>0.8461538461538461</x:v>
      </x:c>
      <x:c r="Y21" s="255" t="str">
        <x:v>35</x:v>
      </x:c>
      <x:c r="Z21" s="255" t="str">
        <x:v>2</x:v>
      </x:c>
      <x:c r="AA21" s="255" t="str">
        <x:v>collision</x:v>
      </x:c>
      <x:c r="AB21" s="255" t="str">
        <x:v>collision</x:v>
      </x:c>
      <x:c r="AC21" s="255" t="str">
        <x:v>none</x:v>
      </x:c>
      <x:c r="AD21" s="255" t="str">
        <x:v>78</x:v>
      </x:c>
      <x:c r="AE21" s="255" t="str">
        <x:v>29</x:v>
      </x:c>
      <x:c r="AF21" s="255" t="str">
        <x:v>0.027047100011259317</x:v>
      </x:c>
      <x:c r="AG21" s="255" t="str">
        <x:v>True</x:v>
      </x:c>
      <x:c r="AH21" s="255" t="str">
        <x:v>64</x:v>
      </x:c>
      <x:c r="AI21" s="255" t="str">
        <x:v>27</x:v>
      </x:c>
      <x:c r="AJ21" s="255" t="str">
        <x:v>0.023370999959297478</x:v>
      </x:c>
      <x:c r="AK21" s="255" t="str">
        <x:v>True</x:v>
      </x:c>
      <x:c r="AL21" s="255" t="str">
        <x:v>True</x:v>
      </x:c>
      <x:c r="AM21" s="255" t="str">
        <x:v>-2</x:v>
      </x:c>
      <x:c r="AN21" s="255" t="str">
        <x:v>-14</x:v>
      </x:c>
      <x:c r="AO21" s="255" t="str">
        <x:v>-0.003676100051961839</x:v>
      </x:c>
      <x:c r="AP21" s="255" t="str">
        <x:v>0.9310344827586207</x:v>
      </x:c>
      <x:c r="AQ21" s="255" t="str">
        <x:v>49</x:v>
      </x:c>
      <x:c r="AR21" s="255" t="str">
        <x:v>37</x:v>
      </x:c>
      <x:c r="AS21" s="255" t="str">
        <x:v>collision</x:v>
      </x:c>
      <x:c r="AT21" s="255" t="str">
        <x:v>collision</x:v>
      </x:c>
      <x:c r="AU21" s="255" t="str">
        <x:v>none</x:v>
      </x:c>
      <x:c r="AV21" s="255" t="str">
        <x:v>75</x:v>
      </x:c>
      <x:c r="AW21" s="255" t="str">
        <x:v>28</x:v>
      </x:c>
      <x:c r="AX21" s="255" t="str">
        <x:v>0.04803089995402843</x:v>
      </x:c>
      <x:c r="AY21" s="255" t="str">
        <x:v>True</x:v>
      </x:c>
      <x:c r="AZ21" s="255" t="str">
        <x:v>42</x:v>
      </x:c>
      <x:c r="BA21" s="255" t="str">
        <x:v>29</x:v>
      </x:c>
      <x:c r="BB21" s="255" t="str">
        <x:v>0.035702900029718876</x:v>
      </x:c>
      <x:c r="BC21" s="255" t="str">
        <x:v>True</x:v>
      </x:c>
      <x:c r="BD21" s="255" t="str">
        <x:v>True</x:v>
      </x:c>
      <x:c r="BE21" s="255" t="str">
        <x:v>1</x:v>
      </x:c>
      <x:c r="BF21" s="255" t="str">
        <x:v>-33</x:v>
      </x:c>
      <x:c r="BG21" s="255" t="str">
        <x:v>-0.012327999924309552</x:v>
      </x:c>
      <x:c r="BH21" s="255" t="str">
        <x:v>1.0357142857142858</x:v>
      </x:c>
      <x:c r="BI21" s="255" t="str">
        <x:v>47</x:v>
      </x:c>
      <x:c r="BJ21" s="255" t="str">
        <x:v>13</x:v>
      </x:c>
      <x:c r="BK21" s="255" t="str">
        <x:v>entropy</x:v>
      </x:c>
      <x:c r="BL21" s="255" t="str">
        <x:v>collision</x:v>
      </x:c>
      <x:c r="BM21" s="255" t="str">
        <x:v>none</x:v>
      </x:c>
      <x:c r="BN21" s="255" t="str">
        <x:v>24</x:v>
      </x:c>
      <x:c r="BO21" s="255" t="str">
        <x:v>24</x:v>
      </x:c>
      <x:c r="BP21" s="255" t="str">
        <x:v>0.19860300002619624</x:v>
      </x:c>
      <x:c r="BQ21" s="255" t="str">
        <x:v>True</x:v>
      </x:c>
      <x:c r="BR21" s="255" t="str">
        <x:v>22</x:v>
      </x:c>
      <x:c r="BS21" s="255" t="str">
        <x:v>22</x:v>
      </x:c>
      <x:c r="BT21" s="255" t="str">
        <x:v>0.1615225999848917</x:v>
      </x:c>
      <x:c r="BU21" s="255" t="str">
        <x:v>True</x:v>
      </x:c>
      <x:c r="BV21" s="255" t="str">
        <x:v>True</x:v>
      </x:c>
      <x:c r="BW21" s="255" t="str">
        <x:v>-2</x:v>
      </x:c>
      <x:c r="BX21" s="255" t="str">
        <x:v>-2</x:v>
      </x:c>
      <x:c r="BY21" s="255" t="str">
        <x:v>-0.03708040004130453</x:v>
      </x:c>
      <x:c r="BZ21" s="255" t="str">
        <x:v>0.9166666666666666</x:v>
      </x:c>
      <x:c r="CA21" s="255" t="str">
        <x:v>0</x:v>
      </x:c>
      <x:c r="CB21" s="255" t="str">
        <x:v>0</x:v>
      </x:c>
      <x:c r="CC21" s="255" t="str">
        <x:v>collision</x:v>
      </x:c>
      <x:c r="CD21" s="255" t="str">
        <x:v>collision</x:v>
      </x:c>
      <x:c r="CE21" s="255" t="str">
        <x:v>none</x:v>
      </x:c>
    </x:row>
    <x:row r="22">
      <x:c r="A22" s="255" t="str">
        <x:v>100</x:v>
      </x:c>
      <x:c r="B22" s="255" t="str">
        <x:v>0.5</x:v>
      </x:c>
      <x:c r="C22" s="255" t="str">
        <x:v>3</x:v>
      </x:c>
      <x:c r="D22" s="255" t="str">
        <x:v>2509545635</x:v>
      </x:c>
      <x:c r="E22" s="255" t="str">
        <x:v>2433</x:v>
      </x:c>
      <x:c r="F22" s="255" t="str">
        <x:v>1</x:v>
      </x:c>
      <x:c r="G22" s="255" t="str">
        <x:v>100</x:v>
      </x:c>
      <x:c r="H22" s="255" t="str">
        <x:v>48.66</x:v>
      </x:c>
      <x:c r="I22" s="255" t="str">
        <x:v>0.4915151515151515</x:v>
      </x:c>
      <x:c r="J22" s="255" t="str">
        <x:v>5</x:v>
      </x:c>
      <x:c r="K22" s="255" t="str">
        <x:v>zoomed_entropy,zoomed_collision,ich_entropy,ich_collision,grid_entropy,grid_collision,circle_entropy,circle_collision</x:v>
      </x:c>
      <x:c r="L22" s="255" t="str">
        <x:v>80</x:v>
      </x:c>
      <x:c r="M22" s="255" t="str">
        <x:v>23</x:v>
      </x:c>
      <x:c r="N22" s="255" t="str">
        <x:v>0.12261160009074956</x:v>
      </x:c>
      <x:c r="O22" s="255" t="str">
        <x:v>True</x:v>
      </x:c>
      <x:c r="P22" s="255" t="str">
        <x:v>21</x:v>
      </x:c>
      <x:c r="Q22" s="255" t="str">
        <x:v>21</x:v>
      </x:c>
      <x:c r="R22" s="255" t="str">
        <x:v>0.07020519999787211</x:v>
      </x:c>
      <x:c r="S22" s="255" t="str">
        <x:v>True</x:v>
      </x:c>
      <x:c r="T22" s="255" t="str">
        <x:v>True</x:v>
      </x:c>
      <x:c r="U22" s="255" t="str">
        <x:v>-2</x:v>
      </x:c>
      <x:c r="V22" s="255" t="str">
        <x:v>-59</x:v>
      </x:c>
      <x:c r="W22" s="255" t="str">
        <x:v>-0.05240640009287745</x:v>
      </x:c>
      <x:c r="X22" s="255" t="str">
        <x:v>0.9130434782608695</x:v>
      </x:c>
      <x:c r="Y22" s="255" t="str">
        <x:v>57</x:v>
      </x:c>
      <x:c r="Z22" s="255" t="str">
        <x:v>0</x:v>
      </x:c>
      <x:c r="AA22" s="255" t="str">
        <x:v>collision</x:v>
      </x:c>
      <x:c r="AB22" s="255" t="str">
        <x:v>collision</x:v>
      </x:c>
      <x:c r="AC22" s="255" t="str">
        <x:v>none</x:v>
      </x:c>
      <x:c r="AD22" s="255" t="str">
        <x:v>78</x:v>
      </x:c>
      <x:c r="AE22" s="255" t="str">
        <x:v>23</x:v>
      </x:c>
      <x:c r="AF22" s="255" t="str">
        <x:v>0.02808059996459633</x:v>
      </x:c>
      <x:c r="AG22" s="255" t="str">
        <x:v>True</x:v>
      </x:c>
      <x:c r="AH22" s="255" t="str">
        <x:v>59</x:v>
      </x:c>
      <x:c r="AI22" s="255" t="str">
        <x:v>26</x:v>
      </x:c>
      <x:c r="AJ22" s="255" t="str">
        <x:v>0.020969699951820076</x:v>
      </x:c>
      <x:c r="AK22" s="255" t="str">
        <x:v>True</x:v>
      </x:c>
      <x:c r="AL22" s="255" t="str">
        <x:v>True</x:v>
      </x:c>
      <x:c r="AM22" s="255" t="str">
        <x:v>3</x:v>
      </x:c>
      <x:c r="AN22" s="255" t="str">
        <x:v>-19</x:v>
      </x:c>
      <x:c r="AO22" s="255" t="str">
        <x:v>-0.007110900012776256</x:v>
      </x:c>
      <x:c r="AP22" s="255" t="str">
        <x:v>1.1304347826086956</x:v>
      </x:c>
      <x:c r="AQ22" s="255" t="str">
        <x:v>55</x:v>
      </x:c>
      <x:c r="AR22" s="255" t="str">
        <x:v>33</x:v>
      </x:c>
      <x:c r="AS22" s="255" t="str">
        <x:v>entropy</x:v>
      </x:c>
      <x:c r="AT22" s="255" t="str">
        <x:v>collision</x:v>
      </x:c>
      <x:c r="AU22" s="255" t="str">
        <x:v>none</x:v>
      </x:c>
      <x:c r="AV22" s="255" t="str">
        <x:v>73</x:v>
      </x:c>
      <x:c r="AW22" s="255" t="str">
        <x:v>25</x:v>
      </x:c>
      <x:c r="AX22" s="255" t="str">
        <x:v>0.06129390001296997</x:v>
      </x:c>
      <x:c r="AY22" s="255" t="str">
        <x:v>True</x:v>
      </x:c>
      <x:c r="AZ22" s="255" t="str">
        <x:v>43</x:v>
      </x:c>
      <x:c r="BA22" s="255" t="str">
        <x:v>24</x:v>
      </x:c>
      <x:c r="BB22" s="255" t="str">
        <x:v>0.04773089999798685</x:v>
      </x:c>
      <x:c r="BC22" s="255" t="str">
        <x:v>True</x:v>
      </x:c>
      <x:c r="BD22" s="255" t="str">
        <x:v>True</x:v>
      </x:c>
      <x:c r="BE22" s="255" t="str">
        <x:v>-1</x:v>
      </x:c>
      <x:c r="BF22" s="255" t="str">
        <x:v>-30</x:v>
      </x:c>
      <x:c r="BG22" s="255" t="str">
        <x:v>-0.013563000014983118</x:v>
      </x:c>
      <x:c r="BH22" s="255" t="str">
        <x:v>0.96</x:v>
      </x:c>
      <x:c r="BI22" s="255" t="str">
        <x:v>48</x:v>
      </x:c>
      <x:c r="BJ22" s="255" t="str">
        <x:v>19</x:v>
      </x:c>
      <x:c r="BK22" s="255" t="str">
        <x:v>collision</x:v>
      </x:c>
      <x:c r="BL22" s="255" t="str">
        <x:v>collision</x:v>
      </x:c>
      <x:c r="BM22" s="255" t="str">
        <x:v>none</x:v>
      </x:c>
      <x:c r="BN22" s="255" t="str">
        <x:v>22</x:v>
      </x:c>
      <x:c r="BO22" s="255" t="str">
        <x:v>22</x:v>
      </x:c>
      <x:c r="BP22" s="255" t="str">
        <x:v>0.1866517000598833</x:v>
      </x:c>
      <x:c r="BQ22" s="255" t="str">
        <x:v>True</x:v>
      </x:c>
      <x:c r="BR22" s="255" t="str">
        <x:v>21</x:v>
      </x:c>
      <x:c r="BS22" s="255" t="str">
        <x:v>21</x:v>
      </x:c>
      <x:c r="BT22" s="255" t="str">
        <x:v>0.15347679995466024</x:v>
      </x:c>
      <x:c r="BU22" s="255" t="str">
        <x:v>True</x:v>
      </x:c>
      <x:c r="BV22" s="255" t="str">
        <x:v>True</x:v>
      </x:c>
      <x:c r="BW22" s="255" t="str">
        <x:v>-1</x:v>
      </x:c>
      <x:c r="BX22" s="255" t="str">
        <x:v>-1</x:v>
      </x:c>
      <x:c r="BY22" s="255" t="str">
        <x:v>-0.03317490010522306</x:v>
      </x:c>
      <x:c r="BZ22" s="255" t="str">
        <x:v>0.9545454545454546</x:v>
      </x:c>
      <x:c r="CA22" s="255" t="str">
        <x:v>0</x:v>
      </x:c>
      <x:c r="CB22" s="255" t="str">
        <x:v>0</x:v>
      </x:c>
      <x:c r="CC22" s="255" t="str">
        <x:v>collision</x:v>
      </x:c>
      <x:c r="CD22" s="255" t="str">
        <x:v>collision</x:v>
      </x:c>
      <x:c r="CE22" s="255" t="str">
        <x:v>none</x:v>
      </x:c>
    </x:row>
    <x:row r="23">
      <x:c r="A23" s="255" t="str">
        <x:v>100</x:v>
      </x:c>
      <x:c r="B23" s="255" t="str">
        <x:v>0.7</x:v>
      </x:c>
      <x:c r="C23" s="255" t="str">
        <x:v>1</x:v>
      </x:c>
      <x:c r="D23" s="255" t="str">
        <x:v>388144498</x:v>
      </x:c>
      <x:c r="E23" s="255" t="str">
        <x:v>3654</x:v>
      </x:c>
      <x:c r="F23" s="255" t="str">
        <x:v>1</x:v>
      </x:c>
      <x:c r="G23" s="255" t="str">
        <x:v>100</x:v>
      </x:c>
      <x:c r="H23" s="255" t="str">
        <x:v>73.08</x:v>
      </x:c>
      <x:c r="I23" s="255" t="str">
        <x:v>0.7381818181818182</x:v>
      </x:c>
      <x:c r="J23" s="255" t="str">
        <x:v>5</x:v>
      </x:c>
      <x:c r="K23" s="255" t="str">
        <x:v>grid_entropy,grid_collision,circle_entropy,circle_collision,zoomed_entropy,zoomed_collision,ich_entropy,ich_collision</x:v>
      </x:c>
      <x:c r="L23" s="255" t="str">
        <x:v>83</x:v>
      </x:c>
      <x:c r="M23" s="255" t="str">
        <x:v>34</x:v>
      </x:c>
      <x:c r="N23" s="255" t="str">
        <x:v>0.13773059996310622</x:v>
      </x:c>
      <x:c r="O23" s="255" t="str">
        <x:v>True</x:v>
      </x:c>
      <x:c r="P23" s="255" t="str">
        <x:v>30</x:v>
      </x:c>
      <x:c r="Q23" s="255" t="str">
        <x:v>29</x:v>
      </x:c>
      <x:c r="R23" s="255" t="str">
        <x:v>0.11655250005424023</x:v>
      </x:c>
      <x:c r="S23" s="255" t="str">
        <x:v>True</x:v>
      </x:c>
      <x:c r="T23" s="255" t="str">
        <x:v>True</x:v>
      </x:c>
      <x:c r="U23" s="255" t="str">
        <x:v>-5</x:v>
      </x:c>
      <x:c r="V23" s="255" t="str">
        <x:v>-53</x:v>
      </x:c>
      <x:c r="W23" s="255" t="str">
        <x:v>-0.021178099908865988</x:v>
      </x:c>
      <x:c r="X23" s="255" t="str">
        <x:v>0.8529411764705882</x:v>
      </x:c>
      <x:c r="Y23" s="255" t="str">
        <x:v>49</x:v>
      </x:c>
      <x:c r="Z23" s="255" t="str">
        <x:v>1</x:v>
      </x:c>
      <x:c r="AA23" s="255" t="str">
        <x:v>collision</x:v>
      </x:c>
      <x:c r="AB23" s="255" t="str">
        <x:v>collision</x:v>
      </x:c>
      <x:c r="AC23" s="255" t="str">
        <x:v>none</x:v>
      </x:c>
      <x:c r="AD23" s="255" t="str">
        <x:v>87</x:v>
      </x:c>
      <x:c r="AE23" s="255" t="str">
        <x:v>37</x:v>
      </x:c>
      <x:c r="AF23" s="255" t="str">
        <x:v>0.04257950000464916</x:v>
      </x:c>
      <x:c r="AG23" s="255" t="str">
        <x:v>True</x:v>
      </x:c>
      <x:c r="AH23" s="255" t="str">
        <x:v>79</x:v>
      </x:c>
      <x:c r="AI23" s="255" t="str">
        <x:v>36</x:v>
      </x:c>
      <x:c r="AJ23" s="255" t="str">
        <x:v>0.04316319990903139</x:v>
      </x:c>
      <x:c r="AK23" s="255" t="str">
        <x:v>True</x:v>
      </x:c>
      <x:c r="AL23" s="255" t="str">
        <x:v>True</x:v>
      </x:c>
      <x:c r="AM23" s="255" t="str">
        <x:v>-1</x:v>
      </x:c>
      <x:c r="AN23" s="255" t="str">
        <x:v>-8</x:v>
      </x:c>
      <x:c r="AO23" s="255" t="str">
        <x:v>0.0005836999043822289</x:v>
      </x:c>
      <x:c r="AP23" s="255" t="str">
        <x:v>0.972972972972973</x:v>
      </x:c>
      <x:c r="AQ23" s="255" t="str">
        <x:v>50</x:v>
      </x:c>
      <x:c r="AR23" s="255" t="str">
        <x:v>43</x:v>
      </x:c>
      <x:c r="AS23" s="255" t="str">
        <x:v>collision</x:v>
      </x:c>
      <x:c r="AT23" s="255" t="str">
        <x:v>entropy</x:v>
      </x:c>
      <x:c r="AU23" s="255" t="str">
        <x:v>none</x:v>
      </x:c>
      <x:c r="AV23" s="255" t="str">
        <x:v>97</x:v>
      </x:c>
      <x:c r="AW23" s="255" t="str">
        <x:v>36</x:v>
      </x:c>
      <x:c r="AX23" s="255" t="str">
        <x:v>0.08080880006309599</x:v>
      </x:c>
      <x:c r="AY23" s="255" t="str">
        <x:v>True</x:v>
      </x:c>
      <x:c r="AZ23" s="255" t="str">
        <x:v>57</x:v>
      </x:c>
      <x:c r="BA23" s="255" t="str">
        <x:v>34</x:v>
      </x:c>
      <x:c r="BB23" s="255" t="str">
        <x:v>0.0668173999292776</x:v>
      </x:c>
      <x:c r="BC23" s="255" t="str">
        <x:v>True</x:v>
      </x:c>
      <x:c r="BD23" s="255" t="str">
        <x:v>True</x:v>
      </x:c>
      <x:c r="BE23" s="255" t="str">
        <x:v>-2</x:v>
      </x:c>
      <x:c r="BF23" s="255" t="str">
        <x:v>-40</x:v>
      </x:c>
      <x:c r="BG23" s="255" t="str">
        <x:v>-0.013991400133818388</x:v>
      </x:c>
      <x:c r="BH23" s="255" t="str">
        <x:v>0.9444444444444444</x:v>
      </x:c>
      <x:c r="BI23" s="255" t="str">
        <x:v>61</x:v>
      </x:c>
      <x:c r="BJ23" s="255" t="str">
        <x:v>23</x:v>
      </x:c>
      <x:c r="BK23" s="255" t="str">
        <x:v>collision</x:v>
      </x:c>
      <x:c r="BL23" s="255" t="str">
        <x:v>collision</x:v>
      </x:c>
      <x:c r="BM23" s="255" t="str">
        <x:v>none</x:v>
      </x:c>
      <x:c r="BN23" s="255" t="str">
        <x:v>30</x:v>
      </x:c>
      <x:c r="BO23" s="255" t="str">
        <x:v>30</x:v>
      </x:c>
      <x:c r="BP23" s="255" t="str">
        <x:v>0.21950730006210506</x:v>
      </x:c>
      <x:c r="BQ23" s="255" t="str">
        <x:v>True</x:v>
      </x:c>
      <x:c r="BR23" s="255" t="str">
        <x:v>30</x:v>
      </x:c>
      <x:c r="BS23" s="255" t="str">
        <x:v>30</x:v>
      </x:c>
      <x:c r="BT23" s="255" t="str">
        <x:v>0.20186239993199706</x:v>
      </x:c>
      <x:c r="BU23" s="255" t="str">
        <x:v>True</x:v>
      </x:c>
      <x:c r="BV23" s="255" t="str">
        <x:v>True</x:v>
      </x:c>
      <x:c r="BW23" s="255" t="str">
        <x:v>0</x:v>
      </x:c>
      <x:c r="BX23" s="255" t="str">
        <x:v>0</x:v>
      </x:c>
      <x:c r="BY23" s="255" t="str">
        <x:v>-0.017644900130108</x:v>
      </x:c>
      <x:c r="BZ23" s="255" t="str">
        <x:v>1.0</x:v>
      </x:c>
      <x:c r="CA23" s="255" t="str">
        <x:v>0</x:v>
      </x:c>
      <x:c r="CB23" s="255" t="str">
        <x:v>0</x:v>
      </x:c>
      <x:c r="CC23" s="255" t="str">
        <x:v>tie</x:v>
      </x:c>
      <x:c r="CD23" s="255" t="str">
        <x:v>collision</x:v>
      </x:c>
      <x:c r="CE23" s="255" t="str">
        <x:v>none</x:v>
      </x:c>
    </x:row>
    <x:row r="24">
      <x:c r="A24" s="255" t="str">
        <x:v>100</x:v>
      </x:c>
      <x:c r="B24" s="255" t="str">
        <x:v>0.7</x:v>
      </x:c>
      <x:c r="C24" s="255" t="str">
        <x:v>2</x:v>
      </x:c>
      <x:c r="D24" s="255" t="str">
        <x:v>2882482730</x:v>
      </x:c>
      <x:c r="E24" s="255" t="str">
        <x:v>3580</x:v>
      </x:c>
      <x:c r="F24" s="255" t="str">
        <x:v>1</x:v>
      </x:c>
      <x:c r="G24" s="255" t="str">
        <x:v>100</x:v>
      </x:c>
      <x:c r="H24" s="255" t="str">
        <x:v>71.6</x:v>
      </x:c>
      <x:c r="I24" s="255" t="str">
        <x:v>0.7232323232323232</x:v>
      </x:c>
      <x:c r="J24" s="255" t="str">
        <x:v>5</x:v>
      </x:c>
      <x:c r="K24" s="255" t="str">
        <x:v>circle_collision,circle_entropy,zoomed_collision,zoomed_entropy,ich_collision,ich_entropy,grid_collision,grid_entropy</x:v>
      </x:c>
      <x:c r="L24" s="255" t="str">
        <x:v>80</x:v>
      </x:c>
      <x:c r="M24" s="255" t="str">
        <x:v>31</x:v>
      </x:c>
      <x:c r="N24" s="255" t="str">
        <x:v>0.13903030008077621</x:v>
      </x:c>
      <x:c r="O24" s="255" t="str">
        <x:v>True</x:v>
      </x:c>
      <x:c r="P24" s="255" t="str">
        <x:v>33</x:v>
      </x:c>
      <x:c r="Q24" s="255" t="str">
        <x:v>32</x:v>
      </x:c>
      <x:c r="R24" s="255" t="str">
        <x:v>0.105930499965325</x:v>
      </x:c>
      <x:c r="S24" s="255" t="str">
        <x:v>True</x:v>
      </x:c>
      <x:c r="T24" s="255" t="str">
        <x:v>True</x:v>
      </x:c>
      <x:c r="U24" s="255" t="str">
        <x:v>1</x:v>
      </x:c>
      <x:c r="V24" s="255" t="str">
        <x:v>-47</x:v>
      </x:c>
      <x:c r="W24" s="255" t="str">
        <x:v>-0.03309980011545122</x:v>
      </x:c>
      <x:c r="X24" s="255" t="str">
        <x:v>1.032258064516129</x:v>
      </x:c>
      <x:c r="Y24" s="255" t="str">
        <x:v>49</x:v>
      </x:c>
      <x:c r="Z24" s="255" t="str">
        <x:v>1</x:v>
      </x:c>
      <x:c r="AA24" s="255" t="str">
        <x:v>entropy</x:v>
      </x:c>
      <x:c r="AB24" s="255" t="str">
        <x:v>collision</x:v>
      </x:c>
      <x:c r="AC24" s="255" t="str">
        <x:v>none</x:v>
      </x:c>
      <x:c r="AD24" s="255" t="str">
        <x:v>76</x:v>
      </x:c>
      <x:c r="AE24" s="255" t="str">
        <x:v>43</x:v>
      </x:c>
      <x:c r="AF24" s="255" t="str">
        <x:v>0.06621590000577271</x:v>
      </x:c>
      <x:c r="AG24" s="255" t="str">
        <x:v>True</x:v>
      </x:c>
      <x:c r="AH24" s="255" t="str">
        <x:v>85</x:v>
      </x:c>
      <x:c r="AI24" s="255" t="str">
        <x:v>41</x:v>
      </x:c>
      <x:c r="AJ24" s="255" t="str">
        <x:v>0.059011599980294704</x:v>
      </x:c>
      <x:c r="AK24" s="255" t="str">
        <x:v>True</x:v>
      </x:c>
      <x:c r="AL24" s="255" t="str">
        <x:v>True</x:v>
      </x:c>
      <x:c r="AM24" s="255" t="str">
        <x:v>-2</x:v>
      </x:c>
      <x:c r="AN24" s="255" t="str">
        <x:v>9</x:v>
      </x:c>
      <x:c r="AO24" s="255" t="str">
        <x:v>-0.007204300025478005</x:v>
      </x:c>
      <x:c r="AP24" s="255" t="str">
        <x:v>0.9534883720930233</x:v>
      </x:c>
      <x:c r="AQ24" s="255" t="str">
        <x:v>33</x:v>
      </x:c>
      <x:c r="AR24" s="255" t="str">
        <x:v>44</x:v>
      </x:c>
      <x:c r="AS24" s="255" t="str">
        <x:v>collision</x:v>
      </x:c>
      <x:c r="AT24" s="255" t="str">
        <x:v>collision</x:v>
      </x:c>
      <x:c r="AU24" s="255" t="str">
        <x:v>none</x:v>
      </x:c>
      <x:c r="AV24" s="255" t="str">
        <x:v>81</x:v>
      </x:c>
      <x:c r="AW24" s="255" t="str">
        <x:v>38</x:v>
      </x:c>
      <x:c r="AX24" s="255" t="str">
        <x:v>0.11886440007947385</x:v>
      </x:c>
      <x:c r="AY24" s="255" t="str">
        <x:v>True</x:v>
      </x:c>
      <x:c r="AZ24" s="255" t="str">
        <x:v>39</x:v>
      </x:c>
      <x:c r="BA24" s="255" t="str">
        <x:v>38</x:v>
      </x:c>
      <x:c r="BB24" s="255" t="str">
        <x:v>0.09590970003046095</x:v>
      </x:c>
      <x:c r="BC24" s="255" t="str">
        <x:v>True</x:v>
      </x:c>
      <x:c r="BD24" s="255" t="str">
        <x:v>True</x:v>
      </x:c>
      <x:c r="BE24" s="255" t="str">
        <x:v>0</x:v>
      </x:c>
      <x:c r="BF24" s="255" t="str">
        <x:v>-42</x:v>
      </x:c>
      <x:c r="BG24" s="255" t="str">
        <x:v>-0.0229547000490129</x:v>
      </x:c>
      <x:c r="BH24" s="255" t="str">
        <x:v>1.0</x:v>
      </x:c>
      <x:c r="BI24" s="255" t="str">
        <x:v>43</x:v>
      </x:c>
      <x:c r="BJ24" s="255" t="str">
        <x:v>1</x:v>
      </x:c>
      <x:c r="BK24" s="255" t="str">
        <x:v>tie</x:v>
      </x:c>
      <x:c r="BL24" s="255" t="str">
        <x:v>collision</x:v>
      </x:c>
      <x:c r="BM24" s="255" t="str">
        <x:v>none</x:v>
      </x:c>
      <x:c r="BN24" s="255" t="str">
        <x:v>31</x:v>
      </x:c>
      <x:c r="BO24" s="255" t="str">
        <x:v>31</x:v>
      </x:c>
      <x:c r="BP24" s="255" t="str">
        <x:v>0.23325010004919022</x:v>
      </x:c>
      <x:c r="BQ24" s="255" t="str">
        <x:v>True</x:v>
      </x:c>
      <x:c r="BR24" s="255" t="str">
        <x:v>31</x:v>
      </x:c>
      <x:c r="BS24" s="255" t="str">
        <x:v>31</x:v>
      </x:c>
      <x:c r="BT24" s="255" t="str">
        <x:v>0.24480499990750104</x:v>
      </x:c>
      <x:c r="BU24" s="255" t="str">
        <x:v>True</x:v>
      </x:c>
      <x:c r="BV24" s="255" t="str">
        <x:v>True</x:v>
      </x:c>
      <x:c r="BW24" s="255" t="str">
        <x:v>0</x:v>
      </x:c>
      <x:c r="BX24" s="255" t="str">
        <x:v>0</x:v>
      </x:c>
      <x:c r="BY24" s="255" t="str">
        <x:v>0.011554899858310819</x:v>
      </x:c>
      <x:c r="BZ24" s="255" t="str">
        <x:v>1.0</x:v>
      </x:c>
      <x:c r="CA24" s="255" t="str">
        <x:v>0</x:v>
      </x:c>
      <x:c r="CB24" s="255" t="str">
        <x:v>0</x:v>
      </x:c>
      <x:c r="CC24" s="255" t="str">
        <x:v>tie</x:v>
      </x:c>
      <x:c r="CD24" s="255" t="str">
        <x:v>entropy</x:v>
      </x:c>
      <x:c r="CE24" s="255" t="str">
        <x:v>none</x:v>
      </x:c>
    </x:row>
    <x:row r="25">
      <x:c r="A25" s="255" t="str">
        <x:v>100</x:v>
      </x:c>
      <x:c r="B25" s="255" t="str">
        <x:v>0.7</x:v>
      </x:c>
      <x:c r="C25" s="255" t="str">
        <x:v>3</x:v>
      </x:c>
      <x:c r="D25" s="255" t="str">
        <x:v>4029645260</x:v>
      </x:c>
      <x:c r="E25" s="255" t="str">
        <x:v>3743</x:v>
      </x:c>
      <x:c r="F25" s="255" t="str">
        <x:v>1</x:v>
      </x:c>
      <x:c r="G25" s="255" t="str">
        <x:v>100</x:v>
      </x:c>
      <x:c r="H25" s="255" t="str">
        <x:v>74.86</x:v>
      </x:c>
      <x:c r="I25" s="255" t="str">
        <x:v>0.7561616161616161</x:v>
      </x:c>
      <x:c r="J25" s="255" t="str">
        <x:v>5</x:v>
      </x:c>
      <x:c r="K25" s="255" t="str">
        <x:v>zoomed_entropy,zoomed_collision,ich_entropy,ich_collision,grid_entropy,grid_collision,circle_entropy,circle_collision</x:v>
      </x:c>
      <x:c r="L25" s="255" t="str">
        <x:v>83</x:v>
      </x:c>
      <x:c r="M25" s="255" t="str">
        <x:v>37</x:v>
      </x:c>
      <x:c r="N25" s="255" t="str">
        <x:v>0.1418143999762833</x:v>
      </x:c>
      <x:c r="O25" s="255" t="str">
        <x:v>True</x:v>
      </x:c>
      <x:c r="P25" s="255" t="str">
        <x:v>37</x:v>
      </x:c>
      <x:c r="Q25" s="255" t="str">
        <x:v>35</x:v>
      </x:c>
      <x:c r="R25" s="255" t="str">
        <x:v>0.1226916000014171</x:v>
      </x:c>
      <x:c r="S25" s="255" t="str">
        <x:v>True</x:v>
      </x:c>
      <x:c r="T25" s="255" t="str">
        <x:v>True</x:v>
      </x:c>
      <x:c r="U25" s="255" t="str">
        <x:v>-2</x:v>
      </x:c>
      <x:c r="V25" s="255" t="str">
        <x:v>-46</x:v>
      </x:c>
      <x:c r="W25" s="255" t="str">
        <x:v>-0.01912279997486621</x:v>
      </x:c>
      <x:c r="X25" s="255" t="str">
        <x:v>0.9459459459459459</x:v>
      </x:c>
      <x:c r="Y25" s="255" t="str">
        <x:v>46</x:v>
      </x:c>
      <x:c r="Z25" s="255" t="str">
        <x:v>2</x:v>
      </x:c>
      <x:c r="AA25" s="255" t="str">
        <x:v>collision</x:v>
      </x:c>
      <x:c r="AB25" s="255" t="str">
        <x:v>collision</x:v>
      </x:c>
      <x:c r="AC25" s="255" t="str">
        <x:v>none</x:v>
      </x:c>
      <x:c r="AD25" s="255" t="str">
        <x:v>85</x:v>
      </x:c>
      <x:c r="AE25" s="255" t="str">
        <x:v>44</x:v>
      </x:c>
      <x:c r="AF25" s="255" t="str">
        <x:v>0.06153230008203536</x:v>
      </x:c>
      <x:c r="AG25" s="255" t="str">
        <x:v>True</x:v>
      </x:c>
      <x:c r="AH25" s="255" t="str">
        <x:v>72</x:v>
      </x:c>
      <x:c r="AI25" s="255" t="str">
        <x:v>47</x:v>
      </x:c>
      <x:c r="AJ25" s="255" t="str">
        <x:v>0.06100909993983805</x:v>
      </x:c>
      <x:c r="AK25" s="255" t="str">
        <x:v>True</x:v>
      </x:c>
      <x:c r="AL25" s="255" t="str">
        <x:v>True</x:v>
      </x:c>
      <x:c r="AM25" s="255" t="str">
        <x:v>3</x:v>
      </x:c>
      <x:c r="AN25" s="255" t="str">
        <x:v>-13</x:v>
      </x:c>
      <x:c r="AO25" s="255" t="str">
        <x:v>-0.0005232001421973109</x:v>
      </x:c>
      <x:c r="AP25" s="255" t="str">
        <x:v>1.0681818181818181</x:v>
      </x:c>
      <x:c r="AQ25" s="255" t="str">
        <x:v>41</x:v>
      </x:c>
      <x:c r="AR25" s="255" t="str">
        <x:v>25</x:v>
      </x:c>
      <x:c r="AS25" s="255" t="str">
        <x:v>entropy</x:v>
      </x:c>
      <x:c r="AT25" s="255" t="str">
        <x:v>collision</x:v>
      </x:c>
      <x:c r="AU25" s="255" t="str">
        <x:v>none</x:v>
      </x:c>
      <x:c r="AV25" s="255" t="str">
        <x:v>96</x:v>
      </x:c>
      <x:c r="AW25" s="255" t="str">
        <x:v>39</x:v>
      </x:c>
      <x:c r="AX25" s="255" t="str">
        <x:v>0.08186319994274527</x:v>
      </x:c>
      <x:c r="AY25" s="255" t="str">
        <x:v>True</x:v>
      </x:c>
      <x:c r="AZ25" s="255" t="str">
        <x:v>58</x:v>
      </x:c>
      <x:c r="BA25" s="255" t="str">
        <x:v>36</x:v>
      </x:c>
      <x:c r="BB25" s="255" t="str">
        <x:v>0.08233550004661083</x:v>
      </x:c>
      <x:c r="BC25" s="255" t="str">
        <x:v>True</x:v>
      </x:c>
      <x:c r="BD25" s="255" t="str">
        <x:v>True</x:v>
      </x:c>
      <x:c r="BE25" s="255" t="str">
        <x:v>-3</x:v>
      </x:c>
      <x:c r="BF25" s="255" t="str">
        <x:v>-38</x:v>
      </x:c>
      <x:c r="BG25" s="255" t="str">
        <x:v>0.00047230010386556387</x:v>
      </x:c>
      <x:c r="BH25" s="255" t="str">
        <x:v>0.9230769230769231</x:v>
      </x:c>
      <x:c r="BI25" s="255" t="str">
        <x:v>57</x:v>
      </x:c>
      <x:c r="BJ25" s="255" t="str">
        <x:v>22</x:v>
      </x:c>
      <x:c r="BK25" s="255" t="str">
        <x:v>collision</x:v>
      </x:c>
      <x:c r="BL25" s="255" t="str">
        <x:v>entropy</x:v>
      </x:c>
      <x:c r="BM25" s="255" t="str">
        <x:v>none</x:v>
      </x:c>
      <x:c r="BN25" s="255" t="str">
        <x:v>36</x:v>
      </x:c>
      <x:c r="BO25" s="255" t="str">
        <x:v>36</x:v>
      </x:c>
      <x:c r="BP25" s="255" t="str">
        <x:v>0.30019280000124127</x:v>
      </x:c>
      <x:c r="BQ25" s="255" t="str">
        <x:v>True</x:v>
      </x:c>
      <x:c r="BR25" s="255" t="str">
        <x:v>36</x:v>
      </x:c>
      <x:c r="BS25" s="255" t="str">
        <x:v>36</x:v>
      </x:c>
      <x:c r="BT25" s="255" t="str">
        <x:v>0.21963329997379333</x:v>
      </x:c>
      <x:c r="BU25" s="255" t="str">
        <x:v>True</x:v>
      </x:c>
      <x:c r="BV25" s="255" t="str">
        <x:v>True</x:v>
      </x:c>
      <x:c r="BW25" s="255" t="str">
        <x:v>0</x:v>
      </x:c>
      <x:c r="BX25" s="255" t="str">
        <x:v>0</x:v>
      </x:c>
      <x:c r="BY25" s="255" t="str">
        <x:v>-0.08055950002744794</x:v>
      </x:c>
      <x:c r="BZ25" s="255" t="str">
        <x:v>1.0</x:v>
      </x:c>
      <x:c r="CA25" s="255" t="str">
        <x:v>0</x:v>
      </x:c>
      <x:c r="CB25" s="255" t="str">
        <x:v>0</x:v>
      </x:c>
      <x:c r="CC25" s="255" t="str">
        <x:v>tie</x:v>
      </x:c>
      <x:c r="CD25" s="255" t="str">
        <x:v>collision</x:v>
      </x:c>
      <x:c r="CE25" s="255" t="str">
        <x:v>none</x:v>
      </x:c>
    </x:row>
    <x:row r="26">
      <x:c r="A26" s="255" t="str">
        <x:v>200</x:v>
      </x:c>
      <x:c r="B26" s="255" t="str">
        <x:v>0.1</x:v>
      </x:c>
      <x:c r="C26" s="255" t="str">
        <x:v>1</x:v>
      </x:c>
      <x:c r="D26" s="255" t="str">
        <x:v>1851999943</x:v>
      </x:c>
      <x:c r="E26" s="255" t="str">
        <x:v>626</x:v>
      </x:c>
      <x:c r="F26" s="255" t="str">
        <x:v>4</x:v>
      </x:c>
      <x:c r="G26" s="255" t="str">
        <x:v>196</x:v>
      </x:c>
      <x:c r="H26" s="255" t="str">
        <x:v>6.26</x:v>
      </x:c>
      <x:c r="I26" s="255" t="str">
        <x:v>0.0314572864321608</x:v>
      </x:c>
      <x:c r="J26" s="255" t="str">
        <x:v>5</x:v>
      </x:c>
      <x:c r="K26" s="255" t="str">
        <x:v>grid_entropy,grid_collision,circle_entropy,circle_collision,zoomed_entropy,zoomed_collision,ich_entropy,ich_collision</x:v>
      </x:c>
      <x:c r="L26" s="255" t="str">
        <x:v>117</x:v>
      </x:c>
      <x:c r="M26" s="255" t="str">
        <x:v>117</x:v>
      </x:c>
      <x:c r="N26" s="255" t="str">
        <x:v>0.03343090007547289</x:v>
      </x:c>
      <x:c r="O26" s="255" t="str">
        <x:v>False</x:v>
      </x:c>
      <x:c r="P26" s="255" t="str">
        <x:v>82</x:v>
      </x:c>
      <x:c r="Q26" s="255" t="str">
        <x:v>82</x:v>
      </x:c>
      <x:c r="R26" s="255" t="str">
        <x:v>0.025929199997335672</x:v>
      </x:c>
      <x:c r="S26" s="255" t="str">
        <x:v>False</x:v>
      </x:c>
      <x:c r="T26" s="255" t="str">
        <x:v>False</x:v>
      </x:c>
      <x:c r="U26" s="255" t="str">
        <x:v>-35</x:v>
      </x:c>
      <x:c r="V26" s="255" t="str">
        <x:v>-35</x:v>
      </x:c>
      <x:c r="W26" s="255" t="str">
        <x:v>-0.007501700078137219</x:v>
      </x:c>
      <x:c r="X26" s="255" t="str">
        <x:v>0.7008547008547008</x:v>
      </x:c>
      <x:c r="Y26" s="255" t="str">
        <x:v>0</x:v>
      </x:c>
      <x:c r="Z26" s="255" t="str">
        <x:v>0</x:v>
      </x:c>
      <x:c r="AA26" s="255" t="str">
        <x:v>neither</x:v>
      </x:c>
      <x:c r="AB26" s="255" t="str">
        <x:v>collision</x:v>
      </x:c>
      <x:c r="AC26" s="255" t="str">
        <x:v>none</x:v>
      </x:c>
      <x:c r="AD26" s="255" t="str">
        <x:v>122</x:v>
      </x:c>
      <x:c r="AE26" s="255" t="str">
        <x:v>31</x:v>
      </x:c>
      <x:c r="AF26" s="255" t="str">
        <x:v>0.1056455000070855</x:v>
      </x:c>
      <x:c r="AG26" s="255" t="str">
        <x:v>True</x:v>
      </x:c>
      <x:c r="AH26" s="255" t="str">
        <x:v>111</x:v>
      </x:c>
      <x:c r="AI26" s="255" t="str">
        <x:v>32</x:v>
      </x:c>
      <x:c r="AJ26" s="255" t="str">
        <x:v>0.09225499990861863</x:v>
      </x:c>
      <x:c r="AK26" s="255" t="str">
        <x:v>True</x:v>
      </x:c>
      <x:c r="AL26" s="255" t="str">
        <x:v>True</x:v>
      </x:c>
      <x:c r="AM26" s="255" t="str">
        <x:v>1</x:v>
      </x:c>
      <x:c r="AN26" s="255" t="str">
        <x:v>-11</x:v>
      </x:c>
      <x:c r="AO26" s="255" t="str">
        <x:v>-0.013390500098466873</x:v>
      </x:c>
      <x:c r="AP26" s="255" t="str">
        <x:v>1.032258064516129</x:v>
      </x:c>
      <x:c r="AQ26" s="255" t="str">
        <x:v>91</x:v>
      </x:c>
      <x:c r="AR26" s="255" t="str">
        <x:v>79</x:v>
      </x:c>
      <x:c r="AS26" s="255" t="str">
        <x:v>entropy</x:v>
      </x:c>
      <x:c r="AT26" s="255" t="str">
        <x:v>collision</x:v>
      </x:c>
      <x:c r="AU26" s="255" t="str">
        <x:v>none</x:v>
      </x:c>
      <x:c r="AV26" s="255" t="str">
        <x:v>129</x:v>
      </x:c>
      <x:c r="AW26" s="255" t="str">
        <x:v>33</x:v>
      </x:c>
      <x:c r="AX26" s="255" t="str">
        <x:v>0.10092989995609969</x:v>
      </x:c>
      <x:c r="AY26" s="255" t="str">
        <x:v>True</x:v>
      </x:c>
      <x:c r="AZ26" s="255" t="str">
        <x:v>110</x:v>
      </x:c>
      <x:c r="BA26" s="255" t="str">
        <x:v>32</x:v>
      </x:c>
      <x:c r="BB26" s="255" t="str">
        <x:v>0.09291720006149262</x:v>
      </x:c>
      <x:c r="BC26" s="255" t="str">
        <x:v>True</x:v>
      </x:c>
      <x:c r="BD26" s="255" t="str">
        <x:v>True</x:v>
      </x:c>
      <x:c r="BE26" s="255" t="str">
        <x:v>-1</x:v>
      </x:c>
      <x:c r="BF26" s="255" t="str">
        <x:v>-19</x:v>
      </x:c>
      <x:c r="BG26" s="255" t="str">
        <x:v>-0.008012699894607067</x:v>
      </x:c>
      <x:c r="BH26" s="255" t="str">
        <x:v>0.9696969696969697</x:v>
      </x:c>
      <x:c r="BI26" s="255" t="str">
        <x:v>96</x:v>
      </x:c>
      <x:c r="BJ26" s="255" t="str">
        <x:v>78</x:v>
      </x:c>
      <x:c r="BK26" s="255" t="str">
        <x:v>collision</x:v>
      </x:c>
      <x:c r="BL26" s="255" t="str">
        <x:v>collision</x:v>
      </x:c>
      <x:c r="BM26" s="255" t="str">
        <x:v>none</x:v>
      </x:c>
      <x:c r="BN26" s="255" t="str">
        <x:v>33</x:v>
      </x:c>
      <x:c r="BO26" s="255" t="str">
        <x:v>33</x:v>
      </x:c>
      <x:c r="BP26" s="255" t="str">
        <x:v>1.5109264999628067</x:v>
      </x:c>
      <x:c r="BQ26" s="255" t="str">
        <x:v>True</x:v>
      </x:c>
      <x:c r="BR26" s="255" t="str">
        <x:v>33</x:v>
      </x:c>
      <x:c r="BS26" s="255" t="str">
        <x:v>33</x:v>
      </x:c>
      <x:c r="BT26" s="255" t="str">
        <x:v>1.5220879999687895</x:v>
      </x:c>
      <x:c r="BU26" s="255" t="str">
        <x:v>True</x:v>
      </x:c>
      <x:c r="BV26" s="255" t="str">
        <x:v>True</x:v>
      </x:c>
      <x:c r="BW26" s="255" t="str">
        <x:v>0</x:v>
      </x:c>
      <x:c r="BX26" s="255" t="str">
        <x:v>0</x:v>
      </x:c>
      <x:c r="BY26" s="255" t="str">
        <x:v>0.011161500005982816</x:v>
      </x:c>
      <x:c r="BZ26" s="255" t="str">
        <x:v>1.0</x:v>
      </x:c>
      <x:c r="CA26" s="255" t="str">
        <x:v>0</x:v>
      </x:c>
      <x:c r="CB26" s="255" t="str">
        <x:v>0</x:v>
      </x:c>
      <x:c r="CC26" s="255" t="str">
        <x:v>tie</x:v>
      </x:c>
      <x:c r="CD26" s="255" t="str">
        <x:v>entropy</x:v>
      </x:c>
      <x:c r="CE26" s="255" t="str">
        <x:v>none</x:v>
      </x:c>
    </x:row>
    <x:row r="27">
      <x:c r="A27" s="255" t="str">
        <x:v>200</x:v>
      </x:c>
      <x:c r="B27" s="255" t="str">
        <x:v>0.1</x:v>
      </x:c>
      <x:c r="C27" s="255" t="str">
        <x:v>2</x:v>
      </x:c>
      <x:c r="D27" s="255" t="str">
        <x:v>1039340281</x:v>
      </x:c>
      <x:c r="E27" s="255" t="str">
        <x:v>593</x:v>
      </x:c>
      <x:c r="F27" s="255" t="str">
        <x:v>4</x:v>
      </x:c>
      <x:c r="G27" s="255" t="str">
        <x:v>190</x:v>
      </x:c>
      <x:c r="H27" s="255" t="str">
        <x:v>5.93</x:v>
      </x:c>
      <x:c r="I27" s="255" t="str">
        <x:v>0.02979899497487437</x:v>
      </x:c>
      <x:c r="J27" s="255" t="str">
        <x:v>5</x:v>
      </x:c>
      <x:c r="K27" s="255" t="str">
        <x:v>circle_collision,circle_entropy,zoomed_collision,zoomed_entropy,ich_collision,ich_entropy,grid_collision,grid_entropy</x:v>
      </x:c>
      <x:c r="L27" s="255" t="str">
        <x:v>122</x:v>
      </x:c>
      <x:c r="M27" s="255" t="str">
        <x:v>44</x:v>
      </x:c>
      <x:c r="N27" s="255" t="str">
        <x:v>0.08387530001346022</x:v>
      </x:c>
      <x:c r="O27" s="255" t="str">
        <x:v>True</x:v>
      </x:c>
      <x:c r="P27" s="255" t="str">
        <x:v>87</x:v>
      </x:c>
      <x:c r="Q27" s="255" t="str">
        <x:v>87</x:v>
      </x:c>
      <x:c r="R27" s="255" t="str">
        <x:v>0.0197779000736773</x:v>
      </x:c>
      <x:c r="S27" s="255" t="str">
        <x:v>False</x:v>
      </x:c>
      <x:c r="T27" s="255" t="str">
        <x:v>False</x:v>
      </x:c>
      <x:c r="U27" s="255" t="str">
        <x:v>43</x:v>
      </x:c>
      <x:c r="V27" s="255" t="str">
        <x:v>-35</x:v>
      </x:c>
      <x:c r="W27" s="255" t="str">
        <x:v>-0.06409739993978292</x:v>
      </x:c>
      <x:c r="X27" s="255" t="str">
        <x:v>1.9772727272727273</x:v>
      </x:c>
      <x:c r="Y27" s="255" t="str">
        <x:v>78</x:v>
      </x:c>
      <x:c r="Z27" s="255" t="str">
        <x:v>0</x:v>
      </x:c>
      <x:c r="AA27" s="255" t="str">
        <x:v>entropy</x:v>
      </x:c>
      <x:c r="AB27" s="255" t="str">
        <x:v>collision</x:v>
      </x:c>
      <x:c r="AC27" s="255" t="str">
        <x:v>large_and_invalid</x:v>
      </x:c>
      <x:c r="AD27" s="255" t="str">
        <x:v>118</x:v>
      </x:c>
      <x:c r="AE27" s="255" t="str">
        <x:v>45</x:v>
      </x:c>
      <x:c r="AF27" s="255" t="str">
        <x:v>0.1516734000761062</x:v>
      </x:c>
      <x:c r="AG27" s="255" t="str">
        <x:v>True</x:v>
      </x:c>
      <x:c r="AH27" s="255" t="str">
        <x:v>106</x:v>
      </x:c>
      <x:c r="AI27" s="255" t="str">
        <x:v>45</x:v>
      </x:c>
      <x:c r="AJ27" s="255" t="str">
        <x:v>0.13965420005843043</x:v>
      </x:c>
      <x:c r="AK27" s="255" t="str">
        <x:v>True</x:v>
      </x:c>
      <x:c r="AL27" s="255" t="str">
        <x:v>True</x:v>
      </x:c>
      <x:c r="AM27" s="255" t="str">
        <x:v>0</x:v>
      </x:c>
      <x:c r="AN27" s="255" t="str">
        <x:v>-12</x:v>
      </x:c>
      <x:c r="AO27" s="255" t="str">
        <x:v>-0.012019200017675757</x:v>
      </x:c>
      <x:c r="AP27" s="255" t="str">
        <x:v>1.0</x:v>
      </x:c>
      <x:c r="AQ27" s="255" t="str">
        <x:v>73</x:v>
      </x:c>
      <x:c r="AR27" s="255" t="str">
        <x:v>61</x:v>
      </x:c>
      <x:c r="AS27" s="255" t="str">
        <x:v>tie</x:v>
      </x:c>
      <x:c r="AT27" s="255" t="str">
        <x:v>collision</x:v>
      </x:c>
      <x:c r="AU27" s="255" t="str">
        <x:v>none</x:v>
      </x:c>
      <x:c r="AV27" s="255" t="str">
        <x:v>130</x:v>
      </x:c>
      <x:c r="AW27" s="255" t="str">
        <x:v>44</x:v>
      </x:c>
      <x:c r="AX27" s="255" t="str">
        <x:v>0.12246049998793751</x:v>
      </x:c>
      <x:c r="AY27" s="255" t="str">
        <x:v>True</x:v>
      </x:c>
      <x:c r="AZ27" s="255" t="str">
        <x:v>117</x:v>
      </x:c>
      <x:c r="BA27" s="255" t="str">
        <x:v>45</x:v>
      </x:c>
      <x:c r="BB27" s="255" t="str">
        <x:v>0.10952689999248832</x:v>
      </x:c>
      <x:c r="BC27" s="255" t="str">
        <x:v>True</x:v>
      </x:c>
      <x:c r="BD27" s="255" t="str">
        <x:v>True</x:v>
      </x:c>
      <x:c r="BE27" s="255" t="str">
        <x:v>1</x:v>
      </x:c>
      <x:c r="BF27" s="255" t="str">
        <x:v>-13</x:v>
      </x:c>
      <x:c r="BG27" s="255" t="str">
        <x:v>-0.012933599995449185</x:v>
      </x:c>
      <x:c r="BH27" s="255" t="str">
        <x:v>1.0227272727272727</x:v>
      </x:c>
      <x:c r="BI27" s="255" t="str">
        <x:v>86</x:v>
      </x:c>
      <x:c r="BJ27" s="255" t="str">
        <x:v>72</x:v>
      </x:c>
      <x:c r="BK27" s="255" t="str">
        <x:v>entropy</x:v>
      </x:c>
      <x:c r="BL27" s="255" t="str">
        <x:v>collision</x:v>
      </x:c>
      <x:c r="BM27" s="255" t="str">
        <x:v>none</x:v>
      </x:c>
      <x:c r="BN27" s="255" t="str">
        <x:v>43</x:v>
      </x:c>
      <x:c r="BO27" s="255" t="str">
        <x:v>43</x:v>
      </x:c>
      <x:c r="BP27" s="255" t="str">
        <x:v>1.377234200015664</x:v>
      </x:c>
      <x:c r="BQ27" s="255" t="str">
        <x:v>True</x:v>
      </x:c>
      <x:c r="BR27" s="255" t="str">
        <x:v>43</x:v>
      </x:c>
      <x:c r="BS27" s="255" t="str">
        <x:v>43</x:v>
      </x:c>
      <x:c r="BT27" s="255" t="str">
        <x:v>1.4358604999724776</x:v>
      </x:c>
      <x:c r="BU27" s="255" t="str">
        <x:v>True</x:v>
      </x:c>
      <x:c r="BV27" s="255" t="str">
        <x:v>True</x:v>
      </x:c>
      <x:c r="BW27" s="255" t="str">
        <x:v>0</x:v>
      </x:c>
      <x:c r="BX27" s="255" t="str">
        <x:v>0</x:v>
      </x:c>
      <x:c r="BY27" s="255" t="str">
        <x:v>0.058626299956813455</x:v>
      </x:c>
      <x:c r="BZ27" s="255" t="str">
        <x:v>1.0</x:v>
      </x:c>
      <x:c r="CA27" s="255" t="str">
        <x:v>0</x:v>
      </x:c>
      <x:c r="CB27" s="255" t="str">
        <x:v>0</x:v>
      </x:c>
      <x:c r="CC27" s="255" t="str">
        <x:v>tie</x:v>
      </x:c>
      <x:c r="CD27" s="255" t="str">
        <x:v>entropy</x:v>
      </x:c>
      <x:c r="CE27" s="255" t="str">
        <x:v>none</x:v>
      </x:c>
    </x:row>
    <x:row r="28">
      <x:c r="A28" s="255" t="str">
        <x:v>200</x:v>
      </x:c>
      <x:c r="B28" s="255" t="str">
        <x:v>0.1</x:v>
      </x:c>
      <x:c r="C28" s="255" t="str">
        <x:v>3</x:v>
      </x:c>
      <x:c r="D28" s="255" t="str">
        <x:v>1100460246</x:v>
      </x:c>
      <x:c r="E28" s="255" t="str">
        <x:v>594</x:v>
      </x:c>
      <x:c r="F28" s="255" t="str">
        <x:v>5</x:v>
      </x:c>
      <x:c r="G28" s="255" t="str">
        <x:v>185</x:v>
      </x:c>
      <x:c r="H28" s="255" t="str">
        <x:v>5.94</x:v>
      </x:c>
      <x:c r="I28" s="255" t="str">
        <x:v>0.029849246231155778</x:v>
      </x:c>
      <x:c r="J28" s="255" t="str">
        <x:v>5</x:v>
      </x:c>
      <x:c r="K28" s="255" t="str">
        <x:v>zoomed_entropy,zoomed_collision,ich_entropy,ich_collision,grid_entropy,grid_collision,circle_entropy,circle_collision</x:v>
      </x:c>
      <x:c r="L28" s="255" t="str">
        <x:v>118</x:v>
      </x:c>
      <x:c r="M28" s="255" t="str">
        <x:v>118</x:v>
      </x:c>
      <x:c r="N28" s="255" t="str">
        <x:v>0.02980240003671497</x:v>
      </x:c>
      <x:c r="O28" s="255" t="str">
        <x:v>False</x:v>
      </x:c>
      <x:c r="P28" s="255" t="str">
        <x:v>84</x:v>
      </x:c>
      <x:c r="Q28" s="255" t="str">
        <x:v>84</x:v>
      </x:c>
      <x:c r="R28" s="255" t="str">
        <x:v>0.025537300040014088</x:v>
      </x:c>
      <x:c r="S28" s="255" t="str">
        <x:v>False</x:v>
      </x:c>
      <x:c r="T28" s="255" t="str">
        <x:v>False</x:v>
      </x:c>
      <x:c r="U28" s="255" t="str">
        <x:v>-34</x:v>
      </x:c>
      <x:c r="V28" s="255" t="str">
        <x:v>-34</x:v>
      </x:c>
      <x:c r="W28" s="255" t="str">
        <x:v>-0.004265099996700883</x:v>
      </x:c>
      <x:c r="X28" s="255" t="str">
        <x:v>0.711864406779661</x:v>
      </x:c>
      <x:c r="Y28" s="255" t="str">
        <x:v>0</x:v>
      </x:c>
      <x:c r="Z28" s="255" t="str">
        <x:v>0</x:v>
      </x:c>
      <x:c r="AA28" s="255" t="str">
        <x:v>neither</x:v>
      </x:c>
      <x:c r="AB28" s="255" t="str">
        <x:v>collision</x:v>
      </x:c>
      <x:c r="AC28" s="255" t="str">
        <x:v>none</x:v>
      </x:c>
      <x:c r="AD28" s="255" t="str">
        <x:v>133</x:v>
      </x:c>
      <x:c r="AE28" s="255" t="str">
        <x:v>45</x:v>
      </x:c>
      <x:c r="AF28" s="255" t="str">
        <x:v>0.12719289993401617</x:v>
      </x:c>
      <x:c r="AG28" s="255" t="str">
        <x:v>True</x:v>
      </x:c>
      <x:c r="AH28" s="255" t="str">
        <x:v>117</x:v>
      </x:c>
      <x:c r="AI28" s="255" t="str">
        <x:v>46</x:v>
      </x:c>
      <x:c r="AJ28" s="255" t="str">
        <x:v>0.10558460000902414</x:v>
      </x:c>
      <x:c r="AK28" s="255" t="str">
        <x:v>True</x:v>
      </x:c>
      <x:c r="AL28" s="255" t="str">
        <x:v>True</x:v>
      </x:c>
      <x:c r="AM28" s="255" t="str">
        <x:v>1</x:v>
      </x:c>
      <x:c r="AN28" s="255" t="str">
        <x:v>-16</x:v>
      </x:c>
      <x:c r="AO28" s="255" t="str">
        <x:v>-0.021608299924992025</x:v>
      </x:c>
      <x:c r="AP28" s="255" t="str">
        <x:v>1.0222222222222221</x:v>
      </x:c>
      <x:c r="AQ28" s="255" t="str">
        <x:v>88</x:v>
      </x:c>
      <x:c r="AR28" s="255" t="str">
        <x:v>71</x:v>
      </x:c>
      <x:c r="AS28" s="255" t="str">
        <x:v>entropy</x:v>
      </x:c>
      <x:c r="AT28" s="255" t="str">
        <x:v>collision</x:v>
      </x:c>
      <x:c r="AU28" s="255" t="str">
        <x:v>none</x:v>
      </x:c>
      <x:c r="AV28" s="255" t="str">
        <x:v>121</x:v>
      </x:c>
      <x:c r="AW28" s="255" t="str">
        <x:v>45</x:v>
      </x:c>
      <x:c r="AX28" s="255" t="str">
        <x:v>0.11096630000974983</x:v>
      </x:c>
      <x:c r="AY28" s="255" t="str">
        <x:v>True</x:v>
      </x:c>
      <x:c r="AZ28" s="255" t="str">
        <x:v>108</x:v>
      </x:c>
      <x:c r="BA28" s="255" t="str">
        <x:v>45</x:v>
      </x:c>
      <x:c r="BB28" s="255" t="str">
        <x:v>0.10855350003112108</x:v>
      </x:c>
      <x:c r="BC28" s="255" t="str">
        <x:v>True</x:v>
      </x:c>
      <x:c r="BD28" s="255" t="str">
        <x:v>True</x:v>
      </x:c>
      <x:c r="BE28" s="255" t="str">
        <x:v>0</x:v>
      </x:c>
      <x:c r="BF28" s="255" t="str">
        <x:v>-13</x:v>
      </x:c>
      <x:c r="BG28" s="255" t="str">
        <x:v>-0.0024127999786287546</x:v>
      </x:c>
      <x:c r="BH28" s="255" t="str">
        <x:v>1.0</x:v>
      </x:c>
      <x:c r="BI28" s="255" t="str">
        <x:v>76</x:v>
      </x:c>
      <x:c r="BJ28" s="255" t="str">
        <x:v>63</x:v>
      </x:c>
      <x:c r="BK28" s="255" t="str">
        <x:v>tie</x:v>
      </x:c>
      <x:c r="BL28" s="255" t="str">
        <x:v>collision</x:v>
      </x:c>
      <x:c r="BM28" s="255" t="str">
        <x:v>none</x:v>
      </x:c>
      <x:c r="BN28" s="255" t="str">
        <x:v>46</x:v>
      </x:c>
      <x:c r="BO28" s="255" t="str">
        <x:v>46</x:v>
      </x:c>
      <x:c r="BP28" s="255" t="str">
        <x:v>1.5348123000003397</x:v>
      </x:c>
      <x:c r="BQ28" s="255" t="str">
        <x:v>True</x:v>
      </x:c>
      <x:c r="BR28" s="255" t="str">
        <x:v>46</x:v>
      </x:c>
      <x:c r="BS28" s="255" t="str">
        <x:v>46</x:v>
      </x:c>
      <x:c r="BT28" s="255" t="str">
        <x:v>1.7053782000439242</x:v>
      </x:c>
      <x:c r="BU28" s="255" t="str">
        <x:v>True</x:v>
      </x:c>
      <x:c r="BV28" s="255" t="str">
        <x:v>True</x:v>
      </x:c>
      <x:c r="BW28" s="255" t="str">
        <x:v>0</x:v>
      </x:c>
      <x:c r="BX28" s="255" t="str">
        <x:v>0</x:v>
      </x:c>
      <x:c r="BY28" s="255" t="str">
        <x:v>0.1705659000435844</x:v>
      </x:c>
      <x:c r="BZ28" s="255" t="str">
        <x:v>1.0</x:v>
      </x:c>
      <x:c r="CA28" s="255" t="str">
        <x:v>0</x:v>
      </x:c>
      <x:c r="CB28" s="255" t="str">
        <x:v>0</x:v>
      </x:c>
      <x:c r="CC28" s="255" t="str">
        <x:v>tie</x:v>
      </x:c>
      <x:c r="CD28" s="255" t="str">
        <x:v>entropy</x:v>
      </x:c>
      <x:c r="CE28" s="255" t="str">
        <x:v>none</x:v>
      </x:c>
    </x:row>
    <x:row r="29">
      <x:c r="A29" s="255" t="str">
        <x:v>200</x:v>
      </x:c>
      <x:c r="B29" s="255" t="str">
        <x:v>0.3</x:v>
      </x:c>
      <x:c r="C29" s="255" t="str">
        <x:v>1</x:v>
      </x:c>
      <x:c r="D29" s="255" t="str">
        <x:v>785756839</x:v>
      </x:c>
      <x:c r="E29" s="255" t="str">
        <x:v>4268</x:v>
      </x:c>
      <x:c r="F29" s="255" t="str">
        <x:v>1</x:v>
      </x:c>
      <x:c r="G29" s="255" t="str">
        <x:v>200</x:v>
      </x:c>
      <x:c r="H29" s="255" t="str">
        <x:v>42.68</x:v>
      </x:c>
      <x:c r="I29" s="255" t="str">
        <x:v>0.21447236180904522</x:v>
      </x:c>
      <x:c r="J29" s="255" t="str">
        <x:v>5</x:v>
      </x:c>
      <x:c r="K29" s="255" t="str">
        <x:v>grid_entropy,grid_collision,circle_entropy,circle_collision,zoomed_entropy,zoomed_collision,ich_entropy,ich_collision</x:v>
      </x:c>
      <x:c r="L29" s="255" t="str">
        <x:v>147</x:v>
      </x:c>
      <x:c r="M29" s="255" t="str">
        <x:v>30</x:v>
      </x:c>
      <x:c r="N29" s="255" t="str">
        <x:v>0.22175000002607703</x:v>
      </x:c>
      <x:c r="O29" s="255" t="str">
        <x:v>True</x:v>
      </x:c>
      <x:c r="P29" s="255" t="str">
        <x:v>66</x:v>
      </x:c>
      <x:c r="Q29" s="255" t="str">
        <x:v>31</x:v>
      </x:c>
      <x:c r="R29" s="255" t="str">
        <x:v>0.14168939995579422</x:v>
      </x:c>
      <x:c r="S29" s="255" t="str">
        <x:v>True</x:v>
      </x:c>
      <x:c r="T29" s="255" t="str">
        <x:v>True</x:v>
      </x:c>
      <x:c r="U29" s="255" t="str">
        <x:v>1</x:v>
      </x:c>
      <x:c r="V29" s="255" t="str">
        <x:v>-81</x:v>
      </x:c>
      <x:c r="W29" s="255" t="str">
        <x:v>-0.08006060007028282</x:v>
      </x:c>
      <x:c r="X29" s="255" t="str">
        <x:v>1.0333333333333334</x:v>
      </x:c>
      <x:c r="Y29" s="255" t="str">
        <x:v>117</x:v>
      </x:c>
      <x:c r="Z29" s="255" t="str">
        <x:v>35</x:v>
      </x:c>
      <x:c r="AA29" s="255" t="str">
        <x:v>entropy</x:v>
      </x:c>
      <x:c r="AB29" s="255" t="str">
        <x:v>collision</x:v>
      </x:c>
      <x:c r="AC29" s="255" t="str">
        <x:v>none</x:v>
      </x:c>
      <x:c r="AD29" s="255" t="str">
        <x:v>161</x:v>
      </x:c>
      <x:c r="AE29" s="255" t="str">
        <x:v>31</x:v>
      </x:c>
      <x:c r="AF29" s="255" t="str">
        <x:v>0.09855220001190901</x:v>
      </x:c>
      <x:c r="AG29" s="255" t="str">
        <x:v>True</x:v>
      </x:c>
      <x:c r="AH29" s="255" t="str">
        <x:v>134</x:v>
      </x:c>
      <x:c r="AI29" s="255" t="str">
        <x:v>31</x:v>
      </x:c>
      <x:c r="AJ29" s="255" t="str">
        <x:v>0.0935135999461636</x:v>
      </x:c>
      <x:c r="AK29" s="255" t="str">
        <x:v>True</x:v>
      </x:c>
      <x:c r="AL29" s="255" t="str">
        <x:v>True</x:v>
      </x:c>
      <x:c r="AM29" s="255" t="str">
        <x:v>0</x:v>
      </x:c>
      <x:c r="AN29" s="255" t="str">
        <x:v>-27</x:v>
      </x:c>
      <x:c r="AO29" s="255" t="str">
        <x:v>-0.005038600065745413</x:v>
      </x:c>
      <x:c r="AP29" s="255" t="str">
        <x:v>1.0</x:v>
      </x:c>
      <x:c r="AQ29" s="255" t="str">
        <x:v>130</x:v>
      </x:c>
      <x:c r="AR29" s="255" t="str">
        <x:v>103</x:v>
      </x:c>
      <x:c r="AS29" s="255" t="str">
        <x:v>tie</x:v>
      </x:c>
      <x:c r="AT29" s="255" t="str">
        <x:v>collision</x:v>
      </x:c>
      <x:c r="AU29" s="255" t="str">
        <x:v>none</x:v>
      </x:c>
      <x:c r="AV29" s="255" t="str">
        <x:v>144</x:v>
      </x:c>
      <x:c r="AW29" s="255" t="str">
        <x:v>30</x:v>
      </x:c>
      <x:c r="AX29" s="255" t="str">
        <x:v>0.14291609998326749</x:v>
      </x:c>
      <x:c r="AY29" s="255" t="str">
        <x:v>True</x:v>
      </x:c>
      <x:c r="AZ29" s="255" t="str">
        <x:v>82</x:v>
      </x:c>
      <x:c r="BA29" s="255" t="str">
        <x:v>30</x:v>
      </x:c>
      <x:c r="BB29" s="255" t="str">
        <x:v>0.08729970001149923</x:v>
      </x:c>
      <x:c r="BC29" s="255" t="str">
        <x:v>True</x:v>
      </x:c>
      <x:c r="BD29" s="255" t="str">
        <x:v>True</x:v>
      </x:c>
      <x:c r="BE29" s="255" t="str">
        <x:v>0</x:v>
      </x:c>
      <x:c r="BF29" s="255" t="str">
        <x:v>-62</x:v>
      </x:c>
      <x:c r="BG29" s="255" t="str">
        <x:v>-0.05561639997176826</x:v>
      </x:c>
      <x:c r="BH29" s="255" t="str">
        <x:v>1.0</x:v>
      </x:c>
      <x:c r="BI29" s="255" t="str">
        <x:v>114</x:v>
      </x:c>
      <x:c r="BJ29" s="255" t="str">
        <x:v>52</x:v>
      </x:c>
      <x:c r="BK29" s="255" t="str">
        <x:v>tie</x:v>
      </x:c>
      <x:c r="BL29" s="255" t="str">
        <x:v>collision</x:v>
      </x:c>
      <x:c r="BM29" s="255" t="str">
        <x:v>none</x:v>
      </x:c>
      <x:c r="BN29" s="255" t="str">
        <x:v>29</x:v>
      </x:c>
      <x:c r="BO29" s="255" t="str">
        <x:v>29</x:v>
      </x:c>
      <x:c r="BP29" s="255" t="str">
        <x:v>1.463766900007613</x:v>
      </x:c>
      <x:c r="BQ29" s="255" t="str">
        <x:v>True</x:v>
      </x:c>
      <x:c r="BR29" s="255" t="str">
        <x:v>33</x:v>
      </x:c>
      <x:c r="BS29" s="255" t="str">
        <x:v>33</x:v>
      </x:c>
      <x:c r="BT29" s="255" t="str">
        <x:v>1.4843174000270665</x:v>
      </x:c>
      <x:c r="BU29" s="255" t="str">
        <x:v>True</x:v>
      </x:c>
      <x:c r="BV29" s="255" t="str">
        <x:v>True</x:v>
      </x:c>
      <x:c r="BW29" s="255" t="str">
        <x:v>4</x:v>
      </x:c>
      <x:c r="BX29" s="255" t="str">
        <x:v>4</x:v>
      </x:c>
      <x:c r="BY29" s="255" t="str">
        <x:v>0.020550500019453466</x:v>
      </x:c>
      <x:c r="BZ29" s="255" t="str">
        <x:v>1.1379310344827587</x:v>
      </x:c>
      <x:c r="CA29" s="255" t="str">
        <x:v>0</x:v>
      </x:c>
      <x:c r="CB29" s="255" t="str">
        <x:v>0</x:v>
      </x:c>
      <x:c r="CC29" s="255" t="str">
        <x:v>entropy</x:v>
      </x:c>
      <x:c r="CD29" s="255" t="str">
        <x:v>entropy</x:v>
      </x:c>
      <x:c r="CE29" s="255" t="str">
        <x:v>none</x:v>
      </x:c>
    </x:row>
    <x:row r="30">
      <x:c r="A30" s="255" t="str">
        <x:v>200</x:v>
      </x:c>
      <x:c r="B30" s="255" t="str">
        <x:v>0.3</x:v>
      </x:c>
      <x:c r="C30" s="255" t="str">
        <x:v>2</x:v>
      </x:c>
      <x:c r="D30" s="255" t="str">
        <x:v>3176789117</x:v>
      </x:c>
      <x:c r="E30" s="255" t="str">
        <x:v>4272</x:v>
      </x:c>
      <x:c r="F30" s="255" t="str">
        <x:v>1</x:v>
      </x:c>
      <x:c r="G30" s="255" t="str">
        <x:v>200</x:v>
      </x:c>
      <x:c r="H30" s="255" t="str">
        <x:v>42.72</x:v>
      </x:c>
      <x:c r="I30" s="255" t="str">
        <x:v>0.21467336683417085</x:v>
      </x:c>
      <x:c r="J30" s="255" t="str">
        <x:v>5</x:v>
      </x:c>
      <x:c r="K30" s="255" t="str">
        <x:v>circle_collision,circle_entropy,zoomed_collision,zoomed_entropy,ich_collision,ich_entropy,grid_collision,grid_entropy</x:v>
      </x:c>
      <x:c r="L30" s="255" t="str">
        <x:v>160</x:v>
      </x:c>
      <x:c r="M30" s="255" t="str">
        <x:v>32</x:v>
      </x:c>
      <x:c r="N30" s="255" t="str">
        <x:v>0.15574990003369749</x:v>
      </x:c>
      <x:c r="O30" s="255" t="str">
        <x:v>True</x:v>
      </x:c>
      <x:c r="P30" s="255" t="str">
        <x:v>64</x:v>
      </x:c>
      <x:c r="Q30" s="255" t="str">
        <x:v>34</x:v>
      </x:c>
      <x:c r="R30" s="255" t="str">
        <x:v>0.09908110008109361</x:v>
      </x:c>
      <x:c r="S30" s="255" t="str">
        <x:v>True</x:v>
      </x:c>
      <x:c r="T30" s="255" t="str">
        <x:v>True</x:v>
      </x:c>
      <x:c r="U30" s="255" t="str">
        <x:v>2</x:v>
      </x:c>
      <x:c r="V30" s="255" t="str">
        <x:v>-96</x:v>
      </x:c>
      <x:c r="W30" s="255" t="str">
        <x:v>-0.05666879995260388</x:v>
      </x:c>
      <x:c r="X30" s="255" t="str">
        <x:v>1.0625</x:v>
      </x:c>
      <x:c r="Y30" s="255" t="str">
        <x:v>128</x:v>
      </x:c>
      <x:c r="Z30" s="255" t="str">
        <x:v>30</x:v>
      </x:c>
      <x:c r="AA30" s="255" t="str">
        <x:v>entropy</x:v>
      </x:c>
      <x:c r="AB30" s="255" t="str">
        <x:v>collision</x:v>
      </x:c>
      <x:c r="AC30" s="255" t="str">
        <x:v>none</x:v>
      </x:c>
      <x:c r="AD30" s="255" t="str">
        <x:v>160</x:v>
      </x:c>
      <x:c r="AE30" s="255" t="str">
        <x:v>34</x:v>
      </x:c>
      <x:c r="AF30" s="255" t="str">
        <x:v>0.10575089999474585</x:v>
      </x:c>
      <x:c r="AG30" s="255" t="str">
        <x:v>True</x:v>
      </x:c>
      <x:c r="AH30" s="255" t="str">
        <x:v>141</x:v>
      </x:c>
      <x:c r="AI30" s="255" t="str">
        <x:v>34</x:v>
      </x:c>
      <x:c r="AJ30" s="255" t="str">
        <x:v>0.08654209994710982</x:v>
      </x:c>
      <x:c r="AK30" s="255" t="str">
        <x:v>True</x:v>
      </x:c>
      <x:c r="AL30" s="255" t="str">
        <x:v>True</x:v>
      </x:c>
      <x:c r="AM30" s="255" t="str">
        <x:v>0</x:v>
      </x:c>
      <x:c r="AN30" s="255" t="str">
        <x:v>-19</x:v>
      </x:c>
      <x:c r="AO30" s="255" t="str">
        <x:v>-0.019208800047636032</x:v>
      </x:c>
      <x:c r="AP30" s="255" t="str">
        <x:v>1.0</x:v>
      </x:c>
      <x:c r="AQ30" s="255" t="str">
        <x:v>126</x:v>
      </x:c>
      <x:c r="AR30" s="255" t="str">
        <x:v>107</x:v>
      </x:c>
      <x:c r="AS30" s="255" t="str">
        <x:v>tie</x:v>
      </x:c>
      <x:c r="AT30" s="255" t="str">
        <x:v>collision</x:v>
      </x:c>
      <x:c r="AU30" s="255" t="str">
        <x:v>none</x:v>
      </x:c>
      <x:c r="AV30" s="255" t="str">
        <x:v>160</x:v>
      </x:c>
      <x:c r="AW30" s="255" t="str">
        <x:v>33</x:v>
      </x:c>
      <x:c r="AX30" s="255" t="str">
        <x:v>0.11761489999480546</x:v>
      </x:c>
      <x:c r="AY30" s="255" t="str">
        <x:v>True</x:v>
      </x:c>
      <x:c r="AZ30" s="255" t="str">
        <x:v>104</x:v>
      </x:c>
      <x:c r="BA30" s="255" t="str">
        <x:v>28</x:v>
      </x:c>
      <x:c r="BB30" s="255" t="str">
        <x:v>0.09703469998203218</x:v>
      </x:c>
      <x:c r="BC30" s="255" t="str">
        <x:v>True</x:v>
      </x:c>
      <x:c r="BD30" s="255" t="str">
        <x:v>True</x:v>
      </x:c>
      <x:c r="BE30" s="255" t="str">
        <x:v>-5</x:v>
      </x:c>
      <x:c r="BF30" s="255" t="str">
        <x:v>-56</x:v>
      </x:c>
      <x:c r="BG30" s="255" t="str">
        <x:v>-0.020580200012773275</x:v>
      </x:c>
      <x:c r="BH30" s="255" t="str">
        <x:v>0.8484848484848485</x:v>
      </x:c>
      <x:c r="BI30" s="255" t="str">
        <x:v>127</x:v>
      </x:c>
      <x:c r="BJ30" s="255" t="str">
        <x:v>76</x:v>
      </x:c>
      <x:c r="BK30" s="255" t="str">
        <x:v>collision</x:v>
      </x:c>
      <x:c r="BL30" s="255" t="str">
        <x:v>collision</x:v>
      </x:c>
      <x:c r="BM30" s="255" t="str">
        <x:v>none</x:v>
      </x:c>
      <x:c r="BN30" s="255" t="str">
        <x:v>33</x:v>
      </x:c>
      <x:c r="BO30" s="255" t="str">
        <x:v>33</x:v>
      </x:c>
      <x:c r="BP30" s="255" t="str">
        <x:v>1.2713439000071958</x:v>
      </x:c>
      <x:c r="BQ30" s="255" t="str">
        <x:v>True</x:v>
      </x:c>
      <x:c r="BR30" s="255" t="str">
        <x:v>28</x:v>
      </x:c>
      <x:c r="BS30" s="255" t="str">
        <x:v>28</x:v>
      </x:c>
      <x:c r="BT30" s="255" t="str">
        <x:v>1.092552899965085</x:v>
      </x:c>
      <x:c r="BU30" s="255" t="str">
        <x:v>True</x:v>
      </x:c>
      <x:c r="BV30" s="255" t="str">
        <x:v>True</x:v>
      </x:c>
      <x:c r="BW30" s="255" t="str">
        <x:v>-5</x:v>
      </x:c>
      <x:c r="BX30" s="255" t="str">
        <x:v>-5</x:v>
      </x:c>
      <x:c r="BY30" s="255" t="str">
        <x:v>-0.17879100004211068</x:v>
      </x:c>
      <x:c r="BZ30" s="255" t="str">
        <x:v>0.8484848484848485</x:v>
      </x:c>
      <x:c r="CA30" s="255" t="str">
        <x:v>0</x:v>
      </x:c>
      <x:c r="CB30" s="255" t="str">
        <x:v>0</x:v>
      </x:c>
      <x:c r="CC30" s="255" t="str">
        <x:v>collision</x:v>
      </x:c>
      <x:c r="CD30" s="255" t="str">
        <x:v>collision</x:v>
      </x:c>
      <x:c r="CE30" s="255" t="str">
        <x:v>none</x:v>
      </x:c>
    </x:row>
    <x:row r="31">
      <x:c r="A31" s="255" t="str">
        <x:v>200</x:v>
      </x:c>
      <x:c r="B31" s="255" t="str">
        <x:v>0.3</x:v>
      </x:c>
      <x:c r="C31" s="255" t="str">
        <x:v>3</x:v>
      </x:c>
      <x:c r="D31" s="255" t="str">
        <x:v>1876551989</x:v>
      </x:c>
      <x:c r="E31" s="255" t="str">
        <x:v>4022</x:v>
      </x:c>
      <x:c r="F31" s="255" t="str">
        <x:v>1</x:v>
      </x:c>
      <x:c r="G31" s="255" t="str">
        <x:v>200</x:v>
      </x:c>
      <x:c r="H31" s="255" t="str">
        <x:v>40.22</x:v>
      </x:c>
      <x:c r="I31" s="255" t="str">
        <x:v>0.2021105527638191</x:v>
      </x:c>
      <x:c r="J31" s="255" t="str">
        <x:v>5</x:v>
      </x:c>
      <x:c r="K31" s="255" t="str">
        <x:v>zoomed_entropy,zoomed_collision,ich_entropy,ich_collision,grid_entropy,grid_collision,circle_entropy,circle_collision</x:v>
      </x:c>
      <x:c r="L31" s="255" t="str">
        <x:v>141</x:v>
      </x:c>
      <x:c r="M31" s="255" t="str">
        <x:v>32</x:v>
      </x:c>
      <x:c r="N31" s="255" t="str">
        <x:v>0.1316083000274375</x:v>
      </x:c>
      <x:c r="O31" s="255" t="str">
        <x:v>True</x:v>
      </x:c>
      <x:c r="P31" s="255" t="str">
        <x:v>66</x:v>
      </x:c>
      <x:c r="Q31" s="255" t="str">
        <x:v>66</x:v>
      </x:c>
      <x:c r="R31" s="255" t="str">
        <x:v>0.06933520000893623</x:v>
      </x:c>
      <x:c r="S31" s="255" t="str">
        <x:v>False</x:v>
      </x:c>
      <x:c r="T31" s="255" t="str">
        <x:v>False</x:v>
      </x:c>
      <x:c r="U31" s="255" t="str">
        <x:v>34</x:v>
      </x:c>
      <x:c r="V31" s="255" t="str">
        <x:v>-75</x:v>
      </x:c>
      <x:c r="W31" s="255" t="str">
        <x:v>-0.06227310001850128</x:v>
      </x:c>
      <x:c r="X31" s="255" t="str">
        <x:v>2.0625</x:v>
      </x:c>
      <x:c r="Y31" s="255" t="str">
        <x:v>109</x:v>
      </x:c>
      <x:c r="Z31" s="255" t="str">
        <x:v>0</x:v>
      </x:c>
      <x:c r="AA31" s="255" t="str">
        <x:v>entropy</x:v>
      </x:c>
      <x:c r="AB31" s="255" t="str">
        <x:v>collision</x:v>
      </x:c>
      <x:c r="AC31" s="255" t="str">
        <x:v>large_and_invalid</x:v>
      </x:c>
      <x:c r="AD31" s="255" t="str">
        <x:v>173</x:v>
      </x:c>
      <x:c r="AE31" s="255" t="str">
        <x:v>34</x:v>
      </x:c>
      <x:c r="AF31" s="255" t="str">
        <x:v>0.11706970003433526</x:v>
      </x:c>
      <x:c r="AG31" s="255" t="str">
        <x:v>True</x:v>
      </x:c>
      <x:c r="AH31" s="255" t="str">
        <x:v>151</x:v>
      </x:c>
      <x:c r="AI31" s="255" t="str">
        <x:v>34</x:v>
      </x:c>
      <x:c r="AJ31" s="255" t="str">
        <x:v>0.10083509993273765</x:v>
      </x:c>
      <x:c r="AK31" s="255" t="str">
        <x:v>True</x:v>
      </x:c>
      <x:c r="AL31" s="255" t="str">
        <x:v>True</x:v>
      </x:c>
      <x:c r="AM31" s="255" t="str">
        <x:v>0</x:v>
      </x:c>
      <x:c r="AN31" s="255" t="str">
        <x:v>-22</x:v>
      </x:c>
      <x:c r="AO31" s="255" t="str">
        <x:v>-0.016234600101597607</x:v>
      </x:c>
      <x:c r="AP31" s="255" t="str">
        <x:v>1.0</x:v>
      </x:c>
      <x:c r="AQ31" s="255" t="str">
        <x:v>139</x:v>
      </x:c>
      <x:c r="AR31" s="255" t="str">
        <x:v>117</x:v>
      </x:c>
      <x:c r="AS31" s="255" t="str">
        <x:v>tie</x:v>
      </x:c>
      <x:c r="AT31" s="255" t="str">
        <x:v>collision</x:v>
      </x:c>
      <x:c r="AU31" s="255" t="str">
        <x:v>none</x:v>
      </x:c>
      <x:c r="AV31" s="255" t="str">
        <x:v>136</x:v>
      </x:c>
      <x:c r="AW31" s="255" t="str">
        <x:v>34</x:v>
      </x:c>
      <x:c r="AX31" s="255" t="str">
        <x:v>0.10814060003031045</x:v>
      </x:c>
      <x:c r="AY31" s="255" t="str">
        <x:v>True</x:v>
      </x:c>
      <x:c r="AZ31" s="255" t="str">
        <x:v>87</x:v>
      </x:c>
      <x:c r="BA31" s="255" t="str">
        <x:v>33</x:v>
      </x:c>
      <x:c r="BB31" s="255" t="str">
        <x:v>0.07981579995248467</x:v>
      </x:c>
      <x:c r="BC31" s="255" t="str">
        <x:v>True</x:v>
      </x:c>
      <x:c r="BD31" s="255" t="str">
        <x:v>True</x:v>
      </x:c>
      <x:c r="BE31" s="255" t="str">
        <x:v>-1</x:v>
      </x:c>
      <x:c r="BF31" s="255" t="str">
        <x:v>-49</x:v>
      </x:c>
      <x:c r="BG31" s="255" t="str">
        <x:v>-0.028324800077825785</x:v>
      </x:c>
      <x:c r="BH31" s="255" t="str">
        <x:v>0.9705882352941176</x:v>
      </x:c>
      <x:c r="BI31" s="255" t="str">
        <x:v>102</x:v>
      </x:c>
      <x:c r="BJ31" s="255" t="str">
        <x:v>54</x:v>
      </x:c>
      <x:c r="BK31" s="255" t="str">
        <x:v>collision</x:v>
      </x:c>
      <x:c r="BL31" s="255" t="str">
        <x:v>collision</x:v>
      </x:c>
      <x:c r="BM31" s="255" t="str">
        <x:v>none</x:v>
      </x:c>
      <x:c r="BN31" s="255" t="str">
        <x:v>29</x:v>
      </x:c>
      <x:c r="BO31" s="255" t="str">
        <x:v>29</x:v>
      </x:c>
      <x:c r="BP31" s="255" t="str">
        <x:v>1.2424273999640718</x:v>
      </x:c>
      <x:c r="BQ31" s="255" t="str">
        <x:v>True</x:v>
      </x:c>
      <x:c r="BR31" s="255" t="str">
        <x:v>32</x:v>
      </x:c>
      <x:c r="BS31" s="255" t="str">
        <x:v>32</x:v>
      </x:c>
      <x:c r="BT31" s="255" t="str">
        <x:v>1.164716900093481</x:v>
      </x:c>
      <x:c r="BU31" s="255" t="str">
        <x:v>True</x:v>
      </x:c>
      <x:c r="BV31" s="255" t="str">
        <x:v>True</x:v>
      </x:c>
      <x:c r="BW31" s="255" t="str">
        <x:v>3</x:v>
      </x:c>
      <x:c r="BX31" s="255" t="str">
        <x:v>3</x:v>
      </x:c>
      <x:c r="BY31" s="255" t="str">
        <x:v>-0.07771049987059087</x:v>
      </x:c>
      <x:c r="BZ31" s="255" t="str">
        <x:v>1.103448275862069</x:v>
      </x:c>
      <x:c r="CA31" s="255" t="str">
        <x:v>0</x:v>
      </x:c>
      <x:c r="CB31" s="255" t="str">
        <x:v>0</x:v>
      </x:c>
      <x:c r="CC31" s="255" t="str">
        <x:v>entropy</x:v>
      </x:c>
      <x:c r="CD31" s="255" t="str">
        <x:v>collision</x:v>
      </x:c>
      <x:c r="CE31" s="255" t="str">
        <x:v>none</x:v>
      </x:c>
    </x:row>
    <x:row r="32">
      <x:c r="A32" s="255" t="str">
        <x:v>200</x:v>
      </x:c>
      <x:c r="B32" s="255" t="str">
        <x:v>0.5</x:v>
      </x:c>
      <x:c r="C32" s="255" t="str">
        <x:v>1</x:v>
      </x:c>
      <x:c r="D32" s="255" t="str">
        <x:v>845036295</x:v>
      </x:c>
      <x:c r="E32" s="255" t="str">
        <x:v>8904</x:v>
      </x:c>
      <x:c r="F32" s="255" t="str">
        <x:v>1</x:v>
      </x:c>
      <x:c r="G32" s="255" t="str">
        <x:v>200</x:v>
      </x:c>
      <x:c r="H32" s="255" t="str">
        <x:v>89.04</x:v>
      </x:c>
      <x:c r="I32" s="255" t="str">
        <x:v>0.44743718592964826</x:v>
      </x:c>
      <x:c r="J32" s="255" t="str">
        <x:v>5</x:v>
      </x:c>
      <x:c r="K32" s="255" t="str">
        <x:v>grid_entropy,grid_collision,circle_entropy,circle_collision,zoomed_entropy,zoomed_collision,ich_entropy,ich_collision</x:v>
      </x:c>
      <x:c r="L32" s="255" t="str">
        <x:v>167</x:v>
      </x:c>
      <x:c r="M32" s="255" t="str">
        <x:v>49</x:v>
      </x:c>
      <x:c r="N32" s="255" t="str">
        <x:v>0.918060899944976</x:v>
      </x:c>
      <x:c r="O32" s="255" t="str">
        <x:v>True</x:v>
      </x:c>
      <x:c r="P32" s="255" t="str">
        <x:v>44</x:v>
      </x:c>
      <x:c r="Q32" s="255" t="str">
        <x:v>42</x:v>
      </x:c>
      <x:c r="R32" s="255" t="str">
        <x:v>0.610510699916631</x:v>
      </x:c>
      <x:c r="S32" s="255" t="str">
        <x:v>True</x:v>
      </x:c>
      <x:c r="T32" s="255" t="str">
        <x:v>True</x:v>
      </x:c>
      <x:c r="U32" s="255" t="str">
        <x:v>-7</x:v>
      </x:c>
      <x:c r="V32" s="255" t="str">
        <x:v>-123</x:v>
      </x:c>
      <x:c r="W32" s="255" t="str">
        <x:v>-0.307550200028345</x:v>
      </x:c>
      <x:c r="X32" s="255" t="str">
        <x:v>0.8571428571428571</x:v>
      </x:c>
      <x:c r="Y32" s="255" t="str">
        <x:v>118</x:v>
      </x:c>
      <x:c r="Z32" s="255" t="str">
        <x:v>2</x:v>
      </x:c>
      <x:c r="AA32" s="255" t="str">
        <x:v>collision</x:v>
      </x:c>
      <x:c r="AB32" s="255" t="str">
        <x:v>collision</x:v>
      </x:c>
      <x:c r="AC32" s="255" t="str">
        <x:v>none</x:v>
      </x:c>
      <x:c r="AD32" s="255" t="str">
        <x:v>178</x:v>
      </x:c>
      <x:c r="AE32" s="255" t="str">
        <x:v>48</x:v>
      </x:c>
      <x:c r="AF32" s="255" t="str">
        <x:v>0.19581790000665933</x:v>
      </x:c>
      <x:c r="AG32" s="255" t="str">
        <x:v>True</x:v>
      </x:c>
      <x:c r="AH32" s="255" t="str">
        <x:v>167</x:v>
      </x:c>
      <x:c r="AI32" s="255" t="str">
        <x:v>48</x:v>
      </x:c>
      <x:c r="AJ32" s="255" t="str">
        <x:v>0.16814909991808236</x:v>
      </x:c>
      <x:c r="AK32" s="255" t="str">
        <x:v>True</x:v>
      </x:c>
      <x:c r="AL32" s="255" t="str">
        <x:v>True</x:v>
      </x:c>
      <x:c r="AM32" s="255" t="str">
        <x:v>0</x:v>
      </x:c>
      <x:c r="AN32" s="255" t="str">
        <x:v>-11</x:v>
      </x:c>
      <x:c r="AO32" s="255" t="str">
        <x:v>-0.027668800088576972</x:v>
      </x:c>
      <x:c r="AP32" s="255" t="str">
        <x:v>1.0</x:v>
      </x:c>
      <x:c r="AQ32" s="255" t="str">
        <x:v>130</x:v>
      </x:c>
      <x:c r="AR32" s="255" t="str">
        <x:v>119</x:v>
      </x:c>
      <x:c r="AS32" s="255" t="str">
        <x:v>tie</x:v>
      </x:c>
      <x:c r="AT32" s="255" t="str">
        <x:v>collision</x:v>
      </x:c>
      <x:c r="AU32" s="255" t="str">
        <x:v>none</x:v>
      </x:c>
      <x:c r="AV32" s="255" t="str">
        <x:v>186</x:v>
      </x:c>
      <x:c r="AW32" s="255" t="str">
        <x:v>46</x:v>
      </x:c>
      <x:c r="AX32" s="255" t="str">
        <x:v>0.1835824999725446</x:v>
      </x:c>
      <x:c r="AY32" s="255" t="str">
        <x:v>True</x:v>
      </x:c>
      <x:c r="AZ32" s="255" t="str">
        <x:v>113</x:v>
      </x:c>
      <x:c r="BA32" s="255" t="str">
        <x:v>45</x:v>
      </x:c>
      <x:c r="BB32" s="255" t="str">
        <x:v>0.19904869992751628</x:v>
      </x:c>
      <x:c r="BC32" s="255" t="str">
        <x:v>True</x:v>
      </x:c>
      <x:c r="BD32" s="255" t="str">
        <x:v>True</x:v>
      </x:c>
      <x:c r="BE32" s="255" t="str">
        <x:v>-1</x:v>
      </x:c>
      <x:c r="BF32" s="255" t="str">
        <x:v>-73</x:v>
      </x:c>
      <x:c r="BG32" s="255" t="str">
        <x:v>0.015466199954971671</x:v>
      </x:c>
      <x:c r="BH32" s="255" t="str">
        <x:v>0.9782608695652174</x:v>
      </x:c>
      <x:c r="BI32" s="255" t="str">
        <x:v>140</x:v>
      </x:c>
      <x:c r="BJ32" s="255" t="str">
        <x:v>68</x:v>
      </x:c>
      <x:c r="BK32" s="255" t="str">
        <x:v>collision</x:v>
      </x:c>
      <x:c r="BL32" s="255" t="str">
        <x:v>entropy</x:v>
      </x:c>
      <x:c r="BM32" s="255" t="str">
        <x:v>none</x:v>
      </x:c>
      <x:c r="BN32" s="255" t="str">
        <x:v>44</x:v>
      </x:c>
      <x:c r="BO32" s="255" t="str">
        <x:v>44</x:v>
      </x:c>
      <x:c r="BP32" s="255" t="str">
        <x:v>1.3897729000309482</x:v>
      </x:c>
      <x:c r="BQ32" s="255" t="str">
        <x:v>True</x:v>
      </x:c>
      <x:c r="BR32" s="255" t="str">
        <x:v>44</x:v>
      </x:c>
      <x:c r="BS32" s="255" t="str">
        <x:v>44</x:v>
      </x:c>
      <x:c r="BT32" s="255" t="str">
        <x:v>1.434010799974203</x:v>
      </x:c>
      <x:c r="BU32" s="255" t="str">
        <x:v>True</x:v>
      </x:c>
      <x:c r="BV32" s="255" t="str">
        <x:v>True</x:v>
      </x:c>
      <x:c r="BW32" s="255" t="str">
        <x:v>0</x:v>
      </x:c>
      <x:c r="BX32" s="255" t="str">
        <x:v>0</x:v>
      </x:c>
      <x:c r="BY32" s="255" t="str">
        <x:v>0.04423789994325489</x:v>
      </x:c>
      <x:c r="BZ32" s="255" t="str">
        <x:v>1.0</x:v>
      </x:c>
      <x:c r="CA32" s="255" t="str">
        <x:v>0</x:v>
      </x:c>
      <x:c r="CB32" s="255" t="str">
        <x:v>0</x:v>
      </x:c>
      <x:c r="CC32" s="255" t="str">
        <x:v>tie</x:v>
      </x:c>
      <x:c r="CD32" s="255" t="str">
        <x:v>entropy</x:v>
      </x:c>
      <x:c r="CE32" s="255" t="str">
        <x:v>none</x:v>
      </x:c>
    </x:row>
    <x:row r="33">
      <x:c r="A33" s="255" t="str">
        <x:v>200</x:v>
      </x:c>
      <x:c r="B33" s="255" t="str">
        <x:v>0.5</x:v>
      </x:c>
      <x:c r="C33" s="255" t="str">
        <x:v>2</x:v>
      </x:c>
      <x:c r="D33" s="255" t="str">
        <x:v>2295941781</x:v>
      </x:c>
      <x:c r="E33" s="255" t="str">
        <x:v>9186</x:v>
      </x:c>
      <x:c r="F33" s="255" t="str">
        <x:v>1</x:v>
      </x:c>
      <x:c r="G33" s="255" t="str">
        <x:v>200</x:v>
      </x:c>
      <x:c r="H33" s="255" t="str">
        <x:v>91.86</x:v>
      </x:c>
      <x:c r="I33" s="255" t="str">
        <x:v>0.46160804020100504</x:v>
      </x:c>
      <x:c r="J33" s="255" t="str">
        <x:v>5</x:v>
      </x:c>
      <x:c r="K33" s="255" t="str">
        <x:v>circle_collision,circle_entropy,zoomed_collision,zoomed_entropy,ich_collision,ich_entropy,grid_collision,grid_entropy</x:v>
      </x:c>
      <x:c r="L33" s="255" t="str">
        <x:v>140</x:v>
      </x:c>
      <x:c r="M33" s="255" t="str">
        <x:v>45</x:v>
      </x:c>
      <x:c r="N33" s="255" t="str">
        <x:v>0.8670121000614017</x:v>
      </x:c>
      <x:c r="O33" s="255" t="str">
        <x:v>True</x:v>
      </x:c>
      <x:c r="P33" s="255" t="str">
        <x:v>37</x:v>
      </x:c>
      <x:c r="Q33" s="255" t="str">
        <x:v>37</x:v>
      </x:c>
      <x:c r="R33" s="255" t="str">
        <x:v>0.5241816999623552</x:v>
      </x:c>
      <x:c r="S33" s="255" t="str">
        <x:v>True</x:v>
      </x:c>
      <x:c r="T33" s="255" t="str">
        <x:v>True</x:v>
      </x:c>
      <x:c r="U33" s="255" t="str">
        <x:v>-8</x:v>
      </x:c>
      <x:c r="V33" s="255" t="str">
        <x:v>-103</x:v>
      </x:c>
      <x:c r="W33" s="255" t="str">
        <x:v>-0.34283040009904653</x:v>
      </x:c>
      <x:c r="X33" s="255" t="str">
        <x:v>0.8222222222222222</x:v>
      </x:c>
      <x:c r="Y33" s="255" t="str">
        <x:v>95</x:v>
      </x:c>
      <x:c r="Z33" s="255" t="str">
        <x:v>0</x:v>
      </x:c>
      <x:c r="AA33" s="255" t="str">
        <x:v>collision</x:v>
      </x:c>
      <x:c r="AB33" s="255" t="str">
        <x:v>collision</x:v>
      </x:c>
      <x:c r="AC33" s="255" t="str">
        <x:v>none</x:v>
      </x:c>
      <x:c r="AD33" s="255" t="str">
        <x:v>143</x:v>
      </x:c>
      <x:c r="AE33" s="255" t="str">
        <x:v>42</x:v>
      </x:c>
      <x:c r="AF33" s="255" t="str">
        <x:v>0.11724689998663962</x:v>
      </x:c>
      <x:c r="AG33" s="255" t="str">
        <x:v>True</x:v>
      </x:c>
      <x:c r="AH33" s="255" t="str">
        <x:v>135</x:v>
      </x:c>
      <x:c r="AI33" s="255" t="str">
        <x:v>44</x:v>
      </x:c>
      <x:c r="AJ33" s="255" t="str">
        <x:v>0.12598219991195947</x:v>
      </x:c>
      <x:c r="AK33" s="255" t="str">
        <x:v>True</x:v>
      </x:c>
      <x:c r="AL33" s="255" t="str">
        <x:v>True</x:v>
      </x:c>
      <x:c r="AM33" s="255" t="str">
        <x:v>2</x:v>
      </x:c>
      <x:c r="AN33" s="255" t="str">
        <x:v>-8</x:v>
      </x:c>
      <x:c r="AO33" s="255" t="str">
        <x:v>0.00873529992531985</x:v>
      </x:c>
      <x:c r="AP33" s="255" t="str">
        <x:v>1.0476190476190477</x:v>
      </x:c>
      <x:c r="AQ33" s="255" t="str">
        <x:v>101</x:v>
      </x:c>
      <x:c r="AR33" s="255" t="str">
        <x:v>91</x:v>
      </x:c>
      <x:c r="AS33" s="255" t="str">
        <x:v>entropy</x:v>
      </x:c>
      <x:c r="AT33" s="255" t="str">
        <x:v>entropy</x:v>
      </x:c>
      <x:c r="AU33" s="255" t="str">
        <x:v>none</x:v>
      </x:c>
      <x:c r="AV33" s="255" t="str">
        <x:v>182</x:v>
      </x:c>
      <x:c r="AW33" s="255" t="str">
        <x:v>46</x:v>
      </x:c>
      <x:c r="AX33" s="255" t="str">
        <x:v>0.22343649994581938</x:v>
      </x:c>
      <x:c r="AY33" s="255" t="str">
        <x:v>True</x:v>
      </x:c>
      <x:c r="AZ33" s="255" t="str">
        <x:v>99</x:v>
      </x:c>
      <x:c r="BA33" s="255" t="str">
        <x:v>44</x:v>
      </x:c>
      <x:c r="BB33" s="255" t="str">
        <x:v>0.230876800022088</x:v>
      </x:c>
      <x:c r="BC33" s="255" t="str">
        <x:v>True</x:v>
      </x:c>
      <x:c r="BD33" s="255" t="str">
        <x:v>True</x:v>
      </x:c>
      <x:c r="BE33" s="255" t="str">
        <x:v>-2</x:v>
      </x:c>
      <x:c r="BF33" s="255" t="str">
        <x:v>-83</x:v>
      </x:c>
      <x:c r="BG33" s="255" t="str">
        <x:v>0.007440300076268613</x:v>
      </x:c>
      <x:c r="BH33" s="255" t="str">
        <x:v>0.9565217391304348</x:v>
      </x:c>
      <x:c r="BI33" s="255" t="str">
        <x:v>136</x:v>
      </x:c>
      <x:c r="BJ33" s="255" t="str">
        <x:v>55</x:v>
      </x:c>
      <x:c r="BK33" s="255" t="str">
        <x:v>collision</x:v>
      </x:c>
      <x:c r="BL33" s="255" t="str">
        <x:v>entropy</x:v>
      </x:c>
      <x:c r="BM33" s="255" t="str">
        <x:v>none</x:v>
      </x:c>
      <x:c r="BN33" s="255" t="str">
        <x:v>38</x:v>
      </x:c>
      <x:c r="BO33" s="255" t="str">
        <x:v>38</x:v>
      </x:c>
      <x:c r="BP33" s="255" t="str">
        <x:v>1.3962602999527007</x:v>
      </x:c>
      <x:c r="BQ33" s="255" t="str">
        <x:v>True</x:v>
      </x:c>
      <x:c r="BR33" s="255" t="str">
        <x:v>39</x:v>
      </x:c>
      <x:c r="BS33" s="255" t="str">
        <x:v>39</x:v>
      </x:c>
      <x:c r="BT33" s="255" t="str">
        <x:v>1.2864131999667734</x:v>
      </x:c>
      <x:c r="BU33" s="255" t="str">
        <x:v>True</x:v>
      </x:c>
      <x:c r="BV33" s="255" t="str">
        <x:v>True</x:v>
      </x:c>
      <x:c r="BW33" s="255" t="str">
        <x:v>1</x:v>
      </x:c>
      <x:c r="BX33" s="255" t="str">
        <x:v>1</x:v>
      </x:c>
      <x:c r="BY33" s="255" t="str">
        <x:v>-0.10984709998592734</x:v>
      </x:c>
      <x:c r="BZ33" s="255" t="str">
        <x:v>1.0263157894736843</x:v>
      </x:c>
      <x:c r="CA33" s="255" t="str">
        <x:v>0</x:v>
      </x:c>
      <x:c r="CB33" s="255" t="str">
        <x:v>0</x:v>
      </x:c>
      <x:c r="CC33" s="255" t="str">
        <x:v>entropy</x:v>
      </x:c>
      <x:c r="CD33" s="255" t="str">
        <x:v>collision</x:v>
      </x:c>
      <x:c r="CE33" s="255" t="str">
        <x:v>none</x:v>
      </x:c>
    </x:row>
    <x:row r="34">
      <x:c r="A34" s="255" t="str">
        <x:v>200</x:v>
      </x:c>
      <x:c r="B34" s="255" t="str">
        <x:v>0.5</x:v>
      </x:c>
      <x:c r="C34" s="255" t="str">
        <x:v>3</x:v>
      </x:c>
      <x:c r="D34" s="255" t="str">
        <x:v>445207504</x:v>
      </x:c>
      <x:c r="E34" s="255" t="str">
        <x:v>9669</x:v>
      </x:c>
      <x:c r="F34" s="255" t="str">
        <x:v>1</x:v>
      </x:c>
      <x:c r="G34" s="255" t="str">
        <x:v>200</x:v>
      </x:c>
      <x:c r="H34" s="255" t="str">
        <x:v>96.69</x:v>
      </x:c>
      <x:c r="I34" s="255" t="str">
        <x:v>0.4858793969849246</x:v>
      </x:c>
      <x:c r="J34" s="255" t="str">
        <x:v>5</x:v>
      </x:c>
      <x:c r="K34" s="255" t="str">
        <x:v>zoomed_entropy,zoomed_collision,ich_entropy,ich_collision,grid_entropy,grid_collision,circle_entropy,circle_collision</x:v>
      </x:c>
      <x:c r="L34" s="255" t="str">
        <x:v>181</x:v>
      </x:c>
      <x:c r="M34" s="255" t="str">
        <x:v>44</x:v>
      </x:c>
      <x:c r="N34" s="255" t="str">
        <x:v>0.9821309999097139</x:v>
      </x:c>
      <x:c r="O34" s="255" t="str">
        <x:v>True</x:v>
      </x:c>
      <x:c r="P34" s="255" t="str">
        <x:v>38</x:v>
      </x:c>
      <x:c r="Q34" s="255" t="str">
        <x:v>37</x:v>
      </x:c>
      <x:c r="R34" s="255" t="str">
        <x:v>0.5268718999577686</x:v>
      </x:c>
      <x:c r="S34" s="255" t="str">
        <x:v>True</x:v>
      </x:c>
      <x:c r="T34" s="255" t="str">
        <x:v>True</x:v>
      </x:c>
      <x:c r="U34" s="255" t="str">
        <x:v>-7</x:v>
      </x:c>
      <x:c r="V34" s="255" t="str">
        <x:v>-143</x:v>
      </x:c>
      <x:c r="W34" s="255" t="str">
        <x:v>-0.45525909995194525</x:v>
      </x:c>
      <x:c r="X34" s="255" t="str">
        <x:v>0.8409090909090909</x:v>
      </x:c>
      <x:c r="Y34" s="255" t="str">
        <x:v>137</x:v>
      </x:c>
      <x:c r="Z34" s="255" t="str">
        <x:v>1</x:v>
      </x:c>
      <x:c r="AA34" s="255" t="str">
        <x:v>collision</x:v>
      </x:c>
      <x:c r="AB34" s="255" t="str">
        <x:v>collision</x:v>
      </x:c>
      <x:c r="AC34" s="255" t="str">
        <x:v>none</x:v>
      </x:c>
      <x:c r="AD34" s="255" t="str">
        <x:v>157</x:v>
      </x:c>
      <x:c r="AE34" s="255" t="str">
        <x:v>43</x:v>
      </x:c>
      <x:c r="AF34" s="255" t="str">
        <x:v>0.1182067000772804</x:v>
      </x:c>
      <x:c r="AG34" s="255" t="str">
        <x:v>True</x:v>
      </x:c>
      <x:c r="AH34" s="255" t="str">
        <x:v>145</x:v>
      </x:c>
      <x:c r="AI34" s="255" t="str">
        <x:v>48</x:v>
      </x:c>
      <x:c r="AJ34" s="255" t="str">
        <x:v>0.10551119991578162</x:v>
      </x:c>
      <x:c r="AK34" s="255" t="str">
        <x:v>True</x:v>
      </x:c>
      <x:c r="AL34" s="255" t="str">
        <x:v>True</x:v>
      </x:c>
      <x:c r="AM34" s="255" t="str">
        <x:v>5</x:v>
      </x:c>
      <x:c r="AN34" s="255" t="str">
        <x:v>-12</x:v>
      </x:c>
      <x:c r="AO34" s="255" t="str">
        <x:v>-0.012695500161498785</x:v>
      </x:c>
      <x:c r="AP34" s="255" t="str">
        <x:v>1.1162790697674418</x:v>
      </x:c>
      <x:c r="AQ34" s="255" t="str">
        <x:v>114</x:v>
      </x:c>
      <x:c r="AR34" s="255" t="str">
        <x:v>97</x:v>
      </x:c>
      <x:c r="AS34" s="255" t="str">
        <x:v>entropy</x:v>
      </x:c>
      <x:c r="AT34" s="255" t="str">
        <x:v>collision</x:v>
      </x:c>
      <x:c r="AU34" s="255" t="str">
        <x:v>none</x:v>
      </x:c>
      <x:c r="AV34" s="255" t="str">
        <x:v>183</x:v>
      </x:c>
      <x:c r="AW34" s="255" t="str">
        <x:v>45</x:v>
      </x:c>
      <x:c r="AX34" s="255" t="str">
        <x:v>0.4619675000431016</x:v>
      </x:c>
      <x:c r="AY34" s="255" t="str">
        <x:v>True</x:v>
      </x:c>
      <x:c r="AZ34" s="255" t="str">
        <x:v>71</x:v>
      </x:c>
      <x:c r="BA34" s="255" t="str">
        <x:v>40</x:v>
      </x:c>
      <x:c r="BB34" s="255" t="str">
        <x:v>0.33186190004926175</x:v>
      </x:c>
      <x:c r="BC34" s="255" t="str">
        <x:v>True</x:v>
      </x:c>
      <x:c r="BD34" s="255" t="str">
        <x:v>True</x:v>
      </x:c>
      <x:c r="BE34" s="255" t="str">
        <x:v>-5</x:v>
      </x:c>
      <x:c r="BF34" s="255" t="str">
        <x:v>-112</x:v>
      </x:c>
      <x:c r="BG34" s="255" t="str">
        <x:v>-0.13010559999383986</x:v>
      </x:c>
      <x:c r="BH34" s="255" t="str">
        <x:v>0.8888888888888888</x:v>
      </x:c>
      <x:c r="BI34" s="255" t="str">
        <x:v>138</x:v>
      </x:c>
      <x:c r="BJ34" s="255" t="str">
        <x:v>31</x:v>
      </x:c>
      <x:c r="BK34" s="255" t="str">
        <x:v>collision</x:v>
      </x:c>
      <x:c r="BL34" s="255" t="str">
        <x:v>collision</x:v>
      </x:c>
      <x:c r="BM34" s="255" t="str">
        <x:v>none</x:v>
      </x:c>
      <x:c r="BN34" s="255" t="str">
        <x:v>41</x:v>
      </x:c>
      <x:c r="BO34" s="255" t="str">
        <x:v>41</x:v>
      </x:c>
      <x:c r="BP34" s="255" t="str">
        <x:v>1.3541628000093624</x:v>
      </x:c>
      <x:c r="BQ34" s="255" t="str">
        <x:v>True</x:v>
      </x:c>
      <x:c r="BR34" s="255" t="str">
        <x:v>39</x:v>
      </x:c>
      <x:c r="BS34" s="255" t="str">
        <x:v>39</x:v>
      </x:c>
      <x:c r="BT34" s="255" t="str">
        <x:v>1.2701671000104398</x:v>
      </x:c>
      <x:c r="BU34" s="255" t="str">
        <x:v>True</x:v>
      </x:c>
      <x:c r="BV34" s="255" t="str">
        <x:v>True</x:v>
      </x:c>
      <x:c r="BW34" s="255" t="str">
        <x:v>-2</x:v>
      </x:c>
      <x:c r="BX34" s="255" t="str">
        <x:v>-2</x:v>
      </x:c>
      <x:c r="BY34" s="255" t="str">
        <x:v>-0.08399569999892265</x:v>
      </x:c>
      <x:c r="BZ34" s="255" t="str">
        <x:v>0.9512195121951219</x:v>
      </x:c>
      <x:c r="CA34" s="255" t="str">
        <x:v>0</x:v>
      </x:c>
      <x:c r="CB34" s="255" t="str">
        <x:v>0</x:v>
      </x:c>
      <x:c r="CC34" s="255" t="str">
        <x:v>collision</x:v>
      </x:c>
      <x:c r="CD34" s="255" t="str">
        <x:v>collision</x:v>
      </x:c>
      <x:c r="CE34" s="255" t="str">
        <x:v>none</x:v>
      </x:c>
    </x:row>
    <x:row r="35">
      <x:c r="A35" s="255" t="str">
        <x:v>200</x:v>
      </x:c>
      <x:c r="B35" s="255" t="str">
        <x:v>0.7</x:v>
      </x:c>
      <x:c r="C35" s="255" t="str">
        <x:v>1</x:v>
      </x:c>
      <x:c r="D35" s="255" t="str">
        <x:v>2846692824</x:v>
      </x:c>
      <x:c r="E35" s="255" t="str">
        <x:v>14978</x:v>
      </x:c>
      <x:c r="F35" s="255" t="str">
        <x:v>1</x:v>
      </x:c>
      <x:c r="G35" s="255" t="str">
        <x:v>200</x:v>
      </x:c>
      <x:c r="H35" s="255" t="str">
        <x:v>149.78</x:v>
      </x:c>
      <x:c r="I35" s="255" t="str">
        <x:v>0.7526633165829145</x:v>
      </x:c>
      <x:c r="J35" s="255" t="str">
        <x:v>5</x:v>
      </x:c>
      <x:c r="K35" s="255" t="str">
        <x:v>grid_entropy,grid_collision,circle_entropy,circle_collision,zoomed_entropy,zoomed_collision,ich_entropy,ich_collision</x:v>
      </x:c>
      <x:c r="L35" s="255" t="str">
        <x:v>173</x:v>
      </x:c>
      <x:c r="M35" s="255" t="str">
        <x:v>64</x:v>
      </x:c>
      <x:c r="N35" s="255" t="str">
        <x:v>0.9302510999841616</x:v>
      </x:c>
      <x:c r="O35" s="255" t="str">
        <x:v>True</x:v>
      </x:c>
      <x:c r="P35" s="255" t="str">
        <x:v>57</x:v>
      </x:c>
      <x:c r="Q35" s="255" t="str">
        <x:v>57</x:v>
      </x:c>
      <x:c r="R35" s="255" t="str">
        <x:v>0.7110652000410482</x:v>
      </x:c>
      <x:c r="S35" s="255" t="str">
        <x:v>True</x:v>
      </x:c>
      <x:c r="T35" s="255" t="str">
        <x:v>True</x:v>
      </x:c>
      <x:c r="U35" s="255" t="str">
        <x:v>-7</x:v>
      </x:c>
      <x:c r="V35" s="255" t="str">
        <x:v>-116</x:v>
      </x:c>
      <x:c r="W35" s="255" t="str">
        <x:v>-0.21918589994311333</x:v>
      </x:c>
      <x:c r="X35" s="255" t="str">
        <x:v>0.890625</x:v>
      </x:c>
      <x:c r="Y35" s="255" t="str">
        <x:v>109</x:v>
      </x:c>
      <x:c r="Z35" s="255" t="str">
        <x:v>0</x:v>
      </x:c>
      <x:c r="AA35" s="255" t="str">
        <x:v>collision</x:v>
      </x:c>
      <x:c r="AB35" s="255" t="str">
        <x:v>collision</x:v>
      </x:c>
      <x:c r="AC35" s="255" t="str">
        <x:v>none</x:v>
      </x:c>
      <x:c r="AD35" s="255" t="str">
        <x:v>176</x:v>
      </x:c>
      <x:c r="AE35" s="255" t="str">
        <x:v>74</x:v>
      </x:c>
      <x:c r="AF35" s="255" t="str">
        <x:v>0.23388960002921522</x:v>
      </x:c>
      <x:c r="AG35" s="255" t="str">
        <x:v>True</x:v>
      </x:c>
      <x:c r="AH35" s="255" t="str">
        <x:v>170</x:v>
      </x:c>
      <x:c r="AI35" s="255" t="str">
        <x:v>74</x:v>
      </x:c>
      <x:c r="AJ35" s="255" t="str">
        <x:v>0.20981519995257258</x:v>
      </x:c>
      <x:c r="AK35" s="255" t="str">
        <x:v>True</x:v>
      </x:c>
      <x:c r="AL35" s="255" t="str">
        <x:v>True</x:v>
      </x:c>
      <x:c r="AM35" s="255" t="str">
        <x:v>0</x:v>
      </x:c>
      <x:c r="AN35" s="255" t="str">
        <x:v>-6</x:v>
      </x:c>
      <x:c r="AO35" s="255" t="str">
        <x:v>-0.024074400076642632</x:v>
      </x:c>
      <x:c r="AP35" s="255" t="str">
        <x:v>1.0</x:v>
      </x:c>
      <x:c r="AQ35" s="255" t="str">
        <x:v>102</x:v>
      </x:c>
      <x:c r="AR35" s="255" t="str">
        <x:v>96</x:v>
      </x:c>
      <x:c r="AS35" s="255" t="str">
        <x:v>tie</x:v>
      </x:c>
      <x:c r="AT35" s="255" t="str">
        <x:v>collision</x:v>
      </x:c>
      <x:c r="AU35" s="255" t="str">
        <x:v>none</x:v>
      </x:c>
      <x:c r="AV35" s="255" t="str">
        <x:v>194</x:v>
      </x:c>
      <x:c r="AW35" s="255" t="str">
        <x:v>75</x:v>
      </x:c>
      <x:c r="AX35" s="255" t="str">
        <x:v>0.39204230008181185</x:v>
      </x:c>
      <x:c r="AY35" s="255" t="str">
        <x:v>True</x:v>
      </x:c>
      <x:c r="AZ35" s="255" t="str">
        <x:v>135</x:v>
      </x:c>
      <x:c r="BA35" s="255" t="str">
        <x:v>72</x:v>
      </x:c>
      <x:c r="BB35" s="255" t="str">
        <x:v>0.4616367000853643</x:v>
      </x:c>
      <x:c r="BC35" s="255" t="str">
        <x:v>True</x:v>
      </x:c>
      <x:c r="BD35" s="255" t="str">
        <x:v>True</x:v>
      </x:c>
      <x:c r="BE35" s="255" t="str">
        <x:v>-3</x:v>
      </x:c>
      <x:c r="BF35" s="255" t="str">
        <x:v>-59</x:v>
      </x:c>
      <x:c r="BG35" s="255" t="str">
        <x:v>0.06959440000355244</x:v>
      </x:c>
      <x:c r="BH35" s="255" t="str">
        <x:v>0.96</x:v>
      </x:c>
      <x:c r="BI35" s="255" t="str">
        <x:v>119</x:v>
      </x:c>
      <x:c r="BJ35" s="255" t="str">
        <x:v>63</x:v>
      </x:c>
      <x:c r="BK35" s="255" t="str">
        <x:v>collision</x:v>
      </x:c>
      <x:c r="BL35" s="255" t="str">
        <x:v>entropy</x:v>
      </x:c>
      <x:c r="BM35" s="255" t="str">
        <x:v>none</x:v>
      </x:c>
      <x:c r="BN35" s="255" t="str">
        <x:v>61</x:v>
      </x:c>
      <x:c r="BO35" s="255" t="str">
        <x:v>61</x:v>
      </x:c>
      <x:c r="BP35" s="255" t="str">
        <x:v>1.6860307999886572</x:v>
      </x:c>
      <x:c r="BQ35" s="255" t="str">
        <x:v>True</x:v>
      </x:c>
      <x:c r="BR35" s="255" t="str">
        <x:v>60</x:v>
      </x:c>
      <x:c r="BS35" s="255" t="str">
        <x:v>60</x:v>
      </x:c>
      <x:c r="BT35" s="255" t="str">
        <x:v>1.5082287000259385</x:v>
      </x:c>
      <x:c r="BU35" s="255" t="str">
        <x:v>True</x:v>
      </x:c>
      <x:c r="BV35" s="255" t="str">
        <x:v>True</x:v>
      </x:c>
      <x:c r="BW35" s="255" t="str">
        <x:v>-1</x:v>
      </x:c>
      <x:c r="BX35" s="255" t="str">
        <x:v>-1</x:v>
      </x:c>
      <x:c r="BY35" s="255" t="str">
        <x:v>-0.17780209996271878</x:v>
      </x:c>
      <x:c r="BZ35" s="255" t="str">
        <x:v>0.9836065573770492</x:v>
      </x:c>
      <x:c r="CA35" s="255" t="str">
        <x:v>0</x:v>
      </x:c>
      <x:c r="CB35" s="255" t="str">
        <x:v>0</x:v>
      </x:c>
      <x:c r="CC35" s="255" t="str">
        <x:v>collision</x:v>
      </x:c>
      <x:c r="CD35" s="255" t="str">
        <x:v>collision</x:v>
      </x:c>
      <x:c r="CE35" s="255" t="str">
        <x:v>none</x:v>
      </x:c>
    </x:row>
    <x:row r="36">
      <x:c r="A36" s="255" t="str">
        <x:v>200</x:v>
      </x:c>
      <x:c r="B36" s="255" t="str">
        <x:v>0.7</x:v>
      </x:c>
      <x:c r="C36" s="255" t="str">
        <x:v>2</x:v>
      </x:c>
      <x:c r="D36" s="255" t="str">
        <x:v>2777253374</x:v>
      </x:c>
      <x:c r="E36" s="255" t="str">
        <x:v>15264</x:v>
      </x:c>
      <x:c r="F36" s="255" t="str">
        <x:v>1</x:v>
      </x:c>
      <x:c r="G36" s="255" t="str">
        <x:v>200</x:v>
      </x:c>
      <x:c r="H36" s="255" t="str">
        <x:v>152.64</x:v>
      </x:c>
      <x:c r="I36" s="255" t="str">
        <x:v>0.767035175879397</x:v>
      </x:c>
      <x:c r="J36" s="255" t="str">
        <x:v>5</x:v>
      </x:c>
      <x:c r="K36" s="255" t="str">
        <x:v>circle_collision,circle_entropy,zoomed_collision,zoomed_entropy,ich_collision,ich_entropy,grid_collision,grid_entropy</x:v>
      </x:c>
      <x:c r="L36" s="255" t="str">
        <x:v>187</x:v>
      </x:c>
      <x:c r="M36" s="255" t="str">
        <x:v>65</x:v>
      </x:c>
      <x:c r="N36" s="255" t="str">
        <x:v>0.9642201999668032</x:v>
      </x:c>
      <x:c r="O36" s="255" t="str">
        <x:v>True</x:v>
      </x:c>
      <x:c r="P36" s="255" t="str">
        <x:v>63</x:v>
      </x:c>
      <x:c r="Q36" s="255" t="str">
        <x:v>59</x:v>
      </x:c>
      <x:c r="R36" s="255" t="str">
        <x:v>0.7893704000161961</x:v>
      </x:c>
      <x:c r="S36" s="255" t="str">
        <x:v>True</x:v>
      </x:c>
      <x:c r="T36" s="255" t="str">
        <x:v>True</x:v>
      </x:c>
      <x:c r="U36" s="255" t="str">
        <x:v>-6</x:v>
      </x:c>
      <x:c r="V36" s="255" t="str">
        <x:v>-124</x:v>
      </x:c>
      <x:c r="W36" s="255" t="str">
        <x:v>-0.17484979995060712</x:v>
      </x:c>
      <x:c r="X36" s="255" t="str">
        <x:v>0.9076923076923077</x:v>
      </x:c>
      <x:c r="Y36" s="255" t="str">
        <x:v>122</x:v>
      </x:c>
      <x:c r="Z36" s="255" t="str">
        <x:v>4</x:v>
      </x:c>
      <x:c r="AA36" s="255" t="str">
        <x:v>collision</x:v>
      </x:c>
      <x:c r="AB36" s="255" t="str">
        <x:v>collision</x:v>
      </x:c>
      <x:c r="AC36" s="255" t="str">
        <x:v>none</x:v>
      </x:c>
      <x:c r="AD36" s="255" t="str">
        <x:v>189</x:v>
      </x:c>
      <x:c r="AE36" s="255" t="str">
        <x:v>70</x:v>
      </x:c>
      <x:c r="AF36" s="255" t="str">
        <x:v>0.3817505999468267</x:v>
      </x:c>
      <x:c r="AG36" s="255" t="str">
        <x:v>True</x:v>
      </x:c>
      <x:c r="AH36" s="255" t="str">
        <x:v>183</x:v>
      </x:c>
      <x:c r="AI36" s="255" t="str">
        <x:v>71</x:v>
      </x:c>
      <x:c r="AJ36" s="255" t="str">
        <x:v>0.41928859998006374</x:v>
      </x:c>
      <x:c r="AK36" s="255" t="str">
        <x:v>True</x:v>
      </x:c>
      <x:c r="AL36" s="255" t="str">
        <x:v>True</x:v>
      </x:c>
      <x:c r="AM36" s="255" t="str">
        <x:v>1</x:v>
      </x:c>
      <x:c r="AN36" s="255" t="str">
        <x:v>-6</x:v>
      </x:c>
      <x:c r="AO36" s="255" t="str">
        <x:v>0.03753800003323704</x:v>
      </x:c>
      <x:c r="AP36" s="255" t="str">
        <x:v>1.0142857142857142</x:v>
      </x:c>
      <x:c r="AQ36" s="255" t="str">
        <x:v>119</x:v>
      </x:c>
      <x:c r="AR36" s="255" t="str">
        <x:v>112</x:v>
      </x:c>
      <x:c r="AS36" s="255" t="str">
        <x:v>entropy</x:v>
      </x:c>
      <x:c r="AT36" s="255" t="str">
        <x:v>entropy</x:v>
      </x:c>
      <x:c r="AU36" s="255" t="str">
        <x:v>none</x:v>
      </x:c>
      <x:c r="AV36" s="255" t="str">
        <x:v>192</x:v>
      </x:c>
      <x:c r="AW36" s="255" t="str">
        <x:v>64</x:v>
      </x:c>
      <x:c r="AX36" s="255" t="str">
        <x:v>0.4369277999503538</x:v>
      </x:c>
      <x:c r="AY36" s="255" t="str">
        <x:v>True</x:v>
      </x:c>
      <x:c r="AZ36" s="255" t="str">
        <x:v>122</x:v>
      </x:c>
      <x:c r="BA36" s="255" t="str">
        <x:v>62</x:v>
      </x:c>
      <x:c r="BB36" s="255" t="str">
        <x:v>0.49937649990897626</x:v>
      </x:c>
      <x:c r="BC36" s="255" t="str">
        <x:v>True</x:v>
      </x:c>
      <x:c r="BD36" s="255" t="str">
        <x:v>True</x:v>
      </x:c>
      <x:c r="BE36" s="255" t="str">
        <x:v>-2</x:v>
      </x:c>
      <x:c r="BF36" s="255" t="str">
        <x:v>-70</x:v>
      </x:c>
      <x:c r="BG36" s="255" t="str">
        <x:v>0.062448699958622456</x:v>
      </x:c>
      <x:c r="BH36" s="255" t="str">
        <x:v>0.96875</x:v>
      </x:c>
      <x:c r="BI36" s="255" t="str">
        <x:v>128</x:v>
      </x:c>
      <x:c r="BJ36" s="255" t="str">
        <x:v>60</x:v>
      </x:c>
      <x:c r="BK36" s="255" t="str">
        <x:v>collision</x:v>
      </x:c>
      <x:c r="BL36" s="255" t="str">
        <x:v>entropy</x:v>
      </x:c>
      <x:c r="BM36" s="255" t="str">
        <x:v>none</x:v>
      </x:c>
      <x:c r="BN36" s="255" t="str">
        <x:v>61</x:v>
      </x:c>
      <x:c r="BO36" s="255" t="str">
        <x:v>61</x:v>
      </x:c>
      <x:c r="BP36" s="255" t="str">
        <x:v>1.6047682000789791</x:v>
      </x:c>
      <x:c r="BQ36" s="255" t="str">
        <x:v>True</x:v>
      </x:c>
      <x:c r="BR36" s="255" t="str">
        <x:v>62</x:v>
      </x:c>
      <x:c r="BS36" s="255" t="str">
        <x:v>62</x:v>
      </x:c>
      <x:c r="BT36" s="255" t="str">
        <x:v>1.5300938000436872</x:v>
      </x:c>
      <x:c r="BU36" s="255" t="str">
        <x:v>True</x:v>
      </x:c>
      <x:c r="BV36" s="255" t="str">
        <x:v>True</x:v>
      </x:c>
      <x:c r="BW36" s="255" t="str">
        <x:v>1</x:v>
      </x:c>
      <x:c r="BX36" s="255" t="str">
        <x:v>1</x:v>
      </x:c>
      <x:c r="BY36" s="255" t="str">
        <x:v>-0.07467440003529191</x:v>
      </x:c>
      <x:c r="BZ36" s="255" t="str">
        <x:v>1.0163934426229508</x:v>
      </x:c>
      <x:c r="CA36" s="255" t="str">
        <x:v>0</x:v>
      </x:c>
      <x:c r="CB36" s="255" t="str">
        <x:v>0</x:v>
      </x:c>
      <x:c r="CC36" s="255" t="str">
        <x:v>entropy</x:v>
      </x:c>
      <x:c r="CD36" s="255" t="str">
        <x:v>collision</x:v>
      </x:c>
      <x:c r="CE36" s="255" t="str">
        <x:v>none</x:v>
      </x:c>
    </x:row>
    <x:row r="37">
      <x:c r="A37" s="255" t="str">
        <x:v>200</x:v>
      </x:c>
      <x:c r="B37" s="255" t="str">
        <x:v>0.7</x:v>
      </x:c>
      <x:c r="C37" s="255" t="str">
        <x:v>3</x:v>
      </x:c>
      <x:c r="D37" s="255" t="str">
        <x:v>1341199423</x:v>
      </x:c>
      <x:c r="E37" s="255" t="str">
        <x:v>13628</x:v>
      </x:c>
      <x:c r="F37" s="255" t="str">
        <x:v>1</x:v>
      </x:c>
      <x:c r="G37" s="255" t="str">
        <x:v>200</x:v>
      </x:c>
      <x:c r="H37" s="255" t="str">
        <x:v>136.28</x:v>
      </x:c>
      <x:c r="I37" s="255" t="str">
        <x:v>0.6848241206030151</x:v>
      </x:c>
      <x:c r="J37" s="255" t="str">
        <x:v>5</x:v>
      </x:c>
      <x:c r="K37" s="255" t="str">
        <x:v>zoomed_entropy,zoomed_collision,ich_entropy,ich_collision,grid_entropy,grid_collision,circle_entropy,circle_collision</x:v>
      </x:c>
      <x:c r="L37" s="255" t="str">
        <x:v>176</x:v>
      </x:c>
      <x:c r="M37" s="255" t="str">
        <x:v>54</x:v>
      </x:c>
      <x:c r="N37" s="255" t="str">
        <x:v>0.932438199990429</x:v>
      </x:c>
      <x:c r="O37" s="255" t="str">
        <x:v>True</x:v>
      </x:c>
      <x:c r="P37" s="255" t="str">
        <x:v>47</x:v>
      </x:c>
      <x:c r="Q37" s="255" t="str">
        <x:v>47</x:v>
      </x:c>
      <x:c r="R37" s="255" t="str">
        <x:v>0.6034734999993816</x:v>
      </x:c>
      <x:c r="S37" s="255" t="str">
        <x:v>True</x:v>
      </x:c>
      <x:c r="T37" s="255" t="str">
        <x:v>True</x:v>
      </x:c>
      <x:c r="U37" s="255" t="str">
        <x:v>-7</x:v>
      </x:c>
      <x:c r="V37" s="255" t="str">
        <x:v>-129</x:v>
      </x:c>
      <x:c r="W37" s="255" t="str">
        <x:v>-0.3289646999910474</x:v>
      </x:c>
      <x:c r="X37" s="255" t="str">
        <x:v>0.8703703703703703</x:v>
      </x:c>
      <x:c r="Y37" s="255" t="str">
        <x:v>122</x:v>
      </x:c>
      <x:c r="Z37" s="255" t="str">
        <x:v>0</x:v>
      </x:c>
      <x:c r="AA37" s="255" t="str">
        <x:v>collision</x:v>
      </x:c>
      <x:c r="AB37" s="255" t="str">
        <x:v>collision</x:v>
      </x:c>
      <x:c r="AC37" s="255" t="str">
        <x:v>none</x:v>
      </x:c>
      <x:c r="AD37" s="255" t="str">
        <x:v>168</x:v>
      </x:c>
      <x:c r="AE37" s="255" t="str">
        <x:v>61</x:v>
      </x:c>
      <x:c r="AF37" s="255" t="str">
        <x:v>0.2526017000200227</x:v>
      </x:c>
      <x:c r="AG37" s="255" t="str">
        <x:v>True</x:v>
      </x:c>
      <x:c r="AH37" s="255" t="str">
        <x:v>159</x:v>
      </x:c>
      <x:c r="AI37" s="255" t="str">
        <x:v>59</x:v>
      </x:c>
      <x:c r="AJ37" s="255" t="str">
        <x:v>0.26049019990023226</x:v>
      </x:c>
      <x:c r="AK37" s="255" t="str">
        <x:v>True</x:v>
      </x:c>
      <x:c r="AL37" s="255" t="str">
        <x:v>True</x:v>
      </x:c>
      <x:c r="AM37" s="255" t="str">
        <x:v>-2</x:v>
      </x:c>
      <x:c r="AN37" s="255" t="str">
        <x:v>-9</x:v>
      </x:c>
      <x:c r="AO37" s="255" t="str">
        <x:v>0.007888499880209565</x:v>
      </x:c>
      <x:c r="AP37" s="255" t="str">
        <x:v>0.9672131147540983</x:v>
      </x:c>
      <x:c r="AQ37" s="255" t="str">
        <x:v>107</x:v>
      </x:c>
      <x:c r="AR37" s="255" t="str">
        <x:v>100</x:v>
      </x:c>
      <x:c r="AS37" s="255" t="str">
        <x:v>collision</x:v>
      </x:c>
      <x:c r="AT37" s="255" t="str">
        <x:v>entropy</x:v>
      </x:c>
      <x:c r="AU37" s="255" t="str">
        <x:v>none</x:v>
      </x:c>
      <x:c r="AV37" s="255" t="str">
        <x:v>175</x:v>
      </x:c>
      <x:c r="AW37" s="255" t="str">
        <x:v>57</x:v>
      </x:c>
      <x:c r="AX37" s="255" t="str">
        <x:v>0.5125522000016645</x:v>
      </x:c>
      <x:c r="AY37" s="255" t="str">
        <x:v>True</x:v>
      </x:c>
      <x:c r="AZ37" s="255" t="str">
        <x:v>88</x:v>
      </x:c>
      <x:c r="BA37" s="255" t="str">
        <x:v>55</x:v>
      </x:c>
      <x:c r="BB37" s="255" t="str">
        <x:v>0.4272059000795707</x:v>
      </x:c>
      <x:c r="BC37" s="255" t="str">
        <x:v>True</x:v>
      </x:c>
      <x:c r="BD37" s="255" t="str">
        <x:v>True</x:v>
      </x:c>
      <x:c r="BE37" s="255" t="str">
        <x:v>-2</x:v>
      </x:c>
      <x:c r="BF37" s="255" t="str">
        <x:v>-87</x:v>
      </x:c>
      <x:c r="BG37" s="255" t="str">
        <x:v>-0.08534629992209375</x:v>
      </x:c>
      <x:c r="BH37" s="255" t="str">
        <x:v>0.9649122807017544</x:v>
      </x:c>
      <x:c r="BI37" s="255" t="str">
        <x:v>118</x:v>
      </x:c>
      <x:c r="BJ37" s="255" t="str">
        <x:v>33</x:v>
      </x:c>
      <x:c r="BK37" s="255" t="str">
        <x:v>collision</x:v>
      </x:c>
      <x:c r="BL37" s="255" t="str">
        <x:v>collision</x:v>
      </x:c>
      <x:c r="BM37" s="255" t="str">
        <x:v>none</x:v>
      </x:c>
      <x:c r="BN37" s="255" t="str">
        <x:v>47</x:v>
      </x:c>
      <x:c r="BO37" s="255" t="str">
        <x:v>47</x:v>
      </x:c>
      <x:c r="BP37" s="255" t="str">
        <x:v>1.4095280999317765</x:v>
      </x:c>
      <x:c r="BQ37" s="255" t="str">
        <x:v>True</x:v>
      </x:c>
      <x:c r="BR37" s="255" t="str">
        <x:v>50</x:v>
      </x:c>
      <x:c r="BS37" s="255" t="str">
        <x:v>50</x:v>
      </x:c>
      <x:c r="BT37" s="255" t="str">
        <x:v>1.3279500999487936</x:v>
      </x:c>
      <x:c r="BU37" s="255" t="str">
        <x:v>True</x:v>
      </x:c>
      <x:c r="BV37" s="255" t="str">
        <x:v>True</x:v>
      </x:c>
      <x:c r="BW37" s="255" t="str">
        <x:v>3</x:v>
      </x:c>
      <x:c r="BX37" s="255" t="str">
        <x:v>3</x:v>
      </x:c>
      <x:c r="BY37" s="255" t="str">
        <x:v>-0.08157799998298287</x:v>
      </x:c>
      <x:c r="BZ37" s="255" t="str">
        <x:v>1.0638297872340425</x:v>
      </x:c>
      <x:c r="CA37" s="255" t="str">
        <x:v>0</x:v>
      </x:c>
      <x:c r="CB37" s="255" t="str">
        <x:v>0</x:v>
      </x:c>
      <x:c r="CC37" s="255" t="str">
        <x:v>entropy</x:v>
      </x:c>
      <x:c r="CD37" s="255" t="str">
        <x:v>collision</x:v>
      </x:c>
      <x:c r="CE37" s="255" t="str">
        <x:v>none</x:v>
      </x:c>
    </x:row>
    <x:row r="38">
      <x:c r="A38" s="255" t="str">
        <x:v>500</x:v>
      </x:c>
      <x:c r="B38" s="255" t="str">
        <x:v>0.1</x:v>
      </x:c>
      <x:c r="C38" s="255" t="str">
        <x:v>1</x:v>
      </x:c>
      <x:c r="D38" s="255" t="str">
        <x:v>3561489305</x:v>
      </x:c>
      <x:c r="E38" s="255" t="str">
        <x:v>3494</x:v>
      </x:c>
      <x:c r="F38" s="255" t="str">
        <x:v>1</x:v>
      </x:c>
      <x:c r="G38" s="255" t="str">
        <x:v>500</x:v>
      </x:c>
      <x:c r="H38" s="255" t="str">
        <x:v>13.976</x:v>
      </x:c>
      <x:c r="I38" s="255" t="str">
        <x:v>0.02800801603206413</x:v>
      </x:c>
      <x:c r="J38" s="255" t="str">
        <x:v>5</x:v>
      </x:c>
      <x:c r="K38" s="255" t="str">
        <x:v>grid_entropy,grid_collision,circle_entropy,circle_collision,zoomed_entropy,zoomed_collision,ich_entropy,ich_collision</x:v>
      </x:c>
      <x:c r="L38" s="255" t="str">
        <x:v>321</x:v>
      </x:c>
      <x:c r="M38" s="255" t="str">
        <x:v>56</x:v>
      </x:c>
      <x:c r="N38" s="255" t="str">
        <x:v>0.7853285999735817</x:v>
      </x:c>
      <x:c r="O38" s="255" t="str">
        <x:v>True</x:v>
      </x:c>
      <x:c r="P38" s="255" t="str">
        <x:v>180</x:v>
      </x:c>
      <x:c r="Q38" s="255" t="str">
        <x:v>58</x:v>
      </x:c>
      <x:c r="R38" s="255" t="str">
        <x:v>0.4679550000000745</x:v>
      </x:c>
      <x:c r="S38" s="255" t="str">
        <x:v>True</x:v>
      </x:c>
      <x:c r="T38" s="255" t="str">
        <x:v>True</x:v>
      </x:c>
      <x:c r="U38" s="255" t="str">
        <x:v>2</x:v>
      </x:c>
      <x:c r="V38" s="255" t="str">
        <x:v>-141</x:v>
      </x:c>
      <x:c r="W38" s="255" t="str">
        <x:v>-0.3173735999735072</x:v>
      </x:c>
      <x:c r="X38" s="255" t="str">
        <x:v>1.0357142857142858</x:v>
      </x:c>
      <x:c r="Y38" s="255" t="str">
        <x:v>265</x:v>
      </x:c>
      <x:c r="Z38" s="255" t="str">
        <x:v>122</x:v>
      </x:c>
      <x:c r="AA38" s="255" t="str">
        <x:v>entropy</x:v>
      </x:c>
      <x:c r="AB38" s="255" t="str">
        <x:v>collision</x:v>
      </x:c>
      <x:c r="AC38" s="255" t="str">
        <x:v>none</x:v>
      </x:c>
      <x:c r="AD38" s="255" t="str">
        <x:v>367</x:v>
      </x:c>
      <x:c r="AE38" s="255" t="str">
        <x:v>58</x:v>
      </x:c>
      <x:c r="AF38" s="255" t="str">
        <x:v>0.9938068999908864</x:v>
      </x:c>
      <x:c r="AG38" s="255" t="str">
        <x:v>True</x:v>
      </x:c>
      <x:c r="AH38" s="255" t="str">
        <x:v>293</x:v>
      </x:c>
      <x:c r="AI38" s="255" t="str">
        <x:v>55</x:v>
      </x:c>
      <x:c r="AJ38" s="255" t="str">
        <x:v>0.8250180999748409</x:v>
      </x:c>
      <x:c r="AK38" s="255" t="str">
        <x:v>True</x:v>
      </x:c>
      <x:c r="AL38" s="255" t="str">
        <x:v>True</x:v>
      </x:c>
      <x:c r="AM38" s="255" t="str">
        <x:v>-3</x:v>
      </x:c>
      <x:c r="AN38" s="255" t="str">
        <x:v>-74</x:v>
      </x:c>
      <x:c r="AO38" s="255" t="str">
        <x:v>-0.16878880001604557</x:v>
      </x:c>
      <x:c r="AP38" s="255" t="str">
        <x:v>0.9482758620689655</x:v>
      </x:c>
      <x:c r="AQ38" s="255" t="str">
        <x:v>309</x:v>
      </x:c>
      <x:c r="AR38" s="255" t="str">
        <x:v>238</x:v>
      </x:c>
      <x:c r="AS38" s="255" t="str">
        <x:v>collision</x:v>
      </x:c>
      <x:c r="AT38" s="255" t="str">
        <x:v>collision</x:v>
      </x:c>
      <x:c r="AU38" s="255" t="str">
        <x:v>none</x:v>
      </x:c>
      <x:c r="AV38" s="255" t="str">
        <x:v>342</x:v>
      </x:c>
      <x:c r="AW38" s="255" t="str">
        <x:v>57</x:v>
      </x:c>
      <x:c r="AX38" s="255" t="str">
        <x:v>0.8905953000066802</x:v>
      </x:c>
      <x:c r="AY38" s="255" t="str">
        <x:v>True</x:v>
      </x:c>
      <x:c r="AZ38" s="255" t="str">
        <x:v>270</x:v>
      </x:c>
      <x:c r="BA38" s="255" t="str">
        <x:v>56</x:v>
      </x:c>
      <x:c r="BB38" s="255" t="str">
        <x:v>0.8195944000035524</x:v>
      </x:c>
      <x:c r="BC38" s="255" t="str">
        <x:v>True</x:v>
      </x:c>
      <x:c r="BD38" s="255" t="str">
        <x:v>True</x:v>
      </x:c>
      <x:c r="BE38" s="255" t="str">
        <x:v>-1</x:v>
      </x:c>
      <x:c r="BF38" s="255" t="str">
        <x:v>-72</x:v>
      </x:c>
      <x:c r="BG38" s="255" t="str">
        <x:v>-0.07100090000312775</x:v>
      </x:c>
      <x:c r="BH38" s="255" t="str">
        <x:v>0.9824561403508771</x:v>
      </x:c>
      <x:c r="BI38" s="255" t="str">
        <x:v>285</x:v>
      </x:c>
      <x:c r="BJ38" s="255" t="str">
        <x:v>214</x:v>
      </x:c>
      <x:c r="BK38" s="255" t="str">
        <x:v>collision</x:v>
      </x:c>
      <x:c r="BL38" s="255" t="str">
        <x:v>collision</x:v>
      </x:c>
      <x:c r="BM38" s="255" t="str">
        <x:v>none</x:v>
      </x:c>
      <x:c r="BN38" s="255" t="str">
        <x:v>55</x:v>
      </x:c>
      <x:c r="BO38" s="255" t="str">
        <x:v>55</x:v>
      </x:c>
      <x:c r="BP38" s="255" t="str">
        <x:v>19.10659520002082</x:v>
      </x:c>
      <x:c r="BQ38" s="255" t="str">
        <x:v>True</x:v>
      </x:c>
      <x:c r="BR38" s="255" t="str">
        <x:v>56</x:v>
      </x:c>
      <x:c r="BS38" s="255" t="str">
        <x:v>56</x:v>
      </x:c>
      <x:c r="BT38" s="255" t="str">
        <x:v>20.874571399996057</x:v>
      </x:c>
      <x:c r="BU38" s="255" t="str">
        <x:v>True</x:v>
      </x:c>
      <x:c r="BV38" s="255" t="str">
        <x:v>True</x:v>
      </x:c>
      <x:c r="BW38" s="255" t="str">
        <x:v>1</x:v>
      </x:c>
      <x:c r="BX38" s="255" t="str">
        <x:v>1</x:v>
      </x:c>
      <x:c r="BY38" s="255" t="str">
        <x:v>1.7679761999752373</x:v>
      </x:c>
      <x:c r="BZ38" s="255" t="str">
        <x:v>1.018181818181818</x:v>
      </x:c>
      <x:c r="CA38" s="255" t="str">
        <x:v>0</x:v>
      </x:c>
      <x:c r="CB38" s="255" t="str">
        <x:v>0</x:v>
      </x:c>
      <x:c r="CC38" s="255" t="str">
        <x:v>entropy</x:v>
      </x:c>
      <x:c r="CD38" s="255" t="str">
        <x:v>entropy</x:v>
      </x:c>
      <x:c r="CE38" s="255" t="str">
        <x:v>none</x:v>
      </x:c>
    </x:row>
    <x:row r="39">
      <x:c r="A39" s="255" t="str">
        <x:v>500</x:v>
      </x:c>
      <x:c r="B39" s="255" t="str">
        <x:v>0.1</x:v>
      </x:c>
      <x:c r="C39" s="255" t="str">
        <x:v>2</x:v>
      </x:c>
      <x:c r="D39" s="255" t="str">
        <x:v>1763200285</x:v>
      </x:c>
      <x:c r="E39" s="255" t="str">
        <x:v>3612</x:v>
      </x:c>
      <x:c r="F39" s="255" t="str">
        <x:v>1</x:v>
      </x:c>
      <x:c r="G39" s="255" t="str">
        <x:v>500</x:v>
      </x:c>
      <x:c r="H39" s="255" t="str">
        <x:v>14.448</x:v>
      </x:c>
      <x:c r="I39" s="255" t="str">
        <x:v>0.02895390781563126</x:v>
      </x:c>
      <x:c r="J39" s="255" t="str">
        <x:v>5</x:v>
      </x:c>
      <x:c r="K39" s="255" t="str">
        <x:v>circle_collision,circle_entropy,zoomed_collision,zoomed_entropy,ich_collision,ich_entropy,grid_collision,grid_entropy</x:v>
      </x:c>
      <x:c r="L39" s="255" t="str">
        <x:v>329</x:v>
      </x:c>
      <x:c r="M39" s="255" t="str">
        <x:v>61</x:v>
      </x:c>
      <x:c r="N39" s="255" t="str">
        <x:v>1.122770500020124</x:v>
      </x:c>
      <x:c r="O39" s="255" t="str">
        <x:v>True</x:v>
      </x:c>
      <x:c r="P39" s="255" t="str">
        <x:v>185</x:v>
      </x:c>
      <x:c r="Q39" s="255" t="str">
        <x:v>59</x:v>
      </x:c>
      <x:c r="R39" s="255" t="str">
        <x:v>0.5544577999971807</x:v>
      </x:c>
      <x:c r="S39" s="255" t="str">
        <x:v>True</x:v>
      </x:c>
      <x:c r="T39" s="255" t="str">
        <x:v>True</x:v>
      </x:c>
      <x:c r="U39" s="255" t="str">
        <x:v>-2</x:v>
      </x:c>
      <x:c r="V39" s="255" t="str">
        <x:v>-144</x:v>
      </x:c>
      <x:c r="W39" s="255" t="str">
        <x:v>-0.5683127000229433</x:v>
      </x:c>
      <x:c r="X39" s="255" t="str">
        <x:v>0.9672131147540983</x:v>
      </x:c>
      <x:c r="Y39" s="255" t="str">
        <x:v>268</x:v>
      </x:c>
      <x:c r="Z39" s="255" t="str">
        <x:v>126</x:v>
      </x:c>
      <x:c r="AA39" s="255" t="str">
        <x:v>collision</x:v>
      </x:c>
      <x:c r="AB39" s="255" t="str">
        <x:v>collision</x:v>
      </x:c>
      <x:c r="AC39" s="255" t="str">
        <x:v>none</x:v>
      </x:c>
      <x:c r="AD39" s="255" t="str">
        <x:v>332</x:v>
      </x:c>
      <x:c r="AE39" s="255" t="str">
        <x:v>61</x:v>
      </x:c>
      <x:c r="AF39" s="255" t="str">
        <x:v>0.8930303000379354</x:v>
      </x:c>
      <x:c r="AG39" s="255" t="str">
        <x:v>True</x:v>
      </x:c>
      <x:c r="AH39" s="255" t="str">
        <x:v>269</x:v>
      </x:c>
      <x:c r="AI39" s="255" t="str">
        <x:v>61</x:v>
      </x:c>
      <x:c r="AJ39" s="255" t="str">
        <x:v>0.7874852999811992</x:v>
      </x:c>
      <x:c r="AK39" s="255" t="str">
        <x:v>True</x:v>
      </x:c>
      <x:c r="AL39" s="255" t="str">
        <x:v>True</x:v>
      </x:c>
      <x:c r="AM39" s="255" t="str">
        <x:v>0</x:v>
      </x:c>
      <x:c r="AN39" s="255" t="str">
        <x:v>-63</x:v>
      </x:c>
      <x:c r="AO39" s="255" t="str">
        <x:v>-0.10554500005673617</x:v>
      </x:c>
      <x:c r="AP39" s="255" t="str">
        <x:v>1.0</x:v>
      </x:c>
      <x:c r="AQ39" s="255" t="str">
        <x:v>271</x:v>
      </x:c>
      <x:c r="AR39" s="255" t="str">
        <x:v>208</x:v>
      </x:c>
      <x:c r="AS39" s="255" t="str">
        <x:v>tie</x:v>
      </x:c>
      <x:c r="AT39" s="255" t="str">
        <x:v>collision</x:v>
      </x:c>
      <x:c r="AU39" s="255" t="str">
        <x:v>none</x:v>
      </x:c>
      <x:c r="AV39" s="255" t="str">
        <x:v>357</x:v>
      </x:c>
      <x:c r="AW39" s="255" t="str">
        <x:v>61</x:v>
      </x:c>
      <x:c r="AX39" s="255" t="str">
        <x:v>1.0702403000323102</x:v>
      </x:c>
      <x:c r="AY39" s="255" t="str">
        <x:v>True</x:v>
      </x:c>
      <x:c r="AZ39" s="255" t="str">
        <x:v>272</x:v>
      </x:c>
      <x:c r="BA39" s="255" t="str">
        <x:v>63</x:v>
      </x:c>
      <x:c r="BB39" s="255" t="str">
        <x:v>0.8989208999555558</x:v>
      </x:c>
      <x:c r="BC39" s="255" t="str">
        <x:v>True</x:v>
      </x:c>
      <x:c r="BD39" s="255" t="str">
        <x:v>True</x:v>
      </x:c>
      <x:c r="BE39" s="255" t="str">
        <x:v>2</x:v>
      </x:c>
      <x:c r="BF39" s="255" t="str">
        <x:v>-85</x:v>
      </x:c>
      <x:c r="BG39" s="255" t="str">
        <x:v>-0.1713194000767544</x:v>
      </x:c>
      <x:c r="BH39" s="255" t="str">
        <x:v>1.0327868852459017</x:v>
      </x:c>
      <x:c r="BI39" s="255" t="str">
        <x:v>296</x:v>
      </x:c>
      <x:c r="BJ39" s="255" t="str">
        <x:v>209</x:v>
      </x:c>
      <x:c r="BK39" s="255" t="str">
        <x:v>entropy</x:v>
      </x:c>
      <x:c r="BL39" s="255" t="str">
        <x:v>collision</x:v>
      </x:c>
      <x:c r="BM39" s="255" t="str">
        <x:v>none</x:v>
      </x:c>
      <x:c r="BN39" s="255" t="str">
        <x:v>63</x:v>
      </x:c>
      <x:c r="BO39" s="255" t="str">
        <x:v>63</x:v>
      </x:c>
      <x:c r="BP39" s="255" t="str">
        <x:v>21.22664899996016</x:v>
      </x:c>
      <x:c r="BQ39" s="255" t="str">
        <x:v>True</x:v>
      </x:c>
      <x:c r="BR39" s="255" t="str">
        <x:v>62</x:v>
      </x:c>
      <x:c r="BS39" s="255" t="str">
        <x:v>62</x:v>
      </x:c>
      <x:c r="BT39" s="255" t="str">
        <x:v>19.29477170004975</x:v>
      </x:c>
      <x:c r="BU39" s="255" t="str">
        <x:v>True</x:v>
      </x:c>
      <x:c r="BV39" s="255" t="str">
        <x:v>True</x:v>
      </x:c>
      <x:c r="BW39" s="255" t="str">
        <x:v>-1</x:v>
      </x:c>
      <x:c r="BX39" s="255" t="str">
        <x:v>-1</x:v>
      </x:c>
      <x:c r="BY39" s="255" t="str">
        <x:v>-1.9318772999104112</x:v>
      </x:c>
      <x:c r="BZ39" s="255" t="str">
        <x:v>0.9841269841269841</x:v>
      </x:c>
      <x:c r="CA39" s="255" t="str">
        <x:v>0</x:v>
      </x:c>
      <x:c r="CB39" s="255" t="str">
        <x:v>0</x:v>
      </x:c>
      <x:c r="CC39" s="255" t="str">
        <x:v>collision</x:v>
      </x:c>
      <x:c r="CD39" s="255" t="str">
        <x:v>collision</x:v>
      </x:c>
      <x:c r="CE39" s="255" t="str">
        <x:v>none</x:v>
      </x:c>
    </x:row>
    <x:row r="40">
      <x:c r="A40" s="255" t="str">
        <x:v>500</x:v>
      </x:c>
      <x:c r="B40" s="255" t="str">
        <x:v>0.1</x:v>
      </x:c>
      <x:c r="C40" s="255" t="str">
        <x:v>3</x:v>
      </x:c>
      <x:c r="D40" s="255" t="str">
        <x:v>3181236062</x:v>
      </x:c>
      <x:c r="E40" s="255" t="str">
        <x:v>3607</x:v>
      </x:c>
      <x:c r="F40" s="255" t="str">
        <x:v>1</x:v>
      </x:c>
      <x:c r="G40" s="255" t="str">
        <x:v>500</x:v>
      </x:c>
      <x:c r="H40" s="255" t="str">
        <x:v>14.428</x:v>
      </x:c>
      <x:c r="I40" s="255" t="str">
        <x:v>0.02891382765531062</x:v>
      </x:c>
      <x:c r="J40" s="255" t="str">
        <x:v>5</x:v>
      </x:c>
      <x:c r="K40" s="255" t="str">
        <x:v>zoomed_entropy,zoomed_collision,ich_entropy,ich_collision,grid_entropy,grid_collision,circle_entropy,circle_collision</x:v>
      </x:c>
      <x:c r="L40" s="255" t="str">
        <x:v>323</x:v>
      </x:c>
      <x:c r="M40" s="255" t="str">
        <x:v>48</x:v>
      </x:c>
      <x:c r="N40" s="255" t="str">
        <x:v>0.7688188999891281</x:v>
      </x:c>
      <x:c r="O40" s="255" t="str">
        <x:v>True</x:v>
      </x:c>
      <x:c r="P40" s="255" t="str">
        <x:v>192</x:v>
      </x:c>
      <x:c r="Q40" s="255" t="str">
        <x:v>51</x:v>
      </x:c>
      <x:c r="R40" s="255" t="str">
        <x:v>0.5493878999259323</x:v>
      </x:c>
      <x:c r="S40" s="255" t="str">
        <x:v>True</x:v>
      </x:c>
      <x:c r="T40" s="255" t="str">
        <x:v>True</x:v>
      </x:c>
      <x:c r="U40" s="255" t="str">
        <x:v>3</x:v>
      </x:c>
      <x:c r="V40" s="255" t="str">
        <x:v>-131</x:v>
      </x:c>
      <x:c r="W40" s="255" t="str">
        <x:v>-0.21943100006319582</x:v>
      </x:c>
      <x:c r="X40" s="255" t="str">
        <x:v>1.0625</x:v>
      </x:c>
      <x:c r="Y40" s="255" t="str">
        <x:v>275</x:v>
      </x:c>
      <x:c r="Z40" s="255" t="str">
        <x:v>141</x:v>
      </x:c>
      <x:c r="AA40" s="255" t="str">
        <x:v>entropy</x:v>
      </x:c>
      <x:c r="AB40" s="255" t="str">
        <x:v>collision</x:v>
      </x:c>
      <x:c r="AC40" s="255" t="str">
        <x:v>none</x:v>
      </x:c>
      <x:c r="AD40" s="255" t="str">
        <x:v>331</x:v>
      </x:c>
      <x:c r="AE40" s="255" t="str">
        <x:v>53</x:v>
      </x:c>
      <x:c r="AF40" s="255" t="str">
        <x:v>0.788357499986887</x:v>
      </x:c>
      <x:c r="AG40" s="255" t="str">
        <x:v>True</x:v>
      </x:c>
      <x:c r="AH40" s="255" t="str">
        <x:v>266</x:v>
      </x:c>
      <x:c r="AI40" s="255" t="str">
        <x:v>52</x:v>
      </x:c>
      <x:c r="AJ40" s="255" t="str">
        <x:v>0.6478453000308946</x:v>
      </x:c>
      <x:c r="AK40" s="255" t="str">
        <x:v>True</x:v>
      </x:c>
      <x:c r="AL40" s="255" t="str">
        <x:v>True</x:v>
      </x:c>
      <x:c r="AM40" s="255" t="str">
        <x:v>-1</x:v>
      </x:c>
      <x:c r="AN40" s="255" t="str">
        <x:v>-65</x:v>
      </x:c>
      <x:c r="AO40" s="255" t="str">
        <x:v>-0.1405121999559924</x:v>
      </x:c>
      <x:c r="AP40" s="255" t="str">
        <x:v>0.9811320754716981</x:v>
      </x:c>
      <x:c r="AQ40" s="255" t="str">
        <x:v>278</x:v>
      </x:c>
      <x:c r="AR40" s="255" t="str">
        <x:v>214</x:v>
      </x:c>
      <x:c r="AS40" s="255" t="str">
        <x:v>collision</x:v>
      </x:c>
      <x:c r="AT40" s="255" t="str">
        <x:v>collision</x:v>
      </x:c>
      <x:c r="AU40" s="255" t="str">
        <x:v>none</x:v>
      </x:c>
      <x:c r="AV40" s="255" t="str">
        <x:v>334</x:v>
      </x:c>
      <x:c r="AW40" s="255" t="str">
        <x:v>54</x:v>
      </x:c>
      <x:c r="AX40" s="255" t="str">
        <x:v>0.8148025000700727</x:v>
      </x:c>
      <x:c r="AY40" s="255" t="str">
        <x:v>True</x:v>
      </x:c>
      <x:c r="AZ40" s="255" t="str">
        <x:v>249</x:v>
      </x:c>
      <x:c r="BA40" s="255" t="str">
        <x:v>50</x:v>
      </x:c>
      <x:c r="BB40" s="255" t="str">
        <x:v>0.7063556000357494</x:v>
      </x:c>
      <x:c r="BC40" s="255" t="str">
        <x:v>True</x:v>
      </x:c>
      <x:c r="BD40" s="255" t="str">
        <x:v>True</x:v>
      </x:c>
      <x:c r="BE40" s="255" t="str">
        <x:v>-4</x:v>
      </x:c>
      <x:c r="BF40" s="255" t="str">
        <x:v>-85</x:v>
      </x:c>
      <x:c r="BG40" s="255" t="str">
        <x:v>-0.10844690003432333</x:v>
      </x:c>
      <x:c r="BH40" s="255" t="str">
        <x:v>0.9259259259259259</x:v>
      </x:c>
      <x:c r="BI40" s="255" t="str">
        <x:v>280</x:v>
      </x:c>
      <x:c r="BJ40" s="255" t="str">
        <x:v>199</x:v>
      </x:c>
      <x:c r="BK40" s="255" t="str">
        <x:v>collision</x:v>
      </x:c>
      <x:c r="BL40" s="255" t="str">
        <x:v>collision</x:v>
      </x:c>
      <x:c r="BM40" s="255" t="str">
        <x:v>none</x:v>
      </x:c>
      <x:c r="BN40" s="255" t="str">
        <x:v>49</x:v>
      </x:c>
      <x:c r="BO40" s="255" t="str">
        <x:v>49</x:v>
      </x:c>
      <x:c r="BP40" s="255" t="str">
        <x:v>17.94523339997977</x:v>
      </x:c>
      <x:c r="BQ40" s="255" t="str">
        <x:v>True</x:v>
      </x:c>
      <x:c r="BR40" s="255" t="str">
        <x:v>52</x:v>
      </x:c>
      <x:c r="BS40" s="255" t="str">
        <x:v>52</x:v>
      </x:c>
      <x:c r="BT40" s="255" t="str">
        <x:v>17.354400799958967</x:v>
      </x:c>
      <x:c r="BU40" s="255" t="str">
        <x:v>True</x:v>
      </x:c>
      <x:c r="BV40" s="255" t="str">
        <x:v>True</x:v>
      </x:c>
      <x:c r="BW40" s="255" t="str">
        <x:v>3</x:v>
      </x:c>
      <x:c r="BX40" s="255" t="str">
        <x:v>3</x:v>
      </x:c>
      <x:c r="BY40" s="255" t="str">
        <x:v>-0.5908326000208035</x:v>
      </x:c>
      <x:c r="BZ40" s="255" t="str">
        <x:v>1.0612244897959184</x:v>
      </x:c>
      <x:c r="CA40" s="255" t="str">
        <x:v>0</x:v>
      </x:c>
      <x:c r="CB40" s="255" t="str">
        <x:v>0</x:v>
      </x:c>
      <x:c r="CC40" s="255" t="str">
        <x:v>entropy</x:v>
      </x:c>
      <x:c r="CD40" s="255" t="str">
        <x:v>collision</x:v>
      </x:c>
      <x:c r="CE40" s="255" t="str">
        <x:v>none</x:v>
      </x:c>
    </x:row>
    <x:row r="41">
      <x:c r="A41" s="255" t="str">
        <x:v>500</x:v>
      </x:c>
      <x:c r="B41" s="255" t="str">
        <x:v>0.3</x:v>
      </x:c>
      <x:c r="C41" s="255" t="str">
        <x:v>1</x:v>
      </x:c>
      <x:c r="D41" s="255" t="str">
        <x:v>824905171</x:v>
      </x:c>
      <x:c r="E41" s="255" t="str">
        <x:v>27162</x:v>
      </x:c>
      <x:c r="F41" s="255" t="str">
        <x:v>1</x:v>
      </x:c>
      <x:c r="G41" s="255" t="str">
        <x:v>500</x:v>
      </x:c>
      <x:c r="H41" s="255" t="str">
        <x:v>108.648</x:v>
      </x:c>
      <x:c r="I41" s="255" t="str">
        <x:v>0.21773146292585172</x:v>
      </x:c>
      <x:c r="J41" s="255" t="str">
        <x:v>5</x:v>
      </x:c>
      <x:c r="K41" s="255" t="str">
        <x:v>grid_entropy,grid_collision,circle_entropy,circle_collision,zoomed_entropy,zoomed_collision,ich_entropy,ich_collision</x:v>
      </x:c>
      <x:c r="L41" s="255" t="str">
        <x:v>440</x:v>
      </x:c>
      <x:c r="M41" s="255" t="str">
        <x:v>58</x:v>
      </x:c>
      <x:c r="N41" s="255" t="str">
        <x:v>1.5176848000846803</x:v>
      </x:c>
      <x:c r="O41" s="255" t="str">
        <x:v>True</x:v>
      </x:c>
      <x:c r="P41" s="255" t="str">
        <x:v>137</x:v>
      </x:c>
      <x:c r="Q41" s="255" t="str">
        <x:v>56</x:v>
      </x:c>
      <x:c r="R41" s="255" t="str">
        <x:v>1.0043868999928236</x:v>
      </x:c>
      <x:c r="S41" s="255" t="str">
        <x:v>True</x:v>
      </x:c>
      <x:c r="T41" s="255" t="str">
        <x:v>True</x:v>
      </x:c>
      <x:c r="U41" s="255" t="str">
        <x:v>-2</x:v>
      </x:c>
      <x:c r="V41" s="255" t="str">
        <x:v>-303</x:v>
      </x:c>
      <x:c r="W41" s="255" t="str">
        <x:v>-0.5132979000918567</x:v>
      </x:c>
      <x:c r="X41" s="255" t="str">
        <x:v>0.9655172413793104</x:v>
      </x:c>
      <x:c r="Y41" s="255" t="str">
        <x:v>382</x:v>
      </x:c>
      <x:c r="Z41" s="255" t="str">
        <x:v>81</x:v>
      </x:c>
      <x:c r="AA41" s="255" t="str">
        <x:v>collision</x:v>
      </x:c>
      <x:c r="AB41" s="255" t="str">
        <x:v>collision</x:v>
      </x:c>
      <x:c r="AC41" s="255" t="str">
        <x:v>none</x:v>
      </x:c>
      <x:c r="AD41" s="255" t="str">
        <x:v>445</x:v>
      </x:c>
      <x:c r="AE41" s="255" t="str">
        <x:v>62</x:v>
      </x:c>
      <x:c r="AF41" s="255" t="str">
        <x:v>0.8682428000029176</x:v>
      </x:c>
      <x:c r="AG41" s="255" t="str">
        <x:v>True</x:v>
      </x:c>
      <x:c r="AH41" s="255" t="str">
        <x:v>394</x:v>
      </x:c>
      <x:c r="AI41" s="255" t="str">
        <x:v>57</x:v>
      </x:c>
      <x:c r="AJ41" s="255" t="str">
        <x:v>0.7981987000675872</x:v>
      </x:c>
      <x:c r="AK41" s="255" t="str">
        <x:v>True</x:v>
      </x:c>
      <x:c r="AL41" s="255" t="str">
        <x:v>True</x:v>
      </x:c>
      <x:c r="AM41" s="255" t="str">
        <x:v>-5</x:v>
      </x:c>
      <x:c r="AN41" s="255" t="str">
        <x:v>-51</x:v>
      </x:c>
      <x:c r="AO41" s="255" t="str">
        <x:v>-0.07004409993533045</x:v>
      </x:c>
      <x:c r="AP41" s="255" t="str">
        <x:v>0.9193548387096774</x:v>
      </x:c>
      <x:c r="AQ41" s="255" t="str">
        <x:v>383</x:v>
      </x:c>
      <x:c r="AR41" s="255" t="str">
        <x:v>337</x:v>
      </x:c>
      <x:c r="AS41" s="255" t="str">
        <x:v>collision</x:v>
      </x:c>
      <x:c r="AT41" s="255" t="str">
        <x:v>collision</x:v>
      </x:c>
      <x:c r="AU41" s="255" t="str">
        <x:v>none</x:v>
      </x:c>
      <x:c r="AV41" s="255" t="str">
        <x:v>447</x:v>
      </x:c>
      <x:c r="AW41" s="255" t="str">
        <x:v>63</x:v>
      </x:c>
      <x:c r="AX41" s="255" t="str">
        <x:v>1.2662631999701262</x:v>
      </x:c>
      <x:c r="AY41" s="255" t="str">
        <x:v>True</x:v>
      </x:c>
      <x:c r="AZ41" s="255" t="str">
        <x:v>185</x:v>
      </x:c>
      <x:c r="BA41" s="255" t="str">
        <x:v>57</x:v>
      </x:c>
      <x:c r="BB41" s="255" t="str">
        <x:v>0.9088147999718785</x:v>
      </x:c>
      <x:c r="BC41" s="255" t="str">
        <x:v>True</x:v>
      </x:c>
      <x:c r="BD41" s="255" t="str">
        <x:v>True</x:v>
      </x:c>
      <x:c r="BE41" s="255" t="str">
        <x:v>-6</x:v>
      </x:c>
      <x:c r="BF41" s="255" t="str">
        <x:v>-262</x:v>
      </x:c>
      <x:c r="BG41" s="255" t="str">
        <x:v>-0.3574483999982476</x:v>
      </x:c>
      <x:c r="BH41" s="255" t="str">
        <x:v>0.9047619047619048</x:v>
      </x:c>
      <x:c r="BI41" s="255" t="str">
        <x:v>384</x:v>
      </x:c>
      <x:c r="BJ41" s="255" t="str">
        <x:v>128</x:v>
      </x:c>
      <x:c r="BK41" s="255" t="str">
        <x:v>collision</x:v>
      </x:c>
      <x:c r="BL41" s="255" t="str">
        <x:v>collision</x:v>
      </x:c>
      <x:c r="BM41" s="255" t="str">
        <x:v>none</x:v>
      </x:c>
      <x:c r="BN41" s="255" t="str">
        <x:v>57</x:v>
      </x:c>
      <x:c r="BO41" s="255" t="str">
        <x:v>57</x:v>
      </x:c>
      <x:c r="BP41" s="255" t="str">
        <x:v>17.91342400002759</x:v>
      </x:c>
      <x:c r="BQ41" s="255" t="str">
        <x:v>True</x:v>
      </x:c>
      <x:c r="BR41" s="255" t="str">
        <x:v>55</x:v>
      </x:c>
      <x:c r="BS41" s="255" t="str">
        <x:v>55</x:v>
      </x:c>
      <x:c r="BT41" s="255" t="str">
        <x:v>17.898463499965146</x:v>
      </x:c>
      <x:c r="BU41" s="255" t="str">
        <x:v>True</x:v>
      </x:c>
      <x:c r="BV41" s="255" t="str">
        <x:v>True</x:v>
      </x:c>
      <x:c r="BW41" s="255" t="str">
        <x:v>-2</x:v>
      </x:c>
      <x:c r="BX41" s="255" t="str">
        <x:v>-2</x:v>
      </x:c>
      <x:c r="BY41" s="255" t="str">
        <x:v>-0.014960500062443316</x:v>
      </x:c>
      <x:c r="BZ41" s="255" t="str">
        <x:v>0.9649122807017544</x:v>
      </x:c>
      <x:c r="CA41" s="255" t="str">
        <x:v>0</x:v>
      </x:c>
      <x:c r="CB41" s="255" t="str">
        <x:v>0</x:v>
      </x:c>
      <x:c r="CC41" s="255" t="str">
        <x:v>collision</x:v>
      </x:c>
      <x:c r="CD41" s="255" t="str">
        <x:v>collision</x:v>
      </x:c>
      <x:c r="CE41" s="255" t="str">
        <x:v>none</x:v>
      </x:c>
    </x:row>
    <x:row r="42">
      <x:c r="A42" s="255" t="str">
        <x:v>500</x:v>
      </x:c>
      <x:c r="B42" s="255" t="str">
        <x:v>0.3</x:v>
      </x:c>
      <x:c r="C42" s="255" t="str">
        <x:v>2</x:v>
      </x:c>
      <x:c r="D42" s="255" t="str">
        <x:v>3448118686</x:v>
      </x:c>
      <x:c r="E42" s="255" t="str">
        <x:v>27695</x:v>
      </x:c>
      <x:c r="F42" s="255" t="str">
        <x:v>1</x:v>
      </x:c>
      <x:c r="G42" s="255" t="str">
        <x:v>500</x:v>
      </x:c>
      <x:c r="H42" s="255" t="str">
        <x:v>110.78</x:v>
      </x:c>
      <x:c r="I42" s="255" t="str">
        <x:v>0.22200400801603207</x:v>
      </x:c>
      <x:c r="J42" s="255" t="str">
        <x:v>5</x:v>
      </x:c>
      <x:c r="K42" s="255" t="str">
        <x:v>circle_collision,circle_entropy,zoomed_collision,zoomed_entropy,ich_collision,ich_entropy,grid_collision,grid_entropy</x:v>
      </x:c>
      <x:c r="L42" s="255" t="str">
        <x:v>429</x:v>
      </x:c>
      <x:c r="M42" s="255" t="str">
        <x:v>55</x:v>
      </x:c>
      <x:c r="N42" s="255" t="str">
        <x:v>1.5560884999576956</x:v>
      </x:c>
      <x:c r="O42" s="255" t="str">
        <x:v>True</x:v>
      </x:c>
      <x:c r="P42" s="255" t="str">
        <x:v>135</x:v>
      </x:c>
      <x:c r="Q42" s="255" t="str">
        <x:v>59</x:v>
      </x:c>
      <x:c r="R42" s="255" t="str">
        <x:v>1.0083998000482097</x:v>
      </x:c>
      <x:c r="S42" s="255" t="str">
        <x:v>True</x:v>
      </x:c>
      <x:c r="T42" s="255" t="str">
        <x:v>True</x:v>
      </x:c>
      <x:c r="U42" s="255" t="str">
        <x:v>4</x:v>
      </x:c>
      <x:c r="V42" s="255" t="str">
        <x:v>-294</x:v>
      </x:c>
      <x:c r="W42" s="255" t="str">
        <x:v>-0.5476886999094859</x:v>
      </x:c>
      <x:c r="X42" s="255" t="str">
        <x:v>1.0727272727272728</x:v>
      </x:c>
      <x:c r="Y42" s="255" t="str">
        <x:v>374</x:v>
      </x:c>
      <x:c r="Z42" s="255" t="str">
        <x:v>76</x:v>
      </x:c>
      <x:c r="AA42" s="255" t="str">
        <x:v>entropy</x:v>
      </x:c>
      <x:c r="AB42" s="255" t="str">
        <x:v>collision</x:v>
      </x:c>
      <x:c r="AC42" s="255" t="str">
        <x:v>none</x:v>
      </x:c>
      <x:c r="AD42" s="255" t="str">
        <x:v>433</x:v>
      </x:c>
      <x:c r="AE42" s="255" t="str">
        <x:v>62</x:v>
      </x:c>
      <x:c r="AF42" s="255" t="str">
        <x:v>0.9691353000234812</x:v>
      </x:c>
      <x:c r="AG42" s="255" t="str">
        <x:v>True</x:v>
      </x:c>
      <x:c r="AH42" s="255" t="str">
        <x:v>400</x:v>
      </x:c>
      <x:c r="AI42" s="255" t="str">
        <x:v>63</x:v>
      </x:c>
      <x:c r="AJ42" s="255" t="str">
        <x:v>0.9943806999363005</x:v>
      </x:c>
      <x:c r="AK42" s="255" t="str">
        <x:v>True</x:v>
      </x:c>
      <x:c r="AL42" s="255" t="str">
        <x:v>True</x:v>
      </x:c>
      <x:c r="AM42" s="255" t="str">
        <x:v>1</x:v>
      </x:c>
      <x:c r="AN42" s="255" t="str">
        <x:v>-33</x:v>
      </x:c>
      <x:c r="AO42" s="255" t="str">
        <x:v>0.025245399912819266</x:v>
      </x:c>
      <x:c r="AP42" s="255" t="str">
        <x:v>1.0161290322580645</x:v>
      </x:c>
      <x:c r="AQ42" s="255" t="str">
        <x:v>371</x:v>
      </x:c>
      <x:c r="AR42" s="255" t="str">
        <x:v>337</x:v>
      </x:c>
      <x:c r="AS42" s="255" t="str">
        <x:v>entropy</x:v>
      </x:c>
      <x:c r="AT42" s="255" t="str">
        <x:v>entropy</x:v>
      </x:c>
      <x:c r="AU42" s="255" t="str">
        <x:v>none</x:v>
      </x:c>
      <x:c r="AV42" s="255" t="str">
        <x:v>398</x:v>
      </x:c>
      <x:c r="AW42" s="255" t="str">
        <x:v>57</x:v>
      </x:c>
      <x:c r="AX42" s="255" t="str">
        <x:v>1.3931240000529215</x:v>
      </x:c>
      <x:c r="AY42" s="255" t="str">
        <x:v>True</x:v>
      </x:c>
      <x:c r="AZ42" s="255" t="str">
        <x:v>247</x:v>
      </x:c>
      <x:c r="BA42" s="255" t="str">
        <x:v>61</x:v>
      </x:c>
      <x:c r="BB42" s="255" t="str">
        <x:v>1.119773600017652</x:v>
      </x:c>
      <x:c r="BC42" s="255" t="str">
        <x:v>True</x:v>
      </x:c>
      <x:c r="BD42" s="255" t="str">
        <x:v>True</x:v>
      </x:c>
      <x:c r="BE42" s="255" t="str">
        <x:v>4</x:v>
      </x:c>
      <x:c r="BF42" s="255" t="str">
        <x:v>-151</x:v>
      </x:c>
      <x:c r="BG42" s="255" t="str">
        <x:v>-0.27335040003526956</x:v>
      </x:c>
      <x:c r="BH42" s="255" t="str">
        <x:v>1.0701754385964912</x:v>
      </x:c>
      <x:c r="BI42" s="255" t="str">
        <x:v>341</x:v>
      </x:c>
      <x:c r="BJ42" s="255" t="str">
        <x:v>186</x:v>
      </x:c>
      <x:c r="BK42" s="255" t="str">
        <x:v>entropy</x:v>
      </x:c>
      <x:c r="BL42" s="255" t="str">
        <x:v>collision</x:v>
      </x:c>
      <x:c r="BM42" s="255" t="str">
        <x:v>none</x:v>
      </x:c>
      <x:c r="BN42" s="255" t="str">
        <x:v>54</x:v>
      </x:c>
      <x:c r="BO42" s="255" t="str">
        <x:v>54</x:v>
      </x:c>
      <x:c r="BP42" s="255" t="str">
        <x:v>17.740393999964</x:v>
      </x:c>
      <x:c r="BQ42" s="255" t="str">
        <x:v>True</x:v>
      </x:c>
      <x:c r="BR42" s="255" t="str">
        <x:v>57</x:v>
      </x:c>
      <x:c r="BS42" s="255" t="str">
        <x:v>57</x:v>
      </x:c>
      <x:c r="BT42" s="255" t="str">
        <x:v>17.101608800003305</x:v>
      </x:c>
      <x:c r="BU42" s="255" t="str">
        <x:v>True</x:v>
      </x:c>
      <x:c r="BV42" s="255" t="str">
        <x:v>True</x:v>
      </x:c>
      <x:c r="BW42" s="255" t="str">
        <x:v>3</x:v>
      </x:c>
      <x:c r="BX42" s="255" t="str">
        <x:v>3</x:v>
      </x:c>
      <x:c r="BY42" s="255" t="str">
        <x:v>-0.6387851999606937</x:v>
      </x:c>
      <x:c r="BZ42" s="255" t="str">
        <x:v>1.0555555555555556</x:v>
      </x:c>
      <x:c r="CA42" s="255" t="str">
        <x:v>0</x:v>
      </x:c>
      <x:c r="CB42" s="255" t="str">
        <x:v>0</x:v>
      </x:c>
      <x:c r="CC42" s="255" t="str">
        <x:v>entropy</x:v>
      </x:c>
      <x:c r="CD42" s="255" t="str">
        <x:v>collision</x:v>
      </x:c>
      <x:c r="CE42" s="255" t="str">
        <x:v>none</x:v>
      </x:c>
    </x:row>
    <x:row r="43">
      <x:c r="A43" s="255" t="str">
        <x:v>500</x:v>
      </x:c>
      <x:c r="B43" s="255" t="str">
        <x:v>0.3</x:v>
      </x:c>
      <x:c r="C43" s="255" t="str">
        <x:v>3</x:v>
      </x:c>
      <x:c r="D43" s="255" t="str">
        <x:v>2826867522</x:v>
      </x:c>
      <x:c r="E43" s="255" t="str">
        <x:v>27885</x:v>
      </x:c>
      <x:c r="F43" s="255" t="str">
        <x:v>1</x:v>
      </x:c>
      <x:c r="G43" s="255" t="str">
        <x:v>500</x:v>
      </x:c>
      <x:c r="H43" s="255" t="str">
        <x:v>111.54</x:v>
      </x:c>
      <x:c r="I43" s="255" t="str">
        <x:v>0.22352705410821644</x:v>
      </x:c>
      <x:c r="J43" s="255" t="str">
        <x:v>5</x:v>
      </x:c>
      <x:c r="K43" s="255" t="str">
        <x:v>zoomed_entropy,zoomed_collision,ich_entropy,ich_collision,grid_entropy,grid_collision,circle_entropy,circle_collision</x:v>
      </x:c>
      <x:c r="L43" s="255" t="str">
        <x:v>393</x:v>
      </x:c>
      <x:c r="M43" s="255" t="str">
        <x:v>65</x:v>
      </x:c>
      <x:c r="N43" s="255" t="str">
        <x:v>1.690092399949208</x:v>
      </x:c>
      <x:c r="O43" s="255" t="str">
        <x:v>True</x:v>
      </x:c>
      <x:c r="P43" s="255" t="str">
        <x:v>132</x:v>
      </x:c>
      <x:c r="Q43" s="255" t="str">
        <x:v>67</x:v>
      </x:c>
      <x:c r="R43" s="255" t="str">
        <x:v>1.2463138999883085</x:v>
      </x:c>
      <x:c r="S43" s="255" t="str">
        <x:v>True</x:v>
      </x:c>
      <x:c r="T43" s="255" t="str">
        <x:v>True</x:v>
      </x:c>
      <x:c r="U43" s="255" t="str">
        <x:v>2</x:v>
      </x:c>
      <x:c r="V43" s="255" t="str">
        <x:v>-261</x:v>
      </x:c>
      <x:c r="W43" s="255" t="str">
        <x:v>-0.44377849996089935</x:v>
      </x:c>
      <x:c r="X43" s="255" t="str">
        <x:v>1.0307692307692307</x:v>
      </x:c>
      <x:c r="Y43" s="255" t="str">
        <x:v>328</x:v>
      </x:c>
      <x:c r="Z43" s="255" t="str">
        <x:v>65</x:v>
      </x:c>
      <x:c r="AA43" s="255" t="str">
        <x:v>entropy</x:v>
      </x:c>
      <x:c r="AB43" s="255" t="str">
        <x:v>collision</x:v>
      </x:c>
      <x:c r="AC43" s="255" t="str">
        <x:v>none</x:v>
      </x:c>
      <x:c r="AD43" s="255" t="str">
        <x:v>448</x:v>
      </x:c>
      <x:c r="AE43" s="255" t="str">
        <x:v>69</x:v>
      </x:c>
      <x:c r="AF43" s="255" t="str">
        <x:v>1.1643258000258356</x:v>
      </x:c>
      <x:c r="AG43" s="255" t="str">
        <x:v>True</x:v>
      </x:c>
      <x:c r="AH43" s="255" t="str">
        <x:v>431</x:v>
      </x:c>
      <x:c r="AI43" s="255" t="str">
        <x:v>72</x:v>
      </x:c>
      <x:c r="AJ43" s="255" t="str">
        <x:v>1.2643369999714196</x:v>
      </x:c>
      <x:c r="AK43" s="255" t="str">
        <x:v>True</x:v>
      </x:c>
      <x:c r="AL43" s="255" t="str">
        <x:v>True</x:v>
      </x:c>
      <x:c r="AM43" s="255" t="str">
        <x:v>3</x:v>
      </x:c>
      <x:c r="AN43" s="255" t="str">
        <x:v>-17</x:v>
      </x:c>
      <x:c r="AO43" s="255" t="str">
        <x:v>0.10001119994558394</x:v>
      </x:c>
      <x:c r="AP43" s="255" t="str">
        <x:v>1.0434782608695652</x:v>
      </x:c>
      <x:c r="AQ43" s="255" t="str">
        <x:v>379</x:v>
      </x:c>
      <x:c r="AR43" s="255" t="str">
        <x:v>359</x:v>
      </x:c>
      <x:c r="AS43" s="255" t="str">
        <x:v>entropy</x:v>
      </x:c>
      <x:c r="AT43" s="255" t="str">
        <x:v>entropy</x:v>
      </x:c>
      <x:c r="AU43" s="255" t="str">
        <x:v>none</x:v>
      </x:c>
      <x:c r="AV43" s="255" t="str">
        <x:v>406</x:v>
      </x:c>
      <x:c r="AW43" s="255" t="str">
        <x:v>67</x:v>
      </x:c>
      <x:c r="AX43" s="255" t="str">
        <x:v>1.2304163000080734</x:v>
      </x:c>
      <x:c r="AY43" s="255" t="str">
        <x:v>True</x:v>
      </x:c>
      <x:c r="AZ43" s="255" t="str">
        <x:v>244</x:v>
      </x:c>
      <x:c r="BA43" s="255" t="str">
        <x:v>66</x:v>
      </x:c>
      <x:c r="BB43" s="255" t="str">
        <x:v>0.9657645000843331</x:v>
      </x:c>
      <x:c r="BC43" s="255" t="str">
        <x:v>True</x:v>
      </x:c>
      <x:c r="BD43" s="255" t="str">
        <x:v>True</x:v>
      </x:c>
      <x:c r="BE43" s="255" t="str">
        <x:v>-1</x:v>
      </x:c>
      <x:c r="BF43" s="255" t="str">
        <x:v>-162</x:v>
      </x:c>
      <x:c r="BG43" s="255" t="str">
        <x:v>-0.2646517999237403</x:v>
      </x:c>
      <x:c r="BH43" s="255" t="str">
        <x:v>0.9850746268656716</x:v>
      </x:c>
      <x:c r="BI43" s="255" t="str">
        <x:v>339</x:v>
      </x:c>
      <x:c r="BJ43" s="255" t="str">
        <x:v>178</x:v>
      </x:c>
      <x:c r="BK43" s="255" t="str">
        <x:v>collision</x:v>
      </x:c>
      <x:c r="BL43" s="255" t="str">
        <x:v>collision</x:v>
      </x:c>
      <x:c r="BM43" s="255" t="str">
        <x:v>none</x:v>
      </x:c>
      <x:c r="BN43" s="255" t="str">
        <x:v>62</x:v>
      </x:c>
      <x:c r="BO43" s="255" t="str">
        <x:v>62</x:v>
      </x:c>
      <x:c r="BP43" s="255" t="str">
        <x:v>18.49954559991602</x:v>
      </x:c>
      <x:c r="BQ43" s="255" t="str">
        <x:v>True</x:v>
      </x:c>
      <x:c r="BR43" s="255" t="str">
        <x:v>60</x:v>
      </x:c>
      <x:c r="BS43" s="255" t="str">
        <x:v>60</x:v>
      </x:c>
      <x:c r="BT43" s="255" t="str">
        <x:v>19.96732149994932</x:v>
      </x:c>
      <x:c r="BU43" s="255" t="str">
        <x:v>True</x:v>
      </x:c>
      <x:c r="BV43" s="255" t="str">
        <x:v>True</x:v>
      </x:c>
      <x:c r="BW43" s="255" t="str">
        <x:v>-2</x:v>
      </x:c>
      <x:c r="BX43" s="255" t="str">
        <x:v>-2</x:v>
      </x:c>
      <x:c r="BY43" s="255" t="str">
        <x:v>1.4677759000333026</x:v>
      </x:c>
      <x:c r="BZ43" s="255" t="str">
        <x:v>0.967741935483871</x:v>
      </x:c>
      <x:c r="CA43" s="255" t="str">
        <x:v>0</x:v>
      </x:c>
      <x:c r="CB43" s="255" t="str">
        <x:v>0</x:v>
      </x:c>
      <x:c r="CC43" s="255" t="str">
        <x:v>collision</x:v>
      </x:c>
      <x:c r="CD43" s="255" t="str">
        <x:v>entropy</x:v>
      </x:c>
      <x:c r="CE43" s="255" t="str">
        <x:v>none</x:v>
      </x:c>
    </x:row>
    <x:row r="44">
      <x:c r="A44" s="255" t="str">
        <x:v>500</x:v>
      </x:c>
      <x:c r="B44" s="255" t="str">
        <x:v>0.5</x:v>
      </x:c>
      <x:c r="C44" s="255" t="str">
        <x:v>1</x:v>
      </x:c>
      <x:c r="D44" s="255" t="str">
        <x:v>1879133715</x:v>
      </x:c>
      <x:c r="E44" s="255" t="str">
        <x:v>59689</x:v>
      </x:c>
      <x:c r="F44" s="255" t="str">
        <x:v>1</x:v>
      </x:c>
      <x:c r="G44" s="255" t="str">
        <x:v>500</x:v>
      </x:c>
      <x:c r="H44" s="255" t="str">
        <x:v>238.756</x:v>
      </x:c>
      <x:c r="I44" s="255" t="str">
        <x:v>0.4784689378757515</x:v>
      </x:c>
      <x:c r="J44" s="255" t="str">
        <x:v>5</x:v>
      </x:c>
      <x:c r="K44" s="255" t="str">
        <x:v>grid_entropy,grid_collision,circle_entropy,circle_collision,zoomed_entropy,zoomed_collision,ich_entropy,ich_collision</x:v>
      </x:c>
      <x:c r="L44" s="255" t="str">
        <x:v>414</x:v>
      </x:c>
      <x:c r="M44" s="255" t="str">
        <x:v>91</x:v>
      </x:c>
      <x:c r="N44" s="255" t="str">
        <x:v>15.650507100042887</x:v>
      </x:c>
      <x:c r="O44" s="255" t="str">
        <x:v>True</x:v>
      </x:c>
      <x:c r="P44" s="255" t="str">
        <x:v>78</x:v>
      </x:c>
      <x:c r="Q44" s="255" t="str">
        <x:v>74</x:v>
      </x:c>
      <x:c r="R44" s="255" t="str">
        <x:v>7.586325900047086</x:v>
      </x:c>
      <x:c r="S44" s="255" t="str">
        <x:v>True</x:v>
      </x:c>
      <x:c r="T44" s="255" t="str">
        <x:v>True</x:v>
      </x:c>
      <x:c r="U44" s="255" t="str">
        <x:v>-17</x:v>
      </x:c>
      <x:c r="V44" s="255" t="str">
        <x:v>-336</x:v>
      </x:c>
      <x:c r="W44" s="255" t="str">
        <x:v>-8.0641811999958</x:v>
      </x:c>
      <x:c r="X44" s="255" t="str">
        <x:v>0.8131868131868132</x:v>
      </x:c>
      <x:c r="Y44" s="255" t="str">
        <x:v>323</x:v>
      </x:c>
      <x:c r="Z44" s="255" t="str">
        <x:v>4</x:v>
      </x:c>
      <x:c r="AA44" s="255" t="str">
        <x:v>collision</x:v>
      </x:c>
      <x:c r="AB44" s="255" t="str">
        <x:v>collision</x:v>
      </x:c>
      <x:c r="AC44" s="255" t="str">
        <x:v>none</x:v>
      </x:c>
      <x:c r="AD44" s="255" t="str">
        <x:v>456</x:v>
      </x:c>
      <x:c r="AE44" s="255" t="str">
        <x:v>90</x:v>
      </x:c>
      <x:c r="AF44" s="255" t="str">
        <x:v>4.161137500079349</x:v>
      </x:c>
      <x:c r="AG44" s="255" t="str">
        <x:v>True</x:v>
      </x:c>
      <x:c r="AH44" s="255" t="str">
        <x:v>451</x:v>
      </x:c>
      <x:c r="AI44" s="255" t="str">
        <x:v>91</x:v>
      </x:c>
      <x:c r="AJ44" s="255" t="str">
        <x:v>3.8854411999927834</x:v>
      </x:c>
      <x:c r="AK44" s="255" t="str">
        <x:v>True</x:v>
      </x:c>
      <x:c r="AL44" s="255" t="str">
        <x:v>True</x:v>
      </x:c>
      <x:c r="AM44" s="255" t="str">
        <x:v>1</x:v>
      </x:c>
      <x:c r="AN44" s="255" t="str">
        <x:v>-5</x:v>
      </x:c>
      <x:c r="AO44" s="255" t="str">
        <x:v>-0.2756963000865653</x:v>
      </x:c>
      <x:c r="AP44" s="255" t="str">
        <x:v>1.011111111111111</x:v>
      </x:c>
      <x:c r="AQ44" s="255" t="str">
        <x:v>366</x:v>
      </x:c>
      <x:c r="AR44" s="255" t="str">
        <x:v>360</x:v>
      </x:c>
      <x:c r="AS44" s="255" t="str">
        <x:v>entropy</x:v>
      </x:c>
      <x:c r="AT44" s="255" t="str">
        <x:v>collision</x:v>
      </x:c>
      <x:c r="AU44" s="255" t="str">
        <x:v>none</x:v>
      </x:c>
      <x:c r="AV44" s="255" t="str">
        <x:v>384</x:v>
      </x:c>
      <x:c r="AW44" s="255" t="str">
        <x:v>86</x:v>
      </x:c>
      <x:c r="AX44" s="255" t="str">
        <x:v>5.665584099944681</x:v>
      </x:c>
      <x:c r="AY44" s="255" t="str">
        <x:v>True</x:v>
      </x:c>
      <x:c r="AZ44" s="255" t="str">
        <x:v>177</x:v>
      </x:c>
      <x:c r="BA44" s="255" t="str">
        <x:v>86</x:v>
      </x:c>
      <x:c r="BB44" s="255" t="str">
        <x:v>3.919064400019124</x:v>
      </x:c>
      <x:c r="BC44" s="255" t="str">
        <x:v>True</x:v>
      </x:c>
      <x:c r="BD44" s="255" t="str">
        <x:v>True</x:v>
      </x:c>
      <x:c r="BE44" s="255" t="str">
        <x:v>0</x:v>
      </x:c>
      <x:c r="BF44" s="255" t="str">
        <x:v>-207</x:v>
      </x:c>
      <x:c r="BG44" s="255" t="str">
        <x:v>-1.7465196999255568</x:v>
      </x:c>
      <x:c r="BH44" s="255" t="str">
        <x:v>1.0</x:v>
      </x:c>
      <x:c r="BI44" s="255" t="str">
        <x:v>298</x:v>
      </x:c>
      <x:c r="BJ44" s="255" t="str">
        <x:v>91</x:v>
      </x:c>
      <x:c r="BK44" s="255" t="str">
        <x:v>tie</x:v>
      </x:c>
      <x:c r="BL44" s="255" t="str">
        <x:v>collision</x:v>
      </x:c>
      <x:c r="BM44" s="255" t="str">
        <x:v>none</x:v>
      </x:c>
      <x:c r="BN44" s="255" t="str">
        <x:v>79</x:v>
      </x:c>
      <x:c r="BO44" s="255" t="str">
        <x:v>79</x:v>
      </x:c>
      <x:c r="BP44" s="255" t="str">
        <x:v>20.44820390001405</x:v>
      </x:c>
      <x:c r="BQ44" s="255" t="str">
        <x:v>True</x:v>
      </x:c>
      <x:c r="BR44" s="255" t="str">
        <x:v>79</x:v>
      </x:c>
      <x:c r="BS44" s="255" t="str">
        <x:v>79</x:v>
      </x:c>
      <x:c r="BT44" s="255" t="str">
        <x:v>20.28609549999237</x:v>
      </x:c>
      <x:c r="BU44" s="255" t="str">
        <x:v>True</x:v>
      </x:c>
      <x:c r="BV44" s="255" t="str">
        <x:v>True</x:v>
      </x:c>
      <x:c r="BW44" s="255" t="str">
        <x:v>0</x:v>
      </x:c>
      <x:c r="BX44" s="255" t="str">
        <x:v>0</x:v>
      </x:c>
      <x:c r="BY44" s="255" t="str">
        <x:v>-0.1621084000216797</x:v>
      </x:c>
      <x:c r="BZ44" s="255" t="str">
        <x:v>1.0</x:v>
      </x:c>
      <x:c r="CA44" s="255" t="str">
        <x:v>0</x:v>
      </x:c>
      <x:c r="CB44" s="255" t="str">
        <x:v>0</x:v>
      </x:c>
      <x:c r="CC44" s="255" t="str">
        <x:v>tie</x:v>
      </x:c>
      <x:c r="CD44" s="255" t="str">
        <x:v>collision</x:v>
      </x:c>
      <x:c r="CE44" s="255" t="str">
        <x:v>none</x:v>
      </x:c>
    </x:row>
    <x:row r="45">
      <x:c r="A45" s="255" t="str">
        <x:v>500</x:v>
      </x:c>
      <x:c r="B45" s="255" t="str">
        <x:v>0.5</x:v>
      </x:c>
      <x:c r="C45" s="255" t="str">
        <x:v>2</x:v>
      </x:c>
      <x:c r="D45" s="255" t="str">
        <x:v>1473547513</x:v>
      </x:c>
      <x:c r="E45" s="255" t="str">
        <x:v>60769</x:v>
      </x:c>
      <x:c r="F45" s="255" t="str">
        <x:v>1</x:v>
      </x:c>
      <x:c r="G45" s="255" t="str">
        <x:v>500</x:v>
      </x:c>
      <x:c r="H45" s="255" t="str">
        <x:v>243.076</x:v>
      </x:c>
      <x:c r="I45" s="255" t="str">
        <x:v>0.48712625250501</x:v>
      </x:c>
      <x:c r="J45" s="255" t="str">
        <x:v>5</x:v>
      </x:c>
      <x:c r="K45" s="255" t="str">
        <x:v>circle_collision,circle_entropy,zoomed_collision,zoomed_entropy,ich_collision,ich_entropy,grid_collision,grid_entropy</x:v>
      </x:c>
      <x:c r="L45" s="255" t="str">
        <x:v>436</x:v>
      </x:c>
      <x:c r="M45" s="255" t="str">
        <x:v>87</x:v>
      </x:c>
      <x:c r="N45" s="255" t="str">
        <x:v>15.976107000024058</x:v>
      </x:c>
      <x:c r="O45" s="255" t="str">
        <x:v>True</x:v>
      </x:c>
      <x:c r="P45" s="255" t="str">
        <x:v>74</x:v>
      </x:c>
      <x:c r="Q45" s="255" t="str">
        <x:v>72</x:v>
      </x:c>
      <x:c r="R45" s="255" t="str">
        <x:v>7.767146800062619</x:v>
      </x:c>
      <x:c r="S45" s="255" t="str">
        <x:v>True</x:v>
      </x:c>
      <x:c r="T45" s="255" t="str">
        <x:v>True</x:v>
      </x:c>
      <x:c r="U45" s="255" t="str">
        <x:v>-15</x:v>
      </x:c>
      <x:c r="V45" s="255" t="str">
        <x:v>-362</x:v>
      </x:c>
      <x:c r="W45" s="255" t="str">
        <x:v>-8.208960199961439</x:v>
      </x:c>
      <x:c r="X45" s="255" t="str">
        <x:v>0.8275862068965517</x:v>
      </x:c>
      <x:c r="Y45" s="255" t="str">
        <x:v>349</x:v>
      </x:c>
      <x:c r="Z45" s="255" t="str">
        <x:v>2</x:v>
      </x:c>
      <x:c r="AA45" s="255" t="str">
        <x:v>collision</x:v>
      </x:c>
      <x:c r="AB45" s="255" t="str">
        <x:v>collision</x:v>
      </x:c>
      <x:c r="AC45" s="255" t="str">
        <x:v>none</x:v>
      </x:c>
      <x:c r="AD45" s="255" t="str">
        <x:v>485</x:v>
      </x:c>
      <x:c r="AE45" s="255" t="str">
        <x:v>83</x:v>
      </x:c>
      <x:c r="AF45" s="255" t="str">
        <x:v>1.3761670000385493</x:v>
      </x:c>
      <x:c r="AG45" s="255" t="str">
        <x:v>True</x:v>
      </x:c>
      <x:c r="AH45" s="255" t="str">
        <x:v>466</x:v>
      </x:c>
      <x:c r="AI45" s="255" t="str">
        <x:v>86</x:v>
      </x:c>
      <x:c r="AJ45" s="255" t="str">
        <x:v>1.4438897999934852</x:v>
      </x:c>
      <x:c r="AK45" s="255" t="str">
        <x:v>True</x:v>
      </x:c>
      <x:c r="AL45" s="255" t="str">
        <x:v>True</x:v>
      </x:c>
      <x:c r="AM45" s="255" t="str">
        <x:v>3</x:v>
      </x:c>
      <x:c r="AN45" s="255" t="str">
        <x:v>-19</x:v>
      </x:c>
      <x:c r="AO45" s="255" t="str">
        <x:v>0.06772279995493591</x:v>
      </x:c>
      <x:c r="AP45" s="255" t="str">
        <x:v>1.036144578313253</x:v>
      </x:c>
      <x:c r="AQ45" s="255" t="str">
        <x:v>402</x:v>
      </x:c>
      <x:c r="AR45" s="255" t="str">
        <x:v>380</x:v>
      </x:c>
      <x:c r="AS45" s="255" t="str">
        <x:v>entropy</x:v>
      </x:c>
      <x:c r="AT45" s="255" t="str">
        <x:v>entropy</x:v>
      </x:c>
      <x:c r="AU45" s="255" t="str">
        <x:v>none</x:v>
      </x:c>
      <x:c r="AV45" s="255" t="str">
        <x:v>433</x:v>
      </x:c>
      <x:c r="AW45" s="255" t="str">
        <x:v>86</x:v>
      </x:c>
      <x:c r="AX45" s="255" t="str">
        <x:v>3.588400400010869</x:v>
      </x:c>
      <x:c r="AY45" s="255" t="str">
        <x:v>True</x:v>
      </x:c>
      <x:c r="AZ45" s="255" t="str">
        <x:v>243</x:v>
      </x:c>
      <x:c r="BA45" s="255" t="str">
        <x:v>89</x:v>
      </x:c>
      <x:c r="BB45" s="255" t="str">
        <x:v>2.9687335999915376</x:v>
      </x:c>
      <x:c r="BC45" s="255" t="str">
        <x:v>True</x:v>
      </x:c>
      <x:c r="BD45" s="255" t="str">
        <x:v>True</x:v>
      </x:c>
      <x:c r="BE45" s="255" t="str">
        <x:v>3</x:v>
      </x:c>
      <x:c r="BF45" s="255" t="str">
        <x:v>-190</x:v>
      </x:c>
      <x:c r="BG45" s="255" t="str">
        <x:v>-0.6196668000193313</x:v>
      </x:c>
      <x:c r="BH45" s="255" t="str">
        <x:v>1.0348837209302326</x:v>
      </x:c>
      <x:c r="BI45" s="255" t="str">
        <x:v>347</x:v>
      </x:c>
      <x:c r="BJ45" s="255" t="str">
        <x:v>154</x:v>
      </x:c>
      <x:c r="BK45" s="255" t="str">
        <x:v>entropy</x:v>
      </x:c>
      <x:c r="BL45" s="255" t="str">
        <x:v>collision</x:v>
      </x:c>
      <x:c r="BM45" s="255" t="str">
        <x:v>none</x:v>
      </x:c>
      <x:c r="BN45" s="255" t="str">
        <x:v>76</x:v>
      </x:c>
      <x:c r="BO45" s="255" t="str">
        <x:v>76</x:v>
      </x:c>
      <x:c r="BP45" s="255" t="str">
        <x:v>22.083660000003874</x:v>
      </x:c>
      <x:c r="BQ45" s="255" t="str">
        <x:v>True</x:v>
      </x:c>
      <x:c r="BR45" s="255" t="str">
        <x:v>73</x:v>
      </x:c>
      <x:c r="BS45" s="255" t="str">
        <x:v>73</x:v>
      </x:c>
      <x:c r="BT45" s="255" t="str">
        <x:v>20.20758490008302</x:v>
      </x:c>
      <x:c r="BU45" s="255" t="str">
        <x:v>True</x:v>
      </x:c>
      <x:c r="BV45" s="255" t="str">
        <x:v>True</x:v>
      </x:c>
      <x:c r="BW45" s="255" t="str">
        <x:v>-3</x:v>
      </x:c>
      <x:c r="BX45" s="255" t="str">
        <x:v>-3</x:v>
      </x:c>
      <x:c r="BY45" s="255" t="str">
        <x:v>-1.876075099920854</x:v>
      </x:c>
      <x:c r="BZ45" s="255" t="str">
        <x:v>0.9605263157894737</x:v>
      </x:c>
      <x:c r="CA45" s="255" t="str">
        <x:v>0</x:v>
      </x:c>
      <x:c r="CB45" s="255" t="str">
        <x:v>0</x:v>
      </x:c>
      <x:c r="CC45" s="255" t="str">
        <x:v>collision</x:v>
      </x:c>
      <x:c r="CD45" s="255" t="str">
        <x:v>collision</x:v>
      </x:c>
      <x:c r="CE45" s="255" t="str">
        <x:v>none</x:v>
      </x:c>
    </x:row>
    <x:row r="46">
      <x:c r="A46" s="255" t="str">
        <x:v>500</x:v>
      </x:c>
      <x:c r="B46" s="255" t="str">
        <x:v>0.5</x:v>
      </x:c>
      <x:c r="C46" s="255" t="str">
        <x:v>3</x:v>
      </x:c>
      <x:c r="D46" s="255" t="str">
        <x:v>1909608427</x:v>
      </x:c>
      <x:c r="E46" s="255" t="str">
        <x:v>59407</x:v>
      </x:c>
      <x:c r="F46" s="255" t="str">
        <x:v>1</x:v>
      </x:c>
      <x:c r="G46" s="255" t="str">
        <x:v>500</x:v>
      </x:c>
      <x:c r="H46" s="255" t="str">
        <x:v>237.628</x:v>
      </x:c>
      <x:c r="I46" s="255" t="str">
        <x:v>0.4762084168336673</x:v>
      </x:c>
      <x:c r="J46" s="255" t="str">
        <x:v>5</x:v>
      </x:c>
      <x:c r="K46" s="255" t="str">
        <x:v>zoomed_entropy,zoomed_collision,ich_entropy,ich_collision,grid_entropy,grid_collision,circle_entropy,circle_collision</x:v>
      </x:c>
      <x:c r="L46" s="255" t="str">
        <x:v>401</x:v>
      </x:c>
      <x:c r="M46" s="255" t="str">
        <x:v>96</x:v>
      </x:c>
      <x:c r="N46" s="255" t="str">
        <x:v>17.361648000078276</x:v>
      </x:c>
      <x:c r="O46" s="255" t="str">
        <x:v>True</x:v>
      </x:c>
      <x:c r="P46" s="255" t="str">
        <x:v>79</x:v>
      </x:c>
      <x:c r="Q46" s="255" t="str">
        <x:v>78</x:v>
      </x:c>
      <x:c r="R46" s="255" t="str">
        <x:v>8.580561499926262</x:v>
      </x:c>
      <x:c r="S46" s="255" t="str">
        <x:v>True</x:v>
      </x:c>
      <x:c r="T46" s="255" t="str">
        <x:v>True</x:v>
      </x:c>
      <x:c r="U46" s="255" t="str">
        <x:v>-18</x:v>
      </x:c>
      <x:c r="V46" s="255" t="str">
        <x:v>-322</x:v>
      </x:c>
      <x:c r="W46" s="255" t="str">
        <x:v>-8.781086500152014</x:v>
      </x:c>
      <x:c r="X46" s="255" t="str">
        <x:v>0.8125</x:v>
      </x:c>
      <x:c r="Y46" s="255" t="str">
        <x:v>305</x:v>
      </x:c>
      <x:c r="Z46" s="255" t="str">
        <x:v>1</x:v>
      </x:c>
      <x:c r="AA46" s="255" t="str">
        <x:v>collision</x:v>
      </x:c>
      <x:c r="AB46" s="255" t="str">
        <x:v>collision</x:v>
      </x:c>
      <x:c r="AC46" s="255" t="str">
        <x:v>none</x:v>
      </x:c>
      <x:c r="AD46" s="255" t="str">
        <x:v>488</x:v>
      </x:c>
      <x:c r="AE46" s="255" t="str">
        <x:v>93</x:v>
      </x:c>
      <x:c r="AF46" s="255" t="str">
        <x:v>3.026524499990046</x:v>
      </x:c>
      <x:c r="AG46" s="255" t="str">
        <x:v>True</x:v>
      </x:c>
      <x:c r="AH46" s="255" t="str">
        <x:v>476</x:v>
      </x:c>
      <x:c r="AI46" s="255" t="str">
        <x:v>93</x:v>
      </x:c>
      <x:c r="AJ46" s="255" t="str">
        <x:v>2.670716500026174</x:v>
      </x:c>
      <x:c r="AK46" s="255" t="str">
        <x:v>True</x:v>
      </x:c>
      <x:c r="AL46" s="255" t="str">
        <x:v>True</x:v>
      </x:c>
      <x:c r="AM46" s="255" t="str">
        <x:v>0</x:v>
      </x:c>
      <x:c r="AN46" s="255" t="str">
        <x:v>-12</x:v>
      </x:c>
      <x:c r="AO46" s="255" t="str">
        <x:v>-0.35580799996387213</x:v>
      </x:c>
      <x:c r="AP46" s="255" t="str">
        <x:v>1.0</x:v>
      </x:c>
      <x:c r="AQ46" s="255" t="str">
        <x:v>395</x:v>
      </x:c>
      <x:c r="AR46" s="255" t="str">
        <x:v>383</x:v>
      </x:c>
      <x:c r="AS46" s="255" t="str">
        <x:v>tie</x:v>
      </x:c>
      <x:c r="AT46" s="255" t="str">
        <x:v>collision</x:v>
      </x:c>
      <x:c r="AU46" s="255" t="str">
        <x:v>none</x:v>
      </x:c>
      <x:c r="AV46" s="255" t="str">
        <x:v>450</x:v>
      </x:c>
      <x:c r="AW46" s="255" t="str">
        <x:v>90</x:v>
      </x:c>
      <x:c r="AX46" s="255" t="str">
        <x:v>4.255862500052899</x:v>
      </x:c>
      <x:c r="AY46" s="255" t="str">
        <x:v>True</x:v>
      </x:c>
      <x:c r="AZ46" s="255" t="str">
        <x:v>218</x:v>
      </x:c>
      <x:c r="BA46" s="255" t="str">
        <x:v>92</x:v>
      </x:c>
      <x:c r="BB46" s="255" t="str">
        <x:v>3.2423425999004394</x:v>
      </x:c>
      <x:c r="BC46" s="255" t="str">
        <x:v>True</x:v>
      </x:c>
      <x:c r="BD46" s="255" t="str">
        <x:v>True</x:v>
      </x:c>
      <x:c r="BE46" s="255" t="str">
        <x:v>2</x:v>
      </x:c>
      <x:c r="BF46" s="255" t="str">
        <x:v>-232</x:v>
      </x:c>
      <x:c r="BG46" s="255" t="str">
        <x:v>-1.0135199001524597</x:v>
      </x:c>
      <x:c r="BH46" s="255" t="str">
        <x:v>1.0222222222222221</x:v>
      </x:c>
      <x:c r="BI46" s="255" t="str">
        <x:v>360</x:v>
      </x:c>
      <x:c r="BJ46" s="255" t="str">
        <x:v>126</x:v>
      </x:c>
      <x:c r="BK46" s="255" t="str">
        <x:v>entropy</x:v>
      </x:c>
      <x:c r="BL46" s="255" t="str">
        <x:v>collision</x:v>
      </x:c>
      <x:c r="BM46" s="255" t="str">
        <x:v>none</x:v>
      </x:c>
      <x:c r="BN46" s="255" t="str">
        <x:v>82</x:v>
      </x:c>
      <x:c r="BO46" s="255" t="str">
        <x:v>82</x:v>
      </x:c>
      <x:c r="BP46" s="255" t="str">
        <x:v>22.38441719999537</x:v>
      </x:c>
      <x:c r="BQ46" s="255" t="str">
        <x:v>True</x:v>
      </x:c>
      <x:c r="BR46" s="255" t="str">
        <x:v>81</x:v>
      </x:c>
      <x:c r="BS46" s="255" t="str">
        <x:v>81</x:v>
      </x:c>
      <x:c r="BT46" s="255" t="str">
        <x:v>22.948436900041997</x:v>
      </x:c>
      <x:c r="BU46" s="255" t="str">
        <x:v>True</x:v>
      </x:c>
      <x:c r="BV46" s="255" t="str">
        <x:v>True</x:v>
      </x:c>
      <x:c r="BW46" s="255" t="str">
        <x:v>-1</x:v>
      </x:c>
      <x:c r="BX46" s="255" t="str">
        <x:v>-1</x:v>
      </x:c>
      <x:c r="BY46" s="255" t="str">
        <x:v>0.5640197000466287</x:v>
      </x:c>
      <x:c r="BZ46" s="255" t="str">
        <x:v>0.9878048780487805</x:v>
      </x:c>
      <x:c r="CA46" s="255" t="str">
        <x:v>0</x:v>
      </x:c>
      <x:c r="CB46" s="255" t="str">
        <x:v>0</x:v>
      </x:c>
      <x:c r="CC46" s="255" t="str">
        <x:v>collision</x:v>
      </x:c>
      <x:c r="CD46" s="255" t="str">
        <x:v>entropy</x:v>
      </x:c>
      <x:c r="CE46" s="255" t="str">
        <x:v>none</x:v>
      </x:c>
    </x:row>
    <x:row r="47">
      <x:c r="A47" s="255" t="str">
        <x:v>500</x:v>
      </x:c>
      <x:c r="B47" s="255" t="str">
        <x:v>0.7</x:v>
      </x:c>
      <x:c r="C47" s="255" t="str">
        <x:v>1</x:v>
      </x:c>
      <x:c r="D47" s="255" t="str">
        <x:v>4260616327</x:v>
      </x:c>
      <x:c r="E47" s="255" t="str">
        <x:v>93645</x:v>
      </x:c>
      <x:c r="F47" s="255" t="str">
        <x:v>1</x:v>
      </x:c>
      <x:c r="G47" s="255" t="str">
        <x:v>500</x:v>
      </x:c>
      <x:c r="H47" s="255" t="str">
        <x:v>374.58</x:v>
      </x:c>
      <x:c r="I47" s="255" t="str">
        <x:v>0.7506613226452906</x:v>
      </x:c>
      <x:c r="J47" s="255" t="str">
        <x:v>5</x:v>
      </x:c>
      <x:c r="K47" s="255" t="str">
        <x:v>grid_entropy,grid_collision,circle_entropy,circle_collision,zoomed_entropy,zoomed_collision,ich_entropy,ich_collision</x:v>
      </x:c>
      <x:c r="L47" s="255" t="str">
        <x:v>403</x:v>
      </x:c>
      <x:c r="M47" s="255" t="str">
        <x:v>112</x:v>
      </x:c>
      <x:c r="N47" s="255" t="str">
        <x:v>14.815197599935345</x:v>
      </x:c>
      <x:c r="O47" s="255" t="str">
        <x:v>True</x:v>
      </x:c>
      <x:c r="P47" s="255" t="str">
        <x:v>100</x:v>
      </x:c>
      <x:c r="Q47" s="255" t="str">
        <x:v>97</x:v>
      </x:c>
      <x:c r="R47" s="255" t="str">
        <x:v>8.900302099995315</x:v>
      </x:c>
      <x:c r="S47" s="255" t="str">
        <x:v>True</x:v>
      </x:c>
      <x:c r="T47" s="255" t="str">
        <x:v>True</x:v>
      </x:c>
      <x:c r="U47" s="255" t="str">
        <x:v>-15</x:v>
      </x:c>
      <x:c r="V47" s="255" t="str">
        <x:v>-303</x:v>
      </x:c>
      <x:c r="W47" s="255" t="str">
        <x:v>-5.91489549994003</x:v>
      </x:c>
      <x:c r="X47" s="255" t="str">
        <x:v>0.8660714285714286</x:v>
      </x:c>
      <x:c r="Y47" s="255" t="str">
        <x:v>291</x:v>
      </x:c>
      <x:c r="Z47" s="255" t="str">
        <x:v>3</x:v>
      </x:c>
      <x:c r="AA47" s="255" t="str">
        <x:v>collision</x:v>
      </x:c>
      <x:c r="AB47" s="255" t="str">
        <x:v>collision</x:v>
      </x:c>
      <x:c r="AC47" s="255" t="str">
        <x:v>none</x:v>
      </x:c>
      <x:c r="AD47" s="255" t="str">
        <x:v>475</x:v>
      </x:c>
      <x:c r="AE47" s="255" t="str">
        <x:v>120</x:v>
      </x:c>
      <x:c r="AF47" s="255" t="str">
        <x:v>2.9643443999812007</x:v>
      </x:c>
      <x:c r="AG47" s="255" t="str">
        <x:v>True</x:v>
      </x:c>
      <x:c r="AH47" s="255" t="str">
        <x:v>466</x:v>
      </x:c>
      <x:c r="AI47" s="255" t="str">
        <x:v>120</x:v>
      </x:c>
      <x:c r="AJ47" s="255" t="str">
        <x:v>2.841864199959673</x:v>
      </x:c>
      <x:c r="AK47" s="255" t="str">
        <x:v>True</x:v>
      </x:c>
      <x:c r="AL47" s="255" t="str">
        <x:v>True</x:v>
      </x:c>
      <x:c r="AM47" s="255" t="str">
        <x:v>0</x:v>
      </x:c>
      <x:c r="AN47" s="255" t="str">
        <x:v>-9</x:v>
      </x:c>
      <x:c r="AO47" s="255" t="str">
        <x:v>-0.12248020002152771</x:v>
      </x:c>
      <x:c r="AP47" s="255" t="str">
        <x:v>1.0</x:v>
      </x:c>
      <x:c r="AQ47" s="255" t="str">
        <x:v>355</x:v>
      </x:c>
      <x:c r="AR47" s="255" t="str">
        <x:v>346</x:v>
      </x:c>
      <x:c r="AS47" s="255" t="str">
        <x:v>tie</x:v>
      </x:c>
      <x:c r="AT47" s="255" t="str">
        <x:v>collision</x:v>
      </x:c>
      <x:c r="AU47" s="255" t="str">
        <x:v>none</x:v>
      </x:c>
      <x:c r="AV47" s="255" t="str">
        <x:v>470</x:v>
      </x:c>
      <x:c r="AW47" s="255" t="str">
        <x:v>126</x:v>
      </x:c>
      <x:c r="AX47" s="255" t="str">
        <x:v>9.462062300066464</x:v>
      </x:c>
      <x:c r="AY47" s="255" t="str">
        <x:v>True</x:v>
      </x:c>
      <x:c r="AZ47" s="255" t="str">
        <x:v>246</x:v>
      </x:c>
      <x:c r="BA47" s="255" t="str">
        <x:v>246</x:v>
      </x:c>
      <x:c r="BB47" s="255" t="str">
        <x:v>7.175591100007296</x:v>
      </x:c>
      <x:c r="BC47" s="255" t="str">
        <x:v>False</x:v>
      </x:c>
      <x:c r="BD47" s="255" t="str">
        <x:v>False</x:v>
      </x:c>
      <x:c r="BE47" s="255" t="str">
        <x:v>120</x:v>
      </x:c>
      <x:c r="BF47" s="255" t="str">
        <x:v>-224</x:v>
      </x:c>
      <x:c r="BG47" s="255" t="str">
        <x:v>-2.286471200059168</x:v>
      </x:c>
      <x:c r="BH47" s="255" t="str">
        <x:v>1.9523809523809523</x:v>
      </x:c>
      <x:c r="BI47" s="255" t="str">
        <x:v>344</x:v>
      </x:c>
      <x:c r="BJ47" s="255" t="str">
        <x:v>0</x:v>
      </x:c>
      <x:c r="BK47" s="255" t="str">
        <x:v>entropy</x:v>
      </x:c>
      <x:c r="BL47" s="255" t="str">
        <x:v>collision</x:v>
      </x:c>
      <x:c r="BM47" s="255" t="str">
        <x:v>large_and_invalid</x:v>
      </x:c>
      <x:c r="BN47" s="255" t="str">
        <x:v>100</x:v>
      </x:c>
      <x:c r="BO47" s="255" t="str">
        <x:v>100</x:v>
      </x:c>
      <x:c r="BP47" s="255" t="str">
        <x:v>23.210552100092173</x:v>
      </x:c>
      <x:c r="BQ47" s="255" t="str">
        <x:v>True</x:v>
      </x:c>
      <x:c r="BR47" s="255" t="str">
        <x:v>99</x:v>
      </x:c>
      <x:c r="BS47" s="255" t="str">
        <x:v>99</x:v>
      </x:c>
      <x:c r="BT47" s="255" t="str">
        <x:v>20.9884832999669</x:v>
      </x:c>
      <x:c r="BU47" s="255" t="str">
        <x:v>True</x:v>
      </x:c>
      <x:c r="BV47" s="255" t="str">
        <x:v>True</x:v>
      </x:c>
      <x:c r="BW47" s="255" t="str">
        <x:v>-1</x:v>
      </x:c>
      <x:c r="BX47" s="255" t="str">
        <x:v>-1</x:v>
      </x:c>
      <x:c r="BY47" s="255" t="str">
        <x:v>-2.222068800125271</x:v>
      </x:c>
      <x:c r="BZ47" s="255" t="str">
        <x:v>0.99</x:v>
      </x:c>
      <x:c r="CA47" s="255" t="str">
        <x:v>0</x:v>
      </x:c>
      <x:c r="CB47" s="255" t="str">
        <x:v>0</x:v>
      </x:c>
      <x:c r="CC47" s="255" t="str">
        <x:v>collision</x:v>
      </x:c>
      <x:c r="CD47" s="255" t="str">
        <x:v>collision</x:v>
      </x:c>
      <x:c r="CE47" s="255" t="str">
        <x:v>none</x:v>
      </x:c>
    </x:row>
    <x:row r="48">
      <x:c r="A48" s="255" t="str">
        <x:v>500</x:v>
      </x:c>
      <x:c r="B48" s="255" t="str">
        <x:v>0.7</x:v>
      </x:c>
      <x:c r="C48" s="255" t="str">
        <x:v>2</x:v>
      </x:c>
      <x:c r="D48" s="255" t="str">
        <x:v>896421585</x:v>
      </x:c>
      <x:c r="E48" s="255" t="str">
        <x:v>94487</x:v>
      </x:c>
      <x:c r="F48" s="255" t="str">
        <x:v>1</x:v>
      </x:c>
      <x:c r="G48" s="255" t="str">
        <x:v>500</x:v>
      </x:c>
      <x:c r="H48" s="255" t="str">
        <x:v>377.948</x:v>
      </x:c>
      <x:c r="I48" s="255" t="str">
        <x:v>0.7574108216432865</x:v>
      </x:c>
      <x:c r="J48" s="255" t="str">
        <x:v>5</x:v>
      </x:c>
      <x:c r="K48" s="255" t="str">
        <x:v>circle_collision,circle_entropy,zoomed_collision,zoomed_entropy,ich_collision,ich_entropy,grid_collision,grid_entropy</x:v>
      </x:c>
      <x:c r="L48" s="255" t="str">
        <x:v>496</x:v>
      </x:c>
      <x:c r="M48" s="255" t="str">
        <x:v>117</x:v>
      </x:c>
      <x:c r="N48" s="255" t="str">
        <x:v>14.452629399951547</x:v>
      </x:c>
      <x:c r="O48" s="255" t="str">
        <x:v>True</x:v>
      </x:c>
      <x:c r="P48" s="255" t="str">
        <x:v>99</x:v>
      </x:c>
      <x:c r="Q48" s="255" t="str">
        <x:v>97</x:v>
      </x:c>
      <x:c r="R48" s="255" t="str">
        <x:v>8.843005200033076</x:v>
      </x:c>
      <x:c r="S48" s="255" t="str">
        <x:v>True</x:v>
      </x:c>
      <x:c r="T48" s="255" t="str">
        <x:v>True</x:v>
      </x:c>
      <x:c r="U48" s="255" t="str">
        <x:v>-20</x:v>
      </x:c>
      <x:c r="V48" s="255" t="str">
        <x:v>-397</x:v>
      </x:c>
      <x:c r="W48" s="255" t="str">
        <x:v>-5.609624199918471</x:v>
      </x:c>
      <x:c r="X48" s="255" t="str">
        <x:v>0.8290598290598291</x:v>
      </x:c>
      <x:c r="Y48" s="255" t="str">
        <x:v>379</x:v>
      </x:c>
      <x:c r="Z48" s="255" t="str">
        <x:v>2</x:v>
      </x:c>
      <x:c r="AA48" s="255" t="str">
        <x:v>collision</x:v>
      </x:c>
      <x:c r="AB48" s="255" t="str">
        <x:v>collision</x:v>
      </x:c>
      <x:c r="AC48" s="255" t="str">
        <x:v>none</x:v>
      </x:c>
      <x:c r="AD48" s="255" t="str">
        <x:v>452</x:v>
      </x:c>
      <x:c r="AE48" s="255" t="str">
        <x:v>144</x:v>
      </x:c>
      <x:c r="AF48" s="255" t="str">
        <x:v>3.0488606999861076</x:v>
      </x:c>
      <x:c r="AG48" s="255" t="str">
        <x:v>True</x:v>
      </x:c>
      <x:c r="AH48" s="255" t="str">
        <x:v>440</x:v>
      </x:c>
      <x:c r="AI48" s="255" t="str">
        <x:v>144</x:v>
      </x:c>
      <x:c r="AJ48" s="255" t="str">
        <x:v>2.837141799973324</x:v>
      </x:c>
      <x:c r="AK48" s="255" t="str">
        <x:v>True</x:v>
      </x:c>
      <x:c r="AL48" s="255" t="str">
        <x:v>True</x:v>
      </x:c>
      <x:c r="AM48" s="255" t="str">
        <x:v>0</x:v>
      </x:c>
      <x:c r="AN48" s="255" t="str">
        <x:v>-12</x:v>
      </x:c>
      <x:c r="AO48" s="255" t="str">
        <x:v>-0.2117189000127837</x:v>
      </x:c>
      <x:c r="AP48" s="255" t="str">
        <x:v>1.0</x:v>
      </x:c>
      <x:c r="AQ48" s="255" t="str">
        <x:v>308</x:v>
      </x:c>
      <x:c r="AR48" s="255" t="str">
        <x:v>296</x:v>
      </x:c>
      <x:c r="AS48" s="255" t="str">
        <x:v>tie</x:v>
      </x:c>
      <x:c r="AT48" s="255" t="str">
        <x:v>collision</x:v>
      </x:c>
      <x:c r="AU48" s="255" t="str">
        <x:v>none</x:v>
      </x:c>
      <x:c r="AV48" s="255" t="str">
        <x:v>406</x:v>
      </x:c>
      <x:c r="AW48" s="255" t="str">
        <x:v>142</x:v>
      </x:c>
      <x:c r="AX48" s="255" t="str">
        <x:v>6.6005553000140935</x:v>
      </x:c>
      <x:c r="AY48" s="255" t="str">
        <x:v>True</x:v>
      </x:c>
      <x:c r="AZ48" s="255" t="str">
        <x:v>275</x:v>
      </x:c>
      <x:c r="BA48" s="255" t="str">
        <x:v>112</x:v>
      </x:c>
      <x:c r="BB48" s="255" t="str">
        <x:v>6.547440900001675</x:v>
      </x:c>
      <x:c r="BC48" s="255" t="str">
        <x:v>True</x:v>
      </x:c>
      <x:c r="BD48" s="255" t="str">
        <x:v>True</x:v>
      </x:c>
      <x:c r="BE48" s="255" t="str">
        <x:v>-30</x:v>
      </x:c>
      <x:c r="BF48" s="255" t="str">
        <x:v>-131</x:v>
      </x:c>
      <x:c r="BG48" s="255" t="str">
        <x:v>-0.05311440001241863</x:v>
      </x:c>
      <x:c r="BH48" s="255" t="str">
        <x:v>0.7887323943661971</x:v>
      </x:c>
      <x:c r="BI48" s="255" t="str">
        <x:v>264</x:v>
      </x:c>
      <x:c r="BJ48" s="255" t="str">
        <x:v>163</x:v>
      </x:c>
      <x:c r="BK48" s="255" t="str">
        <x:v>collision</x:v>
      </x:c>
      <x:c r="BL48" s="255" t="str">
        <x:v>collision</x:v>
      </x:c>
      <x:c r="BM48" s="255" t="str">
        <x:v>none</x:v>
      </x:c>
      <x:c r="BN48" s="255" t="str">
        <x:v>99</x:v>
      </x:c>
      <x:c r="BO48" s="255" t="str">
        <x:v>99</x:v>
      </x:c>
      <x:c r="BP48" s="255" t="str">
        <x:v>22.502508000005037</x:v>
      </x:c>
      <x:c r="BQ48" s="255" t="str">
        <x:v>True</x:v>
      </x:c>
      <x:c r="BR48" s="255" t="str">
        <x:v>101</x:v>
      </x:c>
      <x:c r="BS48" s="255" t="str">
        <x:v>101</x:v>
      </x:c>
      <x:c r="BT48" s="255" t="str">
        <x:v>21.053653400042094</x:v>
      </x:c>
      <x:c r="BU48" s="255" t="str">
        <x:v>True</x:v>
      </x:c>
      <x:c r="BV48" s="255" t="str">
        <x:v>True</x:v>
      </x:c>
      <x:c r="BW48" s="255" t="str">
        <x:v>2</x:v>
      </x:c>
      <x:c r="BX48" s="255" t="str">
        <x:v>2</x:v>
      </x:c>
      <x:c r="BY48" s="255" t="str">
        <x:v>-1.4488545999629423</x:v>
      </x:c>
      <x:c r="BZ48" s="255" t="str">
        <x:v>1.02020202020202</x:v>
      </x:c>
      <x:c r="CA48" s="255" t="str">
        <x:v>0</x:v>
      </x:c>
      <x:c r="CB48" s="255" t="str">
        <x:v>0</x:v>
      </x:c>
      <x:c r="CC48" s="255" t="str">
        <x:v>entropy</x:v>
      </x:c>
      <x:c r="CD48" s="255" t="str">
        <x:v>collision</x:v>
      </x:c>
      <x:c r="CE48" s="255" t="str">
        <x:v>none</x:v>
      </x:c>
    </x:row>
    <x:row r="49">
      <x:c r="A49" s="256" t="str">
        <x:v>500</x:v>
      </x:c>
      <x:c r="B49" s="256" t="str">
        <x:v>0.7</x:v>
      </x:c>
      <x:c r="C49" s="256" t="str">
        <x:v>3</x:v>
      </x:c>
      <x:c r="D49" s="256" t="str">
        <x:v>1929132124</x:v>
      </x:c>
      <x:c r="E49" s="256" t="str">
        <x:v>88948</x:v>
      </x:c>
      <x:c r="F49" s="256" t="str">
        <x:v>1</x:v>
      </x:c>
      <x:c r="G49" s="256" t="str">
        <x:v>500</x:v>
      </x:c>
      <x:c r="H49" s="256" t="str">
        <x:v>355.792</x:v>
      </x:c>
      <x:c r="I49" s="256" t="str">
        <x:v>0.7130100200400802</x:v>
      </x:c>
      <x:c r="J49" s="256" t="str">
        <x:v>5</x:v>
      </x:c>
      <x:c r="K49" s="256" t="str">
        <x:v>zoomed_entropy,zoomed_collision,ich_entropy,ich_collision,grid_entropy,grid_collision,circle_entropy,circle_collision</x:v>
      </x:c>
      <x:c r="L49" s="256" t="str">
        <x:v>424</x:v>
      </x:c>
      <x:c r="M49" s="256" t="str">
        <x:v>111</x:v>
      </x:c>
      <x:c r="N49" s="256" t="str">
        <x:v>14.215119799948297</x:v>
      </x:c>
      <x:c r="O49" s="256" t="str">
        <x:v>True</x:v>
      </x:c>
      <x:c r="P49" s="256" t="str">
        <x:v>99</x:v>
      </x:c>
      <x:c r="Q49" s="256" t="str">
        <x:v>94</x:v>
      </x:c>
      <x:c r="R49" s="256" t="str">
        <x:v>8.750613800017163</x:v>
      </x:c>
      <x:c r="S49" s="256" t="str">
        <x:v>True</x:v>
      </x:c>
      <x:c r="T49" s="256" t="str">
        <x:v>True</x:v>
      </x:c>
      <x:c r="U49" s="256" t="str">
        <x:v>-17</x:v>
      </x:c>
      <x:c r="V49" s="256" t="str">
        <x:v>-325</x:v>
      </x:c>
      <x:c r="W49" s="256" t="str">
        <x:v>-5.464505999931134</x:v>
      </x:c>
      <x:c r="X49" s="256" t="str">
        <x:v>0.8468468468468469</x:v>
      </x:c>
      <x:c r="Y49" s="256" t="str">
        <x:v>313</x:v>
      </x:c>
      <x:c r="Z49" s="256" t="str">
        <x:v>5</x:v>
      </x:c>
      <x:c r="AA49" s="256" t="str">
        <x:v>collision</x:v>
      </x:c>
      <x:c r="AB49" s="256" t="str">
        <x:v>collision</x:v>
      </x:c>
      <x:c r="AC49" s="256" t="str">
        <x:v>none</x:v>
      </x:c>
      <x:c r="AD49" s="256" t="str">
        <x:v>316</x:v>
      </x:c>
      <x:c r="AE49" s="256" t="str">
        <x:v>147</x:v>
      </x:c>
      <x:c r="AF49" s="256" t="str">
        <x:v>3.1712197000160813</x:v>
      </x:c>
      <x:c r="AG49" s="256" t="str">
        <x:v>True</x:v>
      </x:c>
      <x:c r="AH49" s="256" t="str">
        <x:v>309</x:v>
      </x:c>
      <x:c r="AI49" s="256" t="str">
        <x:v>153</x:v>
      </x:c>
      <x:c r="AJ49" s="256" t="str">
        <x:v>3.1149930000538006</x:v>
      </x:c>
      <x:c r="AK49" s="256" t="str">
        <x:v>True</x:v>
      </x:c>
      <x:c r="AL49" s="256" t="str">
        <x:v>True</x:v>
      </x:c>
      <x:c r="AM49" s="256" t="str">
        <x:v>6</x:v>
      </x:c>
      <x:c r="AN49" s="256" t="str">
        <x:v>-7</x:v>
      </x:c>
      <x:c r="AO49" s="256" t="str">
        <x:v>-0.05622669996228069</x:v>
      </x:c>
      <x:c r="AP49" s="256" t="str">
        <x:v>1.0408163265306123</x:v>
      </x:c>
      <x:c r="AQ49" s="256" t="str">
        <x:v>169</x:v>
      </x:c>
      <x:c r="AR49" s="256" t="str">
        <x:v>156</x:v>
      </x:c>
      <x:c r="AS49" s="256" t="str">
        <x:v>entropy</x:v>
      </x:c>
      <x:c r="AT49" s="256" t="str">
        <x:v>collision</x:v>
      </x:c>
      <x:c r="AU49" s="256" t="str">
        <x:v>none</x:v>
      </x:c>
      <x:c r="AV49" s="256" t="str">
        <x:v>456</x:v>
      </x:c>
      <x:c r="AW49" s="256" t="str">
        <x:v>115</x:v>
      </x:c>
      <x:c r="AX49" s="256" t="str">
        <x:v>6.171383599983528</x:v>
      </x:c>
      <x:c r="AY49" s="256" t="str">
        <x:v>True</x:v>
      </x:c>
      <x:c r="AZ49" s="256" t="str">
        <x:v>214</x:v>
      </x:c>
      <x:c r="BA49" s="256" t="str">
        <x:v>107</x:v>
      </x:c>
      <x:c r="BB49" s="256" t="str">
        <x:v>5.550550599931739</x:v>
      </x:c>
      <x:c r="BC49" s="256" t="str">
        <x:v>True</x:v>
      </x:c>
      <x:c r="BD49" s="256" t="str">
        <x:v>True</x:v>
      </x:c>
      <x:c r="BE49" s="256" t="str">
        <x:v>-8</x:v>
      </x:c>
      <x:c r="BF49" s="256" t="str">
        <x:v>-242</x:v>
      </x:c>
      <x:c r="BG49" s="256" t="str">
        <x:v>-0.620833000051789</x:v>
      </x:c>
      <x:c r="BH49" s="256" t="str">
        <x:v>0.9304347826086956</x:v>
      </x:c>
      <x:c r="BI49" s="256" t="str">
        <x:v>341</x:v>
      </x:c>
      <x:c r="BJ49" s="256" t="str">
        <x:v>107</x:v>
      </x:c>
      <x:c r="BK49" s="256" t="str">
        <x:v>collision</x:v>
      </x:c>
      <x:c r="BL49" s="256" t="str">
        <x:v>collision</x:v>
      </x:c>
      <x:c r="BM49" s="256" t="str">
        <x:v>none</x:v>
      </x:c>
      <x:c r="BN49" s="256" t="str">
        <x:v>93</x:v>
      </x:c>
      <x:c r="BO49" s="256" t="str">
        <x:v>93</x:v>
      </x:c>
      <x:c r="BP49" s="256" t="str">
        <x:v>21.147465600050054</x:v>
      </x:c>
      <x:c r="BQ49" s="256" t="str">
        <x:v>True</x:v>
      </x:c>
      <x:c r="BR49" s="256" t="str">
        <x:v>90</x:v>
      </x:c>
      <x:c r="BS49" s="256" t="str">
        <x:v>90</x:v>
      </x:c>
      <x:c r="BT49" s="256" t="str">
        <x:v>19.434748400002718</x:v>
      </x:c>
      <x:c r="BU49" s="256" t="str">
        <x:v>True</x:v>
      </x:c>
      <x:c r="BV49" s="256" t="str">
        <x:v>True</x:v>
      </x:c>
      <x:c r="BW49" s="256" t="str">
        <x:v>-3</x:v>
      </x:c>
      <x:c r="BX49" s="256" t="str">
        <x:v>-3</x:v>
      </x:c>
      <x:c r="BY49" s="256" t="str">
        <x:v>-1.7127172000473365</x:v>
      </x:c>
      <x:c r="BZ49" s="256" t="str">
        <x:v>0.967741935483871</x:v>
      </x:c>
      <x:c r="CA49" s="256" t="str">
        <x:v>0</x:v>
      </x:c>
      <x:c r="CB49" s="256" t="str">
        <x:v>0</x:v>
      </x:c>
      <x:c r="CC49" s="256" t="str">
        <x:v>collision</x:v>
      </x:c>
      <x:c r="CD49" s="256" t="str">
        <x:v>collision</x:v>
      </x:c>
      <x:c r="CE49" s="256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b988c391cdaf4e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6" customHeight="1">
      <x:c r="A1" s="66" t="str">
        <x:v>Entropy vs. Collision Across Every Method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31" customHeight="1">
      <x:c r="A2" s="74" t="str">
        <x:v>48 shared random geometric graphs; each entropy/collision pair uses the same graph and random seed. Invalid outputs are excluded from size wins and averages.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</x:row>
    <x:row r="3">
      <x:c r="A3" s="82" t="str">
        <x:v>Graphs</x:v>
      </x:c>
      <x:c r="B3" s="82"/>
      <x:c r="C3" s="82"/>
      <x:c r="D3" s="82" t="str">
        <x:v>Paired comparisons</x:v>
      </x:c>
      <x:c r="E3" s="82"/>
      <x:c r="F3" s="82"/>
      <x:c r="G3" s="82" t="str">
        <x:v>Both-valid pairs</x:v>
      </x:c>
      <x:c r="H3" s="82"/>
      <x:c r="I3" s="82"/>
      <x:c r="J3" s="82" t="str">
        <x:v>Collision size wins</x:v>
      </x:c>
      <x:c r="K3" s="82"/>
      <x:c r="L3" s="82"/>
      <x:c r="M3" s="82" t="str">
        <x:v>Large invalid artifacts</x:v>
      </x:c>
      <x:c r="N3" s="82"/>
      <x:c r="O3" s="82"/>
    </x:row>
    <x:row r="4">
      <x:c r="A4" s="124" t="n">
        <x:f>COUNTA('Raw Results'!$A$2:$A$49)</x:f>
        <x:v>48</x:v>
      </x:c>
      <x:c r="B4" s="125"/>
      <x:c r="C4" s="126"/>
      <x:c r="D4" s="124" t="n">
        <x:f>COUNTA('Pair Results'!$A$2:$A$193)</x:f>
        <x:v>192</x:v>
      </x:c>
      <x:c r="E4" s="125"/>
      <x:c r="F4" s="126"/>
      <x:c r="G4" s="124" t="n">
        <x:f>SUM('Pair Results'!$S$2:$S$193)</x:f>
        <x:v>179</x:v>
      </x:c>
      <x:c r="H4" s="125"/>
      <x:c r="I4" s="126"/>
      <x:c r="J4" s="124" t="n">
        <x:f>COUNTIF('Pair Results'!$Z$2:$Z$193,"Collision")</x:f>
        <x:v>76</x:v>
      </x:c>
      <x:c r="K4" s="125"/>
      <x:c r="L4" s="126"/>
      <x:c r="M4" s="124" t="n">
        <x:f>COUNTIF('Pair Results'!$AB$2:$AB$193,"large_and_invalid")</x:f>
        <x:v>5</x:v>
      </x:c>
      <x:c r="N4" s="125"/>
      <x:c r="O4" s="126"/>
    </x:row>
    <x:row r="5">
      <x:c r="A5" s="127"/>
      <x:c r="B5" s="128"/>
      <x:c r="C5" s="129"/>
      <x:c r="D5" s="127"/>
      <x:c r="E5" s="128"/>
      <x:c r="F5" s="129"/>
      <x:c r="G5" s="127"/>
      <x:c r="H5" s="128"/>
      <x:c r="I5" s="129"/>
      <x:c r="J5" s="127"/>
      <x:c r="K5" s="128"/>
      <x:c r="L5" s="129"/>
      <x:c r="M5" s="127"/>
      <x:c r="N5" s="128"/>
      <x:c r="O5" s="129"/>
    </x:row>
    <x:row r="7" ht="40" customHeight="1">
      <x:c r="A7" s="8" t="str">
        <x:v>Family</x:v>
      </x:c>
      <x:c r="B7" s="8" t="str">
        <x:v>Entropy valid</x:v>
      </x:c>
      <x:c r="C7" s="8" t="str">
        <x:v>Collision valid</x:v>
      </x:c>
      <x:c r="D7" s="8" t="str">
        <x:v>Both valid</x:v>
      </x:c>
      <x:c r="E7" s="8" t="str">
        <x:v>Entropy avg size</x:v>
      </x:c>
      <x:c r="F7" s="8" t="str">
        <x:v>Collision avg size</x:v>
      </x:c>
      <x:c r="G7" s="8" t="str">
        <x:v>Collision - Entropy</x:v>
      </x:c>
      <x:c r="H7" s="8" t="str">
        <x:v>Collision wins</x:v>
      </x:c>
      <x:c r="I7" s="8" t="str">
        <x:v>Entropy wins</x:v>
      </x:c>
      <x:c r="J7" s="8" t="str">
        <x:v>Ties</x:v>
      </x:c>
      <x:c r="K7" s="8" t="str">
        <x:v>Entropy avg time (s)</x:v>
      </x:c>
      <x:c r="L7" s="8" t="str">
        <x:v>Collision avg time (s)</x:v>
      </x:c>
      <x:c r="M7" s="8" t="str">
        <x:v>Time ratio</x:v>
      </x:c>
      <x:c r="N7" s="8" t="str">
        <x:v>Collision faster</x:v>
      </x:c>
      <x:c r="O7" s="8" t="str">
        <x:v>Large invalid</x:v>
      </x:c>
    </x:row>
    <x:row r="8">
      <x:c r="A8" s="22" t="str">
        <x:v>Grid</x:v>
      </x:c>
      <x:c r="B8" s="23" t="n">
        <x:f>COUNTIFS('Pair Results'!$A$2:$A$193,A8,'Pair Results'!$N$2:$N$193,1)</x:f>
        <x:v>40</x:v>
      </x:c>
      <x:c r="C8" s="23" t="n">
        <x:f>COUNTIFS('Pair Results'!$A$2:$A$193,A8,'Pair Results'!$R$2:$R$193,1)</x:f>
        <x:v>36</x:v>
      </x:c>
      <x:c r="D8" s="23" t="n">
        <x:f>COUNTIFS('Pair Results'!$A$2:$A$193,A8,'Pair Results'!$S$2:$S$193,1)</x:f>
        <x:v>36</x:v>
      </x:c>
      <x:c r="E8" s="25" t="n">
        <x:f>AVERAGEIFS('Pair Results'!$L$2:$L$193,'Pair Results'!$A$2:$A$193,A8,'Pair Results'!$S$2:$S$193,1)</x:f>
        <x:v>47.05555555555556</x:v>
      </x:c>
      <x:c r="F8" s="25" t="n">
        <x:f>AVERAGEIFS('Pair Results'!$P$2:$P$193,'Pair Results'!$A$2:$A$193,A8,'Pair Results'!$S$2:$S$193,1)</x:f>
        <x:v>42.75</x:v>
      </x:c>
      <x:c r="G8" s="25" t="n">
        <x:f>F8-E8</x:f>
        <x:v>-4.305555555555557</x:v>
      </x:c>
      <x:c r="H8" s="23" t="n">
        <x:f>COUNTIFS('Pair Results'!$A$2:$A$193,A8,'Pair Results'!$Z$2:$Z$193,"Collision")</x:f>
        <x:v>24</x:v>
      </x:c>
      <x:c r="I8" s="23" t="n">
        <x:f>COUNTIFS('Pair Results'!$A$2:$A$193,A8,'Pair Results'!$Z$2:$Z$193,"Entropy")</x:f>
        <x:v>9</x:v>
      </x:c>
      <x:c r="J8" s="23" t="n">
        <x:f>COUNTIFS('Pair Results'!$A$2:$A$193,A8,'Pair Results'!$Z$2:$Z$193,"Tie")</x:f>
        <x:v>3</x:v>
      </x:c>
      <x:c r="K8" s="138" t="n">
        <x:f>AVERAGEIFS('Pair Results'!$M$2:$M$193,'Pair Results'!$A$2:$A$193,A8)</x:f>
        <x:v>2.2333218812564155</x:v>
      </x:c>
      <x:c r="L8" s="138" t="n">
        <x:f>AVERAGEIFS('Pair Results'!$Q$2:$Q$193,'Pair Results'!$A$2:$A$193,A8)</x:f>
        <x:v>1.2535838187419965</x:v>
      </x:c>
      <x:c r="M8" s="28" t="n">
        <x:f>L8/K8</x:f>
        <x:v>0.5613090657745936</x:v>
      </x:c>
      <x:c r="N8" s="23" t="n">
        <x:f>COUNTIFS('Pair Results'!$A$2:$A$193,A8,'Pair Results'!$AA$2:$AA$193,"Collision")</x:f>
        <x:v>48</x:v>
      </x:c>
      <x:c r="O8" s="23" t="n">
        <x:f>COUNTIFS('Pair Results'!$A$2:$A$193,A8,'Pair Results'!$AB$2:$AB$193,"large_and_invalid")</x:f>
        <x:v>4</x:v>
      </x:c>
    </x:row>
    <x:row r="9">
      <x:c r="A9" s="29" t="str">
        <x:v>Circle</x:v>
      </x:c>
      <x:c r="B9" s="30" t="n">
        <x:f>COUNTIFS('Pair Results'!$A$2:$A$193,A9,'Pair Results'!$N$2:$N$193,1)</x:f>
        <x:v>48</x:v>
      </x:c>
      <x:c r="C9" s="30" t="n">
        <x:f>COUNTIFS('Pair Results'!$A$2:$A$193,A9,'Pair Results'!$R$2:$R$193,1)</x:f>
        <x:v>48</x:v>
      </x:c>
      <x:c r="D9" s="30" t="n">
        <x:f>COUNTIFS('Pair Results'!$A$2:$A$193,A9,'Pair Results'!$S$2:$S$193,1)</x:f>
        <x:v>48</x:v>
      </x:c>
      <x:c r="E9" s="32" t="n">
        <x:f>AVERAGEIFS('Pair Results'!$L$2:$L$193,'Pair Results'!$A$2:$A$193,A9,'Pair Results'!$S$2:$S$193,1)</x:f>
        <x:v>46.083333333333336</x:v>
      </x:c>
      <x:c r="F9" s="32" t="n">
        <x:f>AVERAGEIFS('Pair Results'!$P$2:$P$193,'Pair Results'!$A$2:$A$193,A9,'Pair Results'!$S$2:$S$193,1)</x:f>
        <x:v>46.354166666666664</x:v>
      </x:c>
      <x:c r="G9" s="32" t="n">
        <x:f>F9-E9</x:f>
        <x:v>0.2708333333333286</x:v>
      </x:c>
      <x:c r="H9" s="30" t="n">
        <x:f>COUNTIFS('Pair Results'!$A$2:$A$193,A9,'Pair Results'!$Z$2:$Z$193,"Collision")</x:f>
        <x:v>12</x:v>
      </x:c>
      <x:c r="I9" s="30" t="n">
        <x:f>COUNTIFS('Pair Results'!$A$2:$A$193,A9,'Pair Results'!$Z$2:$Z$193,"Entropy")</x:f>
        <x:v>16</x:v>
      </x:c>
      <x:c r="J9" s="30" t="n">
        <x:f>COUNTIFS('Pair Results'!$A$2:$A$193,A9,'Pair Results'!$Z$2:$Z$193,"Tie")</x:f>
        <x:v>20</x:v>
      </x:c>
      <x:c r="K9" s="139" t="n">
        <x:f>AVERAGEIFS('Pair Results'!$M$2:$M$193,'Pair Results'!$A$2:$A$193,A9)</x:f>
        <x:v>0.5389577229313242</x:v>
      </x:c>
      <x:c r="L9" s="139" t="n">
        <x:f>AVERAGEIFS('Pair Results'!$Q$2:$Q$193,'Pair Results'!$A$2:$A$193,A9)</x:f>
        <x:v>0.5088282416472794</x:v>
      </x:c>
      <x:c r="M9" s="35" t="n">
        <x:f>L9/K9</x:f>
        <x:v>0.9440967630630205</x:v>
      </x:c>
      <x:c r="N9" s="30" t="n">
        <x:f>COUNTIFS('Pair Results'!$A$2:$A$193,A9,'Pair Results'!$AA$2:$AA$193,"Collision")</x:f>
        <x:v>35</x:v>
      </x:c>
      <x:c r="O9" s="30" t="n">
        <x:f>COUNTIFS('Pair Results'!$A$2:$A$193,A9,'Pair Results'!$AB$2:$AB$193,"large_and_invalid")</x:f>
        <x:v>0</x:v>
      </x:c>
    </x:row>
    <x:row r="10">
      <x:c r="A10" s="29" t="str">
        <x:v>Zoomed Square</x:v>
      </x:c>
      <x:c r="B10" s="30" t="n">
        <x:f>COUNTIFS('Pair Results'!$A$2:$A$193,A10,'Pair Results'!$N$2:$N$193,1)</x:f>
        <x:v>48</x:v>
      </x:c>
      <x:c r="C10" s="30" t="n">
        <x:f>COUNTIFS('Pair Results'!$A$2:$A$193,A10,'Pair Results'!$R$2:$R$193,1)</x:f>
        <x:v>47</x:v>
      </x:c>
      <x:c r="D10" s="30" t="n">
        <x:f>COUNTIFS('Pair Results'!$A$2:$A$193,A10,'Pair Results'!$S$2:$S$193,1)</x:f>
        <x:v>47</x:v>
      </x:c>
      <x:c r="E10" s="32" t="n">
        <x:f>AVERAGEIFS('Pair Results'!$L$2:$L$193,'Pair Results'!$A$2:$A$193,A10,'Pair Results'!$S$2:$S$193,1)</x:f>
        <x:v>43.40425531914894</x:v>
      </x:c>
      <x:c r="F10" s="32" t="n">
        <x:f>AVERAGEIFS('Pair Results'!$P$2:$P$193,'Pair Results'!$A$2:$A$193,A10,'Pair Results'!$S$2:$S$193,1)</x:f>
        <x:v>41.829787234042556</x:v>
      </x:c>
      <x:c r="G10" s="32" t="n">
        <x:f>F10-E10</x:f>
        <x:v>-1.574468085106382</x:v>
      </x:c>
      <x:c r="H10" s="30" t="n">
        <x:f>COUNTIFS('Pair Results'!$A$2:$A$193,A10,'Pair Results'!$Z$2:$Z$193,"Collision")</x:f>
        <x:v>23</x:v>
      </x:c>
      <x:c r="I10" s="30" t="n">
        <x:f>COUNTIFS('Pair Results'!$A$2:$A$193,A10,'Pair Results'!$Z$2:$Z$193,"Entropy")</x:f>
        <x:v>8</x:v>
      </x:c>
      <x:c r="J10" s="30" t="n">
        <x:f>COUNTIFS('Pair Results'!$A$2:$A$193,A10,'Pair Results'!$Z$2:$Z$193,"Tie")</x:f>
        <x:v>16</x:v>
      </x:c>
      <x:c r="K10" s="139" t="n">
        <x:f>AVERAGEIFS('Pair Results'!$M$2:$M$193,'Pair Results'!$A$2:$A$193,A10)</x:f>
        <x:v>0.95706852292642</x:v>
      </x:c>
      <x:c r="L10" s="139" t="n">
        <x:f>AVERAGEIFS('Pair Results'!$Q$2:$Q$193,'Pair Results'!$A$2:$A$193,A10)</x:f>
        <x:v>0.7934944645846068</x:v>
      </x:c>
      <x:c r="M10" s="35" t="n">
        <x:f>L10/K10</x:f>
        <x:v>0.8290884566533917</x:v>
      </x:c>
      <x:c r="N10" s="30" t="n">
        <x:f>COUNTIFS('Pair Results'!$A$2:$A$193,A10,'Pair Results'!$AA$2:$AA$193,"Collision")</x:f>
        <x:v>34</x:v>
      </x:c>
      <x:c r="O10" s="30" t="n">
        <x:f>COUNTIFS('Pair Results'!$A$2:$A$193,A10,'Pair Results'!$AB$2:$AB$193,"large_and_invalid")</x:f>
        <x:v>1</x:v>
      </x:c>
    </x:row>
    <x:row r="11">
      <x:c r="A11" s="36" t="str">
        <x:v>ICH</x:v>
      </x:c>
      <x:c r="B11" s="37" t="n">
        <x:f>COUNTIFS('Pair Results'!$A$2:$A$193,A11,'Pair Results'!$N$2:$N$193,1)</x:f>
        <x:v>48</x:v>
      </x:c>
      <x:c r="C11" s="37" t="n">
        <x:f>COUNTIFS('Pair Results'!$A$2:$A$193,A11,'Pair Results'!$R$2:$R$193,1)</x:f>
        <x:v>48</x:v>
      </x:c>
      <x:c r="D11" s="37" t="n">
        <x:f>COUNTIFS('Pair Results'!$A$2:$A$193,A11,'Pair Results'!$S$2:$S$193,1)</x:f>
        <x:v>48</x:v>
      </x:c>
      <x:c r="E11" s="39" t="n">
        <x:f>AVERAGEIFS('Pair Results'!$L$2:$L$193,'Pair Results'!$A$2:$A$193,A11,'Pair Results'!$S$2:$S$193,1)</x:f>
        <x:v>40.479166666666664</x:v>
      </x:c>
      <x:c r="F11" s="39" t="n">
        <x:f>AVERAGEIFS('Pair Results'!$P$2:$P$193,'Pair Results'!$A$2:$A$193,A11,'Pair Results'!$S$2:$S$193,1)</x:f>
        <x:v>40.354166666666664</x:v>
      </x:c>
      <x:c r="G11" s="39" t="n">
        <x:f>F11-E11</x:f>
        <x:v>-0.125</x:v>
      </x:c>
      <x:c r="H11" s="37" t="n">
        <x:f>COUNTIFS('Pair Results'!$A$2:$A$193,A11,'Pair Results'!$Z$2:$Z$193,"Collision")</x:f>
        <x:v>17</x:v>
      </x:c>
      <x:c r="I11" s="37" t="n">
        <x:f>COUNTIFS('Pair Results'!$A$2:$A$193,A11,'Pair Results'!$Z$2:$Z$193,"Entropy")</x:f>
        <x:v>11</x:v>
      </x:c>
      <x:c r="J11" s="37" t="n">
        <x:f>COUNTIFS('Pair Results'!$A$2:$A$193,A11,'Pair Results'!$Z$2:$Z$193,"Tie")</x:f>
        <x:v>20</x:v>
      </x:c>
      <x:c r="K11" s="140" t="n">
        <x:f>AVERAGEIFS('Pair Results'!$M$2:$M$193,'Pair Results'!$A$2:$A$193,A11)</x:f>
        <x:v>5.507918049998504</x:v>
      </x:c>
      <x:c r="L11" s="140" t="n">
        <x:f>AVERAGEIFS('Pair Results'!$Q$2:$Q$193,'Pair Results'!$A$2:$A$193,A11)</x:f>
        <x:v>5.350311943747026</x:v>
      </x:c>
      <x:c r="M11" s="42" t="n">
        <x:f>L11/K11</x:f>
        <x:v>0.971385538996623</x:v>
      </x:c>
      <x:c r="N11" s="37" t="n">
        <x:f>COUNTIFS('Pair Results'!$A$2:$A$193,A11,'Pair Results'!$AA$2:$AA$193,"Collision")</x:f>
        <x:v>37</x:v>
      </x:c>
      <x:c r="O11" s="37" t="n">
        <x:f>COUNTIFS('Pair Results'!$A$2:$A$193,A11,'Pair Results'!$AB$2:$AB$193,"large_and_invalid")</x:f>
        <x:v>0</x:v>
      </x:c>
    </x:row>
    <x:row r="13">
      <x:c r="A13" s="172" t="str">
        <x:v>Main finding: the five dramatic size losses are invalid local-group outputs, not valid oversized resolving sets. Each retained one or two unresolved cross-group pairs, so pruning removed zero probes. After adding 1–2 global repair probes, they pruned to sizes 13, 19, 44, 31, and 108.</x:v>
      </x:c>
      <x:c r="B13" s="173"/>
      <x:c r="C13" s="173"/>
      <x:c r="D13" s="173"/>
      <x:c r="E13" s="173"/>
      <x:c r="F13" s="173"/>
      <x:c r="G13" s="173"/>
      <x:c r="H13" s="173"/>
      <x:c r="I13" s="173"/>
      <x:c r="J13" s="173"/>
      <x:c r="K13" s="173"/>
      <x:c r="L13" s="173"/>
      <x:c r="M13" s="173"/>
      <x:c r="N13" s="173"/>
      <x:c r="O13" s="174"/>
    </x:row>
    <x:row r="14">
      <x:c r="A14" s="175"/>
      <x:c r="B14" s="176"/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7"/>
    </x:row>
  </x:sheetData>
  <x:mergeCells>
    <x:mergeCell ref="A1:O1"/>
    <x:mergeCell ref="A2:O2"/>
    <x:mergeCell ref="A3:C3"/>
    <x:mergeCell ref="A4:C5"/>
    <x:mergeCell ref="D3:F3"/>
    <x:mergeCell ref="D4:F5"/>
    <x:mergeCell ref="G3:I3"/>
    <x:mergeCell ref="G4:I5"/>
    <x:mergeCell ref="J3:L3"/>
    <x:mergeCell ref="J4:L5"/>
    <x:mergeCell ref="M3:O3"/>
    <x:mergeCell ref="M4:O5"/>
    <x:mergeCell ref="A13:O14"/>
  </x:mergeCells>
  <x:conditionalFormatting sqref="G8:G11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1" hidden="0" customWidth="1"/>
    <x:col min="13" max="13" width="21" hidden="0" customWidth="1"/>
    <x:col min="14" max="14" width="21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6" customHeight="1">
      <x:c r="A1" s="186" t="str">
        <x:v>Pair Results by Method and Graph Configuration</x:v>
      </x:c>
      <x:c r="B1" s="186"/>
      <x:c r="C1" s="186"/>
      <x:c r="D1" s="186"/>
      <x:c r="E1" s="186"/>
      <x:c r="F1" s="186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</x:row>
    <x:row r="2">
      <x:c r="A2" s="70" t="str">
        <x:v>Set-size averages and wins use only rows where both variants are valid. Timing uses all runs. Red validity cells expose local-to-global failures.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5" ht="40" customHeight="1">
      <x:c r="A5" s="8" t="str">
        <x:v>Family</x:v>
      </x:c>
      <x:c r="B5" s="8" t="str">
        <x:v>n</x:v>
      </x:c>
      <x:c r="C5" s="8" t="str">
        <x:v>radius</x:v>
      </x:c>
      <x:c r="D5" s="8" t="str">
        <x:v>runs</x:v>
      </x:c>
      <x:c r="E5" s="8" t="str">
        <x:v>both valid</x:v>
      </x:c>
      <x:c r="F5" s="8" t="str">
        <x:v>Entropy avg size</x:v>
      </x:c>
      <x:c r="G5" s="8" t="str">
        <x:v>Collision avg size</x:v>
      </x:c>
      <x:c r="H5" s="8" t="str">
        <x:v>Collision - Entropy</x:v>
      </x:c>
      <x:c r="I5" s="8" t="str">
        <x:v>Collision wins</x:v>
      </x:c>
      <x:c r="J5" s="8" t="str">
        <x:v>Entropy wins</x:v>
      </x:c>
      <x:c r="K5" s="8" t="str">
        <x:v>ties</x:v>
      </x:c>
      <x:c r="L5" s="8" t="str">
        <x:v>Entropy avg time (s)</x:v>
      </x:c>
      <x:c r="M5" s="8" t="str">
        <x:v>Collision avg time (s)</x:v>
      </x:c>
      <x:c r="N5" s="8" t="str">
        <x:v>Time ratio</x:v>
      </x:c>
      <x:c r="O5" s="8" t="str">
        <x:v>Entropy validity</x:v>
      </x:c>
      <x:c r="P5" s="8" t="str">
        <x:v>Collision validity</x:v>
      </x:c>
      <x:c r="Q5" s="8" t="str">
        <x:v>Large invalid</x:v>
      </x:c>
    </x:row>
    <x:row r="6">
      <x:c r="A6" s="22" t="str">
        <x:v>Grid</x:v>
      </x:c>
      <x:c r="B6" s="23" t="n">
        <x:v>50</x:v>
      </x:c>
      <x:c r="C6" s="24" t="n">
        <x:v>0.1</x:v>
      </x:c>
      <x:c r="D6" s="23" t="n">
        <x:f>COUNTIFS('Pair Results'!$A$2:$A$193,A6,'Pair Results'!$B$2:$B$193,B6,'Pair Results'!$C$2:$C$193,C6)</x:f>
        <x:v>3</x:v>
      </x:c>
      <x:c r="E6" s="23" t="n">
        <x:f>COUNTIFS('Pair Results'!$A$2:$A$193,A6,'Pair Results'!$B$2:$B$193,B6,'Pair Results'!$C$2:$C$193,C6,'Pair Results'!$S$2:$S$193,1)</x:f>
        <x:v>0</x:v>
      </x:c>
      <x:c r="F6" s="25" t="str">
        <x:f>IF(E6=0,"",AVERAGEIFS('Pair Results'!$L$2:$L$193,'Pair Results'!$A$2:$A$193,A6,'Pair Results'!$B$2:$B$193,B6,'Pair Results'!$C$2:$C$193,C6,'Pair Results'!$S$2:$S$193,1))</x:f>
      </x:c>
      <x:c r="G6" s="25" t="str">
        <x:f>IF(E6=0,"",AVERAGEIFS('Pair Results'!$P$2:$P$193,'Pair Results'!$A$2:$A$193,A6,'Pair Results'!$B$2:$B$193,B6,'Pair Results'!$C$2:$C$193,C6,'Pair Results'!$S$2:$S$193,1))</x:f>
      </x:c>
      <x:c r="H6" s="25" t="str">
        <x:f>IF(E6=0,"",G6-F6)</x:f>
      </x:c>
      <x:c r="I6" s="23" t="n">
        <x:f>COUNTIFS('Pair Results'!$A$2:$A$193,A6,'Pair Results'!$B$2:$B$193,B6,'Pair Results'!$C$2:$C$193,C6,'Pair Results'!$Z$2:$Z$193,"Collision")</x:f>
        <x:v>0</x:v>
      </x:c>
      <x:c r="J6" s="23" t="n">
        <x:f>COUNTIFS('Pair Results'!$A$2:$A$193,A6,'Pair Results'!$B$2:$B$193,B6,'Pair Results'!$C$2:$C$193,C6,'Pair Results'!$Z$2:$Z$193,"Entropy")</x:f>
        <x:v>0</x:v>
      </x:c>
      <x:c r="K6" s="23" t="n">
        <x:f>COUNTIFS('Pair Results'!$A$2:$A$193,A6,'Pair Results'!$B$2:$B$193,B6,'Pair Results'!$C$2:$C$193,C6,'Pair Results'!$Z$2:$Z$193,"Tie")</x:f>
        <x:v>0</x:v>
      </x:c>
      <x:c r="L6" s="26" t="n">
        <x:f>AVERAGEIFS('Pair Results'!$M$2:$M$193,'Pair Results'!$A$2:$A$193,A6,'Pair Results'!$B$2:$B$193,B6,'Pair Results'!$C$2:$C$193,C6)</x:f>
        <x:v>0.002311366726644337</x:v>
      </x:c>
      <x:c r="M6" s="26" t="n">
        <x:f>AVERAGEIFS('Pair Results'!$Q$2:$Q$193,'Pair Results'!$A$2:$A$193,A6,'Pair Results'!$B$2:$B$193,B6,'Pair Results'!$C$2:$C$193,C6)</x:f>
        <x:v>0.0018608667111645143</x:v>
      </x:c>
      <x:c r="N6" s="28" t="n">
        <x:f>M6/L6</x:f>
        <x:v>0.8050936658875146</x:v>
      </x:c>
      <x:c r="O6" s="190" t="n">
        <x:f>COUNTIFS('Pair Results'!$A$2:$A$193,A6,'Pair Results'!$B$2:$B$193,B6,'Pair Results'!$C$2:$C$193,C6,'Pair Results'!$N$2:$N$193,1)/D6</x:f>
        <x:v>0</x:v>
      </x:c>
      <x:c r="P6" s="190" t="n">
        <x:f>COUNTIFS('Pair Results'!$A$2:$A$193,A6,'Pair Results'!$B$2:$B$193,B6,'Pair Results'!$C$2:$C$193,C6,'Pair Results'!$R$2:$R$193,1)/D6</x:f>
        <x:v>0</x:v>
      </x:c>
      <x:c r="Q6" s="23" t="n">
        <x:f>COUNTIFS('Pair Results'!$A$2:$A$193,A6,'Pair Results'!$B$2:$B$193,B6,'Pair Results'!$C$2:$C$193,C6,'Pair Results'!$AB$2:$AB$193,"large_and_invalid")</x:f>
        <x:v>0</x:v>
      </x:c>
    </x:row>
    <x:row r="7">
      <x:c r="A7" s="29" t="str">
        <x:v>Grid</x:v>
      </x:c>
      <x:c r="B7" s="30" t="n">
        <x:v>50</x:v>
      </x:c>
      <x:c r="C7" s="31" t="n">
        <x:v>0.3</x:v>
      </x:c>
      <x:c r="D7" s="30" t="n">
        <x:f>COUNTIFS('Pair Results'!$A$2:$A$193,A7,'Pair Results'!$B$2:$B$193,B7,'Pair Results'!$C$2:$C$193,C7)</x:f>
        <x:v>3</x:v>
      </x:c>
      <x:c r="E7" s="30" t="n">
        <x:f>COUNTIFS('Pair Results'!$A$2:$A$193,A7,'Pair Results'!$B$2:$B$193,B7,'Pair Results'!$C$2:$C$193,C7,'Pair Results'!$S$2:$S$193,1)</x:f>
        <x:v>2</x:v>
      </x:c>
      <x:c r="F7" s="32" t="n">
        <x:f>IF(E7=0,"",AVERAGEIFS('Pair Results'!$L$2:$L$193,'Pair Results'!$A$2:$A$193,A7,'Pair Results'!$B$2:$B$193,B7,'Pair Results'!$C$2:$C$193,C7,'Pair Results'!$S$2:$S$193,1))</x:f>
        <x:v>11</x:v>
      </x:c>
      <x:c r="G7" s="32" t="n">
        <x:f>IF(E7=0,"",AVERAGEIFS('Pair Results'!$P$2:$P$193,'Pair Results'!$A$2:$A$193,A7,'Pair Results'!$B$2:$B$193,B7,'Pair Results'!$C$2:$C$193,C7,'Pair Results'!$S$2:$S$193,1))</x:f>
        <x:v>11.5</x:v>
      </x:c>
      <x:c r="H7" s="32" t="n">
        <x:f>IF(E7=0,"",G7-F7)</x:f>
        <x:v>0.5</x:v>
      </x:c>
      <x:c r="I7" s="30" t="n">
        <x:f>COUNTIFS('Pair Results'!$A$2:$A$193,A7,'Pair Results'!$B$2:$B$193,B7,'Pair Results'!$C$2:$C$193,C7,'Pair Results'!$Z$2:$Z$193,"Collision")</x:f>
        <x:v>0</x:v>
      </x:c>
      <x:c r="J7" s="30" t="n">
        <x:f>COUNTIFS('Pair Results'!$A$2:$A$193,A7,'Pair Results'!$B$2:$B$193,B7,'Pair Results'!$C$2:$C$193,C7,'Pair Results'!$Z$2:$Z$193,"Entropy")</x:f>
        <x:v>1</x:v>
      </x:c>
      <x:c r="K7" s="30" t="n">
        <x:f>COUNTIFS('Pair Results'!$A$2:$A$193,A7,'Pair Results'!$B$2:$B$193,B7,'Pair Results'!$C$2:$C$193,C7,'Pair Results'!$Z$2:$Z$193,"Tie")</x:f>
        <x:v>1</x:v>
      </x:c>
      <x:c r="L7" s="33" t="n">
        <x:f>AVERAGEIFS('Pair Results'!$M$2:$M$193,'Pair Results'!$A$2:$A$193,A7,'Pair Results'!$B$2:$B$193,B7,'Pair Results'!$C$2:$C$193,C7)</x:f>
        <x:v>0.004490200003298621</x:v>
      </x:c>
      <x:c r="M7" s="33" t="n">
        <x:f>AVERAGEIFS('Pair Results'!$Q$2:$Q$193,'Pair Results'!$A$2:$A$193,A7,'Pair Results'!$B$2:$B$193,B7,'Pair Results'!$C$2:$C$193,C7)</x:f>
        <x:v>0.003708533321817716</x:v>
      </x:c>
      <x:c r="N7" s="35" t="n">
        <x:f>M7/L7</x:f>
        <x:v>0.8259171794337287</x:v>
      </x:c>
      <x:c r="O7" s="191" t="n">
        <x:f>COUNTIFS('Pair Results'!$A$2:$A$193,A7,'Pair Results'!$B$2:$B$193,B7,'Pair Results'!$C$2:$C$193,C7,'Pair Results'!$N$2:$N$193,1)/D7</x:f>
        <x:v>1</x:v>
      </x:c>
      <x:c r="P7" s="191" t="n">
        <x:f>COUNTIFS('Pair Results'!$A$2:$A$193,A7,'Pair Results'!$B$2:$B$193,B7,'Pair Results'!$C$2:$C$193,C7,'Pair Results'!$R$2:$R$193,1)/D7</x:f>
        <x:v>0.6666666666666666</x:v>
      </x:c>
      <x:c r="Q7" s="30" t="n">
        <x:f>COUNTIFS('Pair Results'!$A$2:$A$193,A7,'Pair Results'!$B$2:$B$193,B7,'Pair Results'!$C$2:$C$193,C7,'Pair Results'!$AB$2:$AB$193,"large_and_invalid")</x:f>
        <x:v>1</x:v>
      </x:c>
    </x:row>
    <x:row r="8">
      <x:c r="A8" s="29" t="str">
        <x:v>Grid</x:v>
      </x:c>
      <x:c r="B8" s="30" t="n">
        <x:v>50</x:v>
      </x:c>
      <x:c r="C8" s="31" t="n">
        <x:v>0.5</x:v>
      </x:c>
      <x:c r="D8" s="30" t="n">
        <x:f>COUNTIFS('Pair Results'!$A$2:$A$193,A8,'Pair Results'!$B$2:$B$193,B8,'Pair Results'!$C$2:$C$193,C8)</x:f>
        <x:v>3</x:v>
      </x:c>
      <x:c r="E8" s="30" t="n">
        <x:f>COUNTIFS('Pair Results'!$A$2:$A$193,A8,'Pair Results'!$B$2:$B$193,B8,'Pair Results'!$C$2:$C$193,C8,'Pair Results'!$S$2:$S$193,1)</x:f>
        <x:v>3</x:v>
      </x:c>
      <x:c r="F8" s="32" t="n">
        <x:f>IF(E8=0,"",AVERAGEIFS('Pair Results'!$L$2:$L$193,'Pair Results'!$A$2:$A$193,A8,'Pair Results'!$B$2:$B$193,B8,'Pair Results'!$C$2:$C$193,C8,'Pair Results'!$S$2:$S$193,1))</x:f>
        <x:v>15.666666666666666</x:v>
      </x:c>
      <x:c r="G8" s="32" t="n">
        <x:f>IF(E8=0,"",AVERAGEIFS('Pair Results'!$P$2:$P$193,'Pair Results'!$A$2:$A$193,A8,'Pair Results'!$B$2:$B$193,B8,'Pair Results'!$C$2:$C$193,C8,'Pair Results'!$S$2:$S$193,1))</x:f>
        <x:v>15.333333333333334</x:v>
      </x:c>
      <x:c r="H8" s="32" t="n">
        <x:f>IF(E8=0,"",G8-F8)</x:f>
        <x:v>-0.33333333333333215</x:v>
      </x:c>
      <x:c r="I8" s="30" t="n">
        <x:f>COUNTIFS('Pair Results'!$A$2:$A$193,A8,'Pair Results'!$B$2:$B$193,B8,'Pair Results'!$C$2:$C$193,C8,'Pair Results'!$Z$2:$Z$193,"Collision")</x:f>
        <x:v>1</x:v>
      </x:c>
      <x:c r="J8" s="30" t="n">
        <x:f>COUNTIFS('Pair Results'!$A$2:$A$193,A8,'Pair Results'!$B$2:$B$193,B8,'Pair Results'!$C$2:$C$193,C8,'Pair Results'!$Z$2:$Z$193,"Entropy")</x:f>
        <x:v>1</x:v>
      </x:c>
      <x:c r="K8" s="30" t="n">
        <x:f>COUNTIFS('Pair Results'!$A$2:$A$193,A8,'Pair Results'!$B$2:$B$193,B8,'Pair Results'!$C$2:$C$193,C8,'Pair Results'!$Z$2:$Z$193,"Tie")</x:f>
        <x:v>1</x:v>
      </x:c>
      <x:c r="L8" s="33" t="n">
        <x:f>AVERAGEIFS('Pair Results'!$M$2:$M$193,'Pair Results'!$A$2:$A$193,A8,'Pair Results'!$B$2:$B$193,B8,'Pair Results'!$C$2:$C$193,C8)</x:f>
        <x:v>0.016923899995163083</x:v>
      </x:c>
      <x:c r="M8" s="33" t="n">
        <x:f>AVERAGEIFS('Pair Results'!$Q$2:$Q$193,'Pair Results'!$A$2:$A$193,A8,'Pair Results'!$B$2:$B$193,B8,'Pair Results'!$C$2:$C$193,C8)</x:f>
        <x:v>0.014937599965681633</x:v>
      </x:c>
      <x:c r="N8" s="35" t="n">
        <x:f>M8/L8</x:f>
        <x:v>0.8826334337800895</x:v>
      </x:c>
      <x:c r="O8" s="191" t="n">
        <x:f>COUNTIFS('Pair Results'!$A$2:$A$193,A8,'Pair Results'!$B$2:$B$193,B8,'Pair Results'!$C$2:$C$193,C8,'Pair Results'!$N$2:$N$193,1)/D8</x:f>
        <x:v>1</x:v>
      </x:c>
      <x:c r="P8" s="191" t="n">
        <x:f>COUNTIFS('Pair Results'!$A$2:$A$193,A8,'Pair Results'!$B$2:$B$193,B8,'Pair Results'!$C$2:$C$193,C8,'Pair Results'!$R$2:$R$193,1)/D8</x:f>
        <x:v>1</x:v>
      </x:c>
      <x:c r="Q8" s="30" t="n">
        <x:f>COUNTIFS('Pair Results'!$A$2:$A$193,A8,'Pair Results'!$B$2:$B$193,B8,'Pair Results'!$C$2:$C$193,C8,'Pair Results'!$AB$2:$AB$193,"large_and_invalid")</x:f>
        <x:v>0</x:v>
      </x:c>
    </x:row>
    <x:row r="9">
      <x:c r="A9" s="29" t="str">
        <x:v>Grid</x:v>
      </x:c>
      <x:c r="B9" s="30" t="n">
        <x:v>50</x:v>
      </x:c>
      <x:c r="C9" s="31" t="n">
        <x:v>0.7</x:v>
      </x:c>
      <x:c r="D9" s="30" t="n">
        <x:f>COUNTIFS('Pair Results'!$A$2:$A$193,A9,'Pair Results'!$B$2:$B$193,B9,'Pair Results'!$C$2:$C$193,C9)</x:f>
        <x:v>3</x:v>
      </x:c>
      <x:c r="E9" s="30" t="n">
        <x:f>COUNTIFS('Pair Results'!$A$2:$A$193,A9,'Pair Results'!$B$2:$B$193,B9,'Pair Results'!$C$2:$C$193,C9,'Pair Results'!$S$2:$S$193,1)</x:f>
        <x:v>3</x:v>
      </x:c>
      <x:c r="F9" s="32" t="n">
        <x:f>IF(E9=0,"",AVERAGEIFS('Pair Results'!$L$2:$L$193,'Pair Results'!$A$2:$A$193,A9,'Pair Results'!$B$2:$B$193,B9,'Pair Results'!$C$2:$C$193,C9,'Pair Results'!$S$2:$S$193,1))</x:f>
        <x:v>22</x:v>
      </x:c>
      <x:c r="G9" s="32" t="n">
        <x:f>IF(E9=0,"",AVERAGEIFS('Pair Results'!$P$2:$P$193,'Pair Results'!$A$2:$A$193,A9,'Pair Results'!$B$2:$B$193,B9,'Pair Results'!$C$2:$C$193,C9,'Pair Results'!$S$2:$S$193,1))</x:f>
        <x:v>20</x:v>
      </x:c>
      <x:c r="H9" s="32" t="n">
        <x:f>IF(E9=0,"",G9-F9)</x:f>
        <x:v>-2</x:v>
      </x:c>
      <x:c r="I9" s="30" t="n">
        <x:f>COUNTIFS('Pair Results'!$A$2:$A$193,A9,'Pair Results'!$B$2:$B$193,B9,'Pair Results'!$C$2:$C$193,C9,'Pair Results'!$Z$2:$Z$193,"Collision")</x:f>
        <x:v>3</x:v>
      </x:c>
      <x:c r="J9" s="30" t="n">
        <x:f>COUNTIFS('Pair Results'!$A$2:$A$193,A9,'Pair Results'!$B$2:$B$193,B9,'Pair Results'!$C$2:$C$193,C9,'Pair Results'!$Z$2:$Z$193,"Entropy")</x:f>
        <x:v>0</x:v>
      </x:c>
      <x:c r="K9" s="30" t="n">
        <x:f>COUNTIFS('Pair Results'!$A$2:$A$193,A9,'Pair Results'!$B$2:$B$193,B9,'Pair Results'!$C$2:$C$193,C9,'Pair Results'!$Z$2:$Z$193,"Tie")</x:f>
        <x:v>0</x:v>
      </x:c>
      <x:c r="L9" s="33" t="n">
        <x:f>AVERAGEIFS('Pair Results'!$M$2:$M$193,'Pair Results'!$A$2:$A$193,A9,'Pair Results'!$B$2:$B$193,B9,'Pair Results'!$C$2:$C$193,C9)</x:f>
        <x:v>0.016113233286887407</x:v>
      </x:c>
      <x:c r="M9" s="33" t="n">
        <x:f>AVERAGEIFS('Pair Results'!$Q$2:$Q$193,'Pair Results'!$A$2:$A$193,A9,'Pair Results'!$B$2:$B$193,B9,'Pair Results'!$C$2:$C$193,C9)</x:f>
        <x:v>0.014655133282455305</x:v>
      </x:c>
      <x:c r="N9" s="35" t="n">
        <x:f>M9/L9</x:f>
        <x:v>0.909509160671144</x:v>
      </x:c>
      <x:c r="O9" s="191" t="n">
        <x:f>COUNTIFS('Pair Results'!$A$2:$A$193,A9,'Pair Results'!$B$2:$B$193,B9,'Pair Results'!$C$2:$C$193,C9,'Pair Results'!$N$2:$N$193,1)/D9</x:f>
        <x:v>1</x:v>
      </x:c>
      <x:c r="P9" s="191" t="n">
        <x:f>COUNTIFS('Pair Results'!$A$2:$A$193,A9,'Pair Results'!$B$2:$B$193,B9,'Pair Results'!$C$2:$C$193,C9,'Pair Results'!$R$2:$R$193,1)/D9</x:f>
        <x:v>1</x:v>
      </x:c>
      <x:c r="Q9" s="30" t="n">
        <x:f>COUNTIFS('Pair Results'!$A$2:$A$193,A9,'Pair Results'!$B$2:$B$193,B9,'Pair Results'!$C$2:$C$193,C9,'Pair Results'!$AB$2:$AB$193,"large_and_invalid")</x:f>
        <x:v>0</x:v>
      </x:c>
    </x:row>
    <x:row r="10">
      <x:c r="A10" s="29" t="str">
        <x:v>Grid</x:v>
      </x:c>
      <x:c r="B10" s="30" t="n">
        <x:v>100</x:v>
      </x:c>
      <x:c r="C10" s="31" t="n">
        <x:v>0.1</x:v>
      </x:c>
      <x:c r="D10" s="30" t="n">
        <x:f>COUNTIFS('Pair Results'!$A$2:$A$193,A10,'Pair Results'!$B$2:$B$193,B10,'Pair Results'!$C$2:$C$193,C10)</x:f>
        <x:v>3</x:v>
      </x:c>
      <x:c r="E10" s="30" t="n">
        <x:f>COUNTIFS('Pair Results'!$A$2:$A$193,A10,'Pair Results'!$B$2:$B$193,B10,'Pair Results'!$C$2:$C$193,C10,'Pair Results'!$S$2:$S$193,1)</x:f>
        <x:v>0</x:v>
      </x:c>
      <x:c r="F10" s="32" t="str">
        <x:f>IF(E10=0,"",AVERAGEIFS('Pair Results'!$L$2:$L$193,'Pair Results'!$A$2:$A$193,A10,'Pair Results'!$B$2:$B$193,B10,'Pair Results'!$C$2:$C$193,C10,'Pair Results'!$S$2:$S$193,1))</x:f>
      </x:c>
      <x:c r="G10" s="32" t="str">
        <x:f>IF(E10=0,"",AVERAGEIFS('Pair Results'!$P$2:$P$193,'Pair Results'!$A$2:$A$193,A10,'Pair Results'!$B$2:$B$193,B10,'Pair Results'!$C$2:$C$193,C10,'Pair Results'!$S$2:$S$193,1))</x:f>
      </x:c>
      <x:c r="H10" s="32" t="str">
        <x:f>IF(E10=0,"",G10-F10)</x:f>
      </x:c>
      <x:c r="I10" s="30" t="n">
        <x:f>COUNTIFS('Pair Results'!$A$2:$A$193,A10,'Pair Results'!$B$2:$B$193,B10,'Pair Results'!$C$2:$C$193,C10,'Pair Results'!$Z$2:$Z$193,"Collision")</x:f>
        <x:v>0</x:v>
      </x:c>
      <x:c r="J10" s="30" t="n">
        <x:f>COUNTIFS('Pair Results'!$A$2:$A$193,A10,'Pair Results'!$B$2:$B$193,B10,'Pair Results'!$C$2:$C$193,C10,'Pair Results'!$Z$2:$Z$193,"Entropy")</x:f>
        <x:v>0</x:v>
      </x:c>
      <x:c r="K10" s="30" t="n">
        <x:f>COUNTIFS('Pair Results'!$A$2:$A$193,A10,'Pair Results'!$B$2:$B$193,B10,'Pair Results'!$C$2:$C$193,C10,'Pair Results'!$Z$2:$Z$193,"Tie")</x:f>
        <x:v>0</x:v>
      </x:c>
      <x:c r="L10" s="33" t="n">
        <x:f>AVERAGEIFS('Pair Results'!$M$2:$M$193,'Pair Results'!$A$2:$A$193,A10,'Pair Results'!$B$2:$B$193,B10,'Pair Results'!$C$2:$C$193,C10)</x:f>
        <x:v>0.006424433357703189</x:v>
      </x:c>
      <x:c r="M10" s="33" t="n">
        <x:f>AVERAGEIFS('Pair Results'!$Q$2:$Q$193,'Pair Results'!$A$2:$A$193,A10,'Pair Results'!$B$2:$B$193,B10,'Pair Results'!$C$2:$C$193,C10)</x:f>
        <x:v>0.0055498332949355245</x:v>
      </x:c>
      <x:c r="N10" s="35" t="n">
        <x:f>M10/L10</x:f>
        <x:v>0.8638634702749342</x:v>
      </x:c>
      <x:c r="O10" s="191" t="n">
        <x:f>COUNTIFS('Pair Results'!$A$2:$A$193,A10,'Pair Results'!$B$2:$B$193,B10,'Pair Results'!$C$2:$C$193,C10,'Pair Results'!$N$2:$N$193,1)/D10</x:f>
        <x:v>0</x:v>
      </x:c>
      <x:c r="P10" s="191" t="n">
        <x:f>COUNTIFS('Pair Results'!$A$2:$A$193,A10,'Pair Results'!$B$2:$B$193,B10,'Pair Results'!$C$2:$C$193,C10,'Pair Results'!$R$2:$R$193,1)/D10</x:f>
        <x:v>0</x:v>
      </x:c>
      <x:c r="Q10" s="30" t="n">
        <x:f>COUNTIFS('Pair Results'!$A$2:$A$193,A10,'Pair Results'!$B$2:$B$193,B10,'Pair Results'!$C$2:$C$193,C10,'Pair Results'!$AB$2:$AB$193,"large_and_invalid")</x:f>
        <x:v>0</x:v>
      </x:c>
    </x:row>
    <x:row r="11">
      <x:c r="A11" s="29" t="str">
        <x:v>Grid</x:v>
      </x:c>
      <x:c r="B11" s="30" t="n">
        <x:v>100</x:v>
      </x:c>
      <x:c r="C11" s="31" t="n">
        <x:v>0.3</x:v>
      </x:c>
      <x:c r="D11" s="30" t="n">
        <x:f>COUNTIFS('Pair Results'!$A$2:$A$193,A11,'Pair Results'!$B$2:$B$193,B11,'Pair Results'!$C$2:$C$193,C11)</x:f>
        <x:v>3</x:v>
      </x:c>
      <x:c r="E11" s="30" t="n">
        <x:f>COUNTIFS('Pair Results'!$A$2:$A$193,A11,'Pair Results'!$B$2:$B$193,B11,'Pair Results'!$C$2:$C$193,C11,'Pair Results'!$S$2:$S$193,1)</x:f>
        <x:v>2</x:v>
      </x:c>
      <x:c r="F11" s="32" t="n">
        <x:f>IF(E11=0,"",AVERAGEIFS('Pair Results'!$L$2:$L$193,'Pair Results'!$A$2:$A$193,A11,'Pair Results'!$B$2:$B$193,B11,'Pair Results'!$C$2:$C$193,C11,'Pair Results'!$S$2:$S$193,1))</x:f>
        <x:v>21</x:v>
      </x:c>
      <x:c r="G11" s="32" t="n">
        <x:f>IF(E11=0,"",AVERAGEIFS('Pair Results'!$P$2:$P$193,'Pair Results'!$A$2:$A$193,A11,'Pair Results'!$B$2:$B$193,B11,'Pair Results'!$C$2:$C$193,C11,'Pair Results'!$S$2:$S$193,1))</x:f>
        <x:v>20.5</x:v>
      </x:c>
      <x:c r="H11" s="32" t="n">
        <x:f>IF(E11=0,"",G11-F11)</x:f>
        <x:v>-0.5</x:v>
      </x:c>
      <x:c r="I11" s="30" t="n">
        <x:f>COUNTIFS('Pair Results'!$A$2:$A$193,A11,'Pair Results'!$B$2:$B$193,B11,'Pair Results'!$C$2:$C$193,C11,'Pair Results'!$Z$2:$Z$193,"Collision")</x:f>
        <x:v>1</x:v>
      </x:c>
      <x:c r="J11" s="30" t="n">
        <x:f>COUNTIFS('Pair Results'!$A$2:$A$193,A11,'Pair Results'!$B$2:$B$193,B11,'Pair Results'!$C$2:$C$193,C11,'Pair Results'!$Z$2:$Z$193,"Entropy")</x:f>
        <x:v>0</x:v>
      </x:c>
      <x:c r="K11" s="30" t="n">
        <x:f>COUNTIFS('Pair Results'!$A$2:$A$193,A11,'Pair Results'!$B$2:$B$193,B11,'Pair Results'!$C$2:$C$193,C11,'Pair Results'!$Z$2:$Z$193,"Tie")</x:f>
        <x:v>1</x:v>
      </x:c>
      <x:c r="L11" s="33" t="n">
        <x:f>AVERAGEIFS('Pair Results'!$M$2:$M$193,'Pair Results'!$A$2:$A$193,A11,'Pair Results'!$B$2:$B$193,B11,'Pair Results'!$C$2:$C$193,C11)</x:f>
        <x:v>0.028772000029372673</x:v>
      </x:c>
      <x:c r="M11" s="33" t="n">
        <x:f>AVERAGEIFS('Pair Results'!$Q$2:$Q$193,'Pair Results'!$A$2:$A$193,A11,'Pair Results'!$B$2:$B$193,B11,'Pair Results'!$C$2:$C$193,C11)</x:f>
        <x:v>0.02020449994597584</x:v>
      </x:c>
      <x:c r="N11" s="35" t="n">
        <x:f>M11/L11</x:f>
        <x:v>0.7022278578253</x:v>
      </x:c>
      <x:c r="O11" s="191" t="n">
        <x:f>COUNTIFS('Pair Results'!$A$2:$A$193,A11,'Pair Results'!$B$2:$B$193,B11,'Pair Results'!$C$2:$C$193,C11,'Pair Results'!$N$2:$N$193,1)/D11</x:f>
        <x:v>1</x:v>
      </x:c>
      <x:c r="P11" s="191" t="n">
        <x:f>COUNTIFS('Pair Results'!$A$2:$A$193,A11,'Pair Results'!$B$2:$B$193,B11,'Pair Results'!$C$2:$C$193,C11,'Pair Results'!$R$2:$R$193,1)/D11</x:f>
        <x:v>0.6666666666666666</x:v>
      </x:c>
      <x:c r="Q11" s="30" t="n">
        <x:f>COUNTIFS('Pair Results'!$A$2:$A$193,A11,'Pair Results'!$B$2:$B$193,B11,'Pair Results'!$C$2:$C$193,C11,'Pair Results'!$AB$2:$AB$193,"large_and_invalid")</x:f>
        <x:v>1</x:v>
      </x:c>
    </x:row>
    <x:row r="12">
      <x:c r="A12" s="29" t="str">
        <x:v>Grid</x:v>
      </x:c>
      <x:c r="B12" s="30" t="n">
        <x:v>100</x:v>
      </x:c>
      <x:c r="C12" s="31" t="n">
        <x:v>0.5</x:v>
      </x:c>
      <x:c r="D12" s="30" t="n">
        <x:f>COUNTIFS('Pair Results'!$A$2:$A$193,A12,'Pair Results'!$B$2:$B$193,B12,'Pair Results'!$C$2:$C$193,C12)</x:f>
        <x:v>3</x:v>
      </x:c>
      <x:c r="E12" s="30" t="n">
        <x:f>COUNTIFS('Pair Results'!$A$2:$A$193,A12,'Pair Results'!$B$2:$B$193,B12,'Pair Results'!$C$2:$C$193,C12,'Pair Results'!$S$2:$S$193,1)</x:f>
        <x:v>3</x:v>
      </x:c>
      <x:c r="F12" s="32" t="n">
        <x:f>IF(E12=0,"",AVERAGEIFS('Pair Results'!$L$2:$L$193,'Pair Results'!$A$2:$A$193,A12,'Pair Results'!$B$2:$B$193,B12,'Pair Results'!$C$2:$C$193,C12,'Pair Results'!$S$2:$S$193,1))</x:f>
        <x:v>25</x:v>
      </x:c>
      <x:c r="G12" s="32" t="n">
        <x:f>IF(E12=0,"",AVERAGEIFS('Pair Results'!$P$2:$P$193,'Pair Results'!$A$2:$A$193,A12,'Pair Results'!$B$2:$B$193,B12,'Pair Results'!$C$2:$C$193,C12,'Pair Results'!$S$2:$S$193,1))</x:f>
        <x:v>22.333333333333332</x:v>
      </x:c>
      <x:c r="H12" s="32" t="n">
        <x:f>IF(E12=0,"",G12-F12)</x:f>
        <x:v>-2.666666666666668</x:v>
      </x:c>
      <x:c r="I12" s="30" t="n">
        <x:f>COUNTIFS('Pair Results'!$A$2:$A$193,A12,'Pair Results'!$B$2:$B$193,B12,'Pair Results'!$C$2:$C$193,C12,'Pair Results'!$Z$2:$Z$193,"Collision")</x:f>
        <x:v>3</x:v>
      </x:c>
      <x:c r="J12" s="30" t="n">
        <x:f>COUNTIFS('Pair Results'!$A$2:$A$193,A12,'Pair Results'!$B$2:$B$193,B12,'Pair Results'!$C$2:$C$193,C12,'Pair Results'!$Z$2:$Z$193,"Entropy")</x:f>
        <x:v>0</x:v>
      </x:c>
      <x:c r="K12" s="30" t="n">
        <x:f>COUNTIFS('Pair Results'!$A$2:$A$193,A12,'Pair Results'!$B$2:$B$193,B12,'Pair Results'!$C$2:$C$193,C12,'Pair Results'!$Z$2:$Z$193,"Tie")</x:f>
        <x:v>0</x:v>
      </x:c>
      <x:c r="L12" s="33" t="n">
        <x:f>AVERAGEIFS('Pair Results'!$M$2:$M$193,'Pair Results'!$A$2:$A$193,A12,'Pair Results'!$B$2:$B$193,B12,'Pair Results'!$C$2:$C$193,C12)</x:f>
        <x:v>0.1311489000217989</x:v>
      </x:c>
      <x:c r="M12" s="33" t="n">
        <x:f>AVERAGEIFS('Pair Results'!$Q$2:$Q$193,'Pair Results'!$A$2:$A$193,A12,'Pair Results'!$B$2:$B$193,B12,'Pair Results'!$C$2:$C$193,C12)</x:f>
        <x:v>0.07947306664815794</x:v>
      </x:c>
      <x:c r="N12" s="35" t="n">
        <x:f>M12/L12</x:f>
        <x:v>0.6059758536666974</x:v>
      </x:c>
      <x:c r="O12" s="191" t="n">
        <x:f>COUNTIFS('Pair Results'!$A$2:$A$193,A12,'Pair Results'!$B$2:$B$193,B12,'Pair Results'!$C$2:$C$193,C12,'Pair Results'!$N$2:$N$193,1)/D12</x:f>
        <x:v>1</x:v>
      </x:c>
      <x:c r="P12" s="191" t="n">
        <x:f>COUNTIFS('Pair Results'!$A$2:$A$193,A12,'Pair Results'!$B$2:$B$193,B12,'Pair Results'!$C$2:$C$193,C12,'Pair Results'!$R$2:$R$193,1)/D12</x:f>
        <x:v>1</x:v>
      </x:c>
      <x:c r="Q12" s="30" t="n">
        <x:f>COUNTIFS('Pair Results'!$A$2:$A$193,A12,'Pair Results'!$B$2:$B$193,B12,'Pair Results'!$C$2:$C$193,C12,'Pair Results'!$AB$2:$AB$193,"large_and_invalid")</x:f>
        <x:v>0</x:v>
      </x:c>
    </x:row>
    <x:row r="13">
      <x:c r="A13" s="29" t="str">
        <x:v>Grid</x:v>
      </x:c>
      <x:c r="B13" s="30" t="n">
        <x:v>100</x:v>
      </x:c>
      <x:c r="C13" s="31" t="n">
        <x:v>0.7</x:v>
      </x:c>
      <x:c r="D13" s="30" t="n">
        <x:f>COUNTIFS('Pair Results'!$A$2:$A$193,A13,'Pair Results'!$B$2:$B$193,B13,'Pair Results'!$C$2:$C$193,C13)</x:f>
        <x:v>3</x:v>
      </x:c>
      <x:c r="E13" s="30" t="n">
        <x:f>COUNTIFS('Pair Results'!$A$2:$A$193,A13,'Pair Results'!$B$2:$B$193,B13,'Pair Results'!$C$2:$C$193,C13,'Pair Results'!$S$2:$S$193,1)</x:f>
        <x:v>3</x:v>
      </x:c>
      <x:c r="F13" s="32" t="n">
        <x:f>IF(E13=0,"",AVERAGEIFS('Pair Results'!$L$2:$L$193,'Pair Results'!$A$2:$A$193,A13,'Pair Results'!$B$2:$B$193,B13,'Pair Results'!$C$2:$C$193,C13,'Pair Results'!$S$2:$S$193,1))</x:f>
        <x:v>34</x:v>
      </x:c>
      <x:c r="G13" s="32" t="n">
        <x:f>IF(E13=0,"",AVERAGEIFS('Pair Results'!$P$2:$P$193,'Pair Results'!$A$2:$A$193,A13,'Pair Results'!$B$2:$B$193,B13,'Pair Results'!$C$2:$C$193,C13,'Pair Results'!$S$2:$S$193,1))</x:f>
        <x:v>32</x:v>
      </x:c>
      <x:c r="H13" s="32" t="n">
        <x:f>IF(E13=0,"",G13-F13)</x:f>
        <x:v>-2</x:v>
      </x:c>
      <x:c r="I13" s="30" t="n">
        <x:f>COUNTIFS('Pair Results'!$A$2:$A$193,A13,'Pair Results'!$B$2:$B$193,B13,'Pair Results'!$C$2:$C$193,C13,'Pair Results'!$Z$2:$Z$193,"Collision")</x:f>
        <x:v>2</x:v>
      </x:c>
      <x:c r="J13" s="30" t="n">
        <x:f>COUNTIFS('Pair Results'!$A$2:$A$193,A13,'Pair Results'!$B$2:$B$193,B13,'Pair Results'!$C$2:$C$193,C13,'Pair Results'!$Z$2:$Z$193,"Entropy")</x:f>
        <x:v>1</x:v>
      </x:c>
      <x:c r="K13" s="30" t="n">
        <x:f>COUNTIFS('Pair Results'!$A$2:$A$193,A13,'Pair Results'!$B$2:$B$193,B13,'Pair Results'!$C$2:$C$193,C13,'Pair Results'!$Z$2:$Z$193,"Tie")</x:f>
        <x:v>0</x:v>
      </x:c>
      <x:c r="L13" s="33" t="n">
        <x:f>AVERAGEIFS('Pair Results'!$M$2:$M$193,'Pair Results'!$A$2:$A$193,A13,'Pair Results'!$B$2:$B$193,B13,'Pair Results'!$C$2:$C$193,C13)</x:f>
        <x:v>0.1395251000067219</x:v>
      </x:c>
      <x:c r="M13" s="33" t="n">
        <x:f>AVERAGEIFS('Pair Results'!$Q$2:$Q$193,'Pair Results'!$A$2:$A$193,A13,'Pair Results'!$B$2:$B$193,B13,'Pair Results'!$C$2:$C$193,C13)</x:f>
        <x:v>0.11505820000699411</x:v>
      </x:c>
      <x:c r="N13" s="35" t="n">
        <x:f>M13/L13</x:f>
        <x:v>0.8246415877963961</x:v>
      </x:c>
      <x:c r="O13" s="191" t="n">
        <x:f>COUNTIFS('Pair Results'!$A$2:$A$193,A13,'Pair Results'!$B$2:$B$193,B13,'Pair Results'!$C$2:$C$193,C13,'Pair Results'!$N$2:$N$193,1)/D13</x:f>
        <x:v>1</x:v>
      </x:c>
      <x:c r="P13" s="191" t="n">
        <x:f>COUNTIFS('Pair Results'!$A$2:$A$193,A13,'Pair Results'!$B$2:$B$193,B13,'Pair Results'!$C$2:$C$193,C13,'Pair Results'!$R$2:$R$193,1)/D13</x:f>
        <x:v>1</x:v>
      </x:c>
      <x:c r="Q13" s="30" t="n">
        <x:f>COUNTIFS('Pair Results'!$A$2:$A$193,A13,'Pair Results'!$B$2:$B$193,B13,'Pair Results'!$C$2:$C$193,C13,'Pair Results'!$AB$2:$AB$193,"large_and_invalid")</x:f>
        <x:v>0</x:v>
      </x:c>
    </x:row>
    <x:row r="14">
      <x:c r="A14" s="29" t="str">
        <x:v>Grid</x:v>
      </x:c>
      <x:c r="B14" s="30" t="n">
        <x:v>200</x:v>
      </x:c>
      <x:c r="C14" s="31" t="n">
        <x:v>0.1</x:v>
      </x:c>
      <x:c r="D14" s="30" t="n">
        <x:f>COUNTIFS('Pair Results'!$A$2:$A$193,A14,'Pair Results'!$B$2:$B$193,B14,'Pair Results'!$C$2:$C$193,C14)</x:f>
        <x:v>3</x:v>
      </x:c>
      <x:c r="E14" s="30" t="n">
        <x:f>COUNTIFS('Pair Results'!$A$2:$A$193,A14,'Pair Results'!$B$2:$B$193,B14,'Pair Results'!$C$2:$C$193,C14,'Pair Results'!$S$2:$S$193,1)</x:f>
        <x:v>0</x:v>
      </x:c>
      <x:c r="F14" s="32" t="str">
        <x:f>IF(E14=0,"",AVERAGEIFS('Pair Results'!$L$2:$L$193,'Pair Results'!$A$2:$A$193,A14,'Pair Results'!$B$2:$B$193,B14,'Pair Results'!$C$2:$C$193,C14,'Pair Results'!$S$2:$S$193,1))</x:f>
      </x:c>
      <x:c r="G14" s="32" t="str">
        <x:f>IF(E14=0,"",AVERAGEIFS('Pair Results'!$P$2:$P$193,'Pair Results'!$A$2:$A$193,A14,'Pair Results'!$B$2:$B$193,B14,'Pair Results'!$C$2:$C$193,C14,'Pair Results'!$S$2:$S$193,1))</x:f>
      </x:c>
      <x:c r="H14" s="32" t="str">
        <x:f>IF(E14=0,"",G14-F14)</x:f>
      </x:c>
      <x:c r="I14" s="30" t="n">
        <x:f>COUNTIFS('Pair Results'!$A$2:$A$193,A14,'Pair Results'!$B$2:$B$193,B14,'Pair Results'!$C$2:$C$193,C14,'Pair Results'!$Z$2:$Z$193,"Collision")</x:f>
        <x:v>0</x:v>
      </x:c>
      <x:c r="J14" s="30" t="n">
        <x:f>COUNTIFS('Pair Results'!$A$2:$A$193,A14,'Pair Results'!$B$2:$B$193,B14,'Pair Results'!$C$2:$C$193,C14,'Pair Results'!$Z$2:$Z$193,"Entropy")</x:f>
        <x:v>0</x:v>
      </x:c>
      <x:c r="K14" s="30" t="n">
        <x:f>COUNTIFS('Pair Results'!$A$2:$A$193,A14,'Pair Results'!$B$2:$B$193,B14,'Pair Results'!$C$2:$C$193,C14,'Pair Results'!$Z$2:$Z$193,"Tie")</x:f>
        <x:v>0</x:v>
      </x:c>
      <x:c r="L14" s="33" t="n">
        <x:f>AVERAGEIFS('Pair Results'!$M$2:$M$193,'Pair Results'!$A$2:$A$193,A14,'Pair Results'!$B$2:$B$193,B14,'Pair Results'!$C$2:$C$193,C14)</x:f>
        <x:v>0.049036200041882694</x:v>
      </x:c>
      <x:c r="M14" s="33" t="n">
        <x:f>AVERAGEIFS('Pair Results'!$Q$2:$Q$193,'Pair Results'!$A$2:$A$193,A14,'Pair Results'!$B$2:$B$193,B14,'Pair Results'!$C$2:$C$193,C14)</x:f>
        <x:v>0.023748133370342355</x:v>
      </x:c>
      <x:c r="N14" s="35" t="n">
        <x:f>M14/L14</x:f>
        <x:v>0.48429799515579613</x:v>
      </x:c>
      <x:c r="O14" s="191" t="n">
        <x:f>COUNTIFS('Pair Results'!$A$2:$A$193,A14,'Pair Results'!$B$2:$B$193,B14,'Pair Results'!$C$2:$C$193,C14,'Pair Results'!$N$2:$N$193,1)/D14</x:f>
        <x:v>0.3333333333333333</x:v>
      </x:c>
      <x:c r="P14" s="191" t="n">
        <x:f>COUNTIFS('Pair Results'!$A$2:$A$193,A14,'Pair Results'!$B$2:$B$193,B14,'Pair Results'!$C$2:$C$193,C14,'Pair Results'!$R$2:$R$193,1)/D14</x:f>
        <x:v>0</x:v>
      </x:c>
      <x:c r="Q14" s="30" t="n">
        <x:f>COUNTIFS('Pair Results'!$A$2:$A$193,A14,'Pair Results'!$B$2:$B$193,B14,'Pair Results'!$C$2:$C$193,C14,'Pair Results'!$AB$2:$AB$193,"large_and_invalid")</x:f>
        <x:v>1</x:v>
      </x:c>
    </x:row>
    <x:row r="15">
      <x:c r="A15" s="29" t="str">
        <x:v>Grid</x:v>
      </x:c>
      <x:c r="B15" s="30" t="n">
        <x:v>200</x:v>
      </x:c>
      <x:c r="C15" s="31" t="n">
        <x:v>0.3</x:v>
      </x:c>
      <x:c r="D15" s="30" t="n">
        <x:f>COUNTIFS('Pair Results'!$A$2:$A$193,A15,'Pair Results'!$B$2:$B$193,B15,'Pair Results'!$C$2:$C$193,C15)</x:f>
        <x:v>3</x:v>
      </x:c>
      <x:c r="E15" s="30" t="n">
        <x:f>COUNTIFS('Pair Results'!$A$2:$A$193,A15,'Pair Results'!$B$2:$B$193,B15,'Pair Results'!$C$2:$C$193,C15,'Pair Results'!$S$2:$S$193,1)</x:f>
        <x:v>2</x:v>
      </x:c>
      <x:c r="F15" s="32" t="n">
        <x:f>IF(E15=0,"",AVERAGEIFS('Pair Results'!$L$2:$L$193,'Pair Results'!$A$2:$A$193,A15,'Pair Results'!$B$2:$B$193,B15,'Pair Results'!$C$2:$C$193,C15,'Pair Results'!$S$2:$S$193,1))</x:f>
        <x:v>31</x:v>
      </x:c>
      <x:c r="G15" s="32" t="n">
        <x:f>IF(E15=0,"",AVERAGEIFS('Pair Results'!$P$2:$P$193,'Pair Results'!$A$2:$A$193,A15,'Pair Results'!$B$2:$B$193,B15,'Pair Results'!$C$2:$C$193,C15,'Pair Results'!$S$2:$S$193,1))</x:f>
        <x:v>32.5</x:v>
      </x:c>
      <x:c r="H15" s="32" t="n">
        <x:f>IF(E15=0,"",G15-F15)</x:f>
        <x:v>1.5</x:v>
      </x:c>
      <x:c r="I15" s="30" t="n">
        <x:f>COUNTIFS('Pair Results'!$A$2:$A$193,A15,'Pair Results'!$B$2:$B$193,B15,'Pair Results'!$C$2:$C$193,C15,'Pair Results'!$Z$2:$Z$193,"Collision")</x:f>
        <x:v>0</x:v>
      </x:c>
      <x:c r="J15" s="30" t="n">
        <x:f>COUNTIFS('Pair Results'!$A$2:$A$193,A15,'Pair Results'!$B$2:$B$193,B15,'Pair Results'!$C$2:$C$193,C15,'Pair Results'!$Z$2:$Z$193,"Entropy")</x:f>
        <x:v>2</x:v>
      </x:c>
      <x:c r="K15" s="30" t="n">
        <x:f>COUNTIFS('Pair Results'!$A$2:$A$193,A15,'Pair Results'!$B$2:$B$193,B15,'Pair Results'!$C$2:$C$193,C15,'Pair Results'!$Z$2:$Z$193,"Tie")</x:f>
        <x:v>0</x:v>
      </x:c>
      <x:c r="L15" s="33" t="n">
        <x:f>AVERAGEIFS('Pair Results'!$M$2:$M$193,'Pair Results'!$A$2:$A$193,A15,'Pair Results'!$B$2:$B$193,B15,'Pair Results'!$C$2:$C$193,C15)</x:f>
        <x:v>0.16970273336240402</x:v>
      </x:c>
      <x:c r="M15" s="33" t="n">
        <x:f>AVERAGEIFS('Pair Results'!$Q$2:$Q$193,'Pair Results'!$A$2:$A$193,A15,'Pair Results'!$B$2:$B$193,B15,'Pair Results'!$C$2:$C$193,C15)</x:f>
        <x:v>0.10336856668194135</x:v>
      </x:c>
      <x:c r="N15" s="35" t="n">
        <x:f>M15/L15</x:f>
        <x:v>0.6091155082410808</x:v>
      </x:c>
      <x:c r="O15" s="191" t="n">
        <x:f>COUNTIFS('Pair Results'!$A$2:$A$193,A15,'Pair Results'!$B$2:$B$193,B15,'Pair Results'!$C$2:$C$193,C15,'Pair Results'!$N$2:$N$193,1)/D15</x:f>
        <x:v>1</x:v>
      </x:c>
      <x:c r="P15" s="191" t="n">
        <x:f>COUNTIFS('Pair Results'!$A$2:$A$193,A15,'Pair Results'!$B$2:$B$193,B15,'Pair Results'!$C$2:$C$193,C15,'Pair Results'!$R$2:$R$193,1)/D15</x:f>
        <x:v>0.6666666666666666</x:v>
      </x:c>
      <x:c r="Q15" s="30" t="n">
        <x:f>COUNTIFS('Pair Results'!$A$2:$A$193,A15,'Pair Results'!$B$2:$B$193,B15,'Pair Results'!$C$2:$C$193,C15,'Pair Results'!$AB$2:$AB$193,"large_and_invalid")</x:f>
        <x:v>1</x:v>
      </x:c>
    </x:row>
    <x:row r="16">
      <x:c r="A16" s="29" t="str">
        <x:v>Grid</x:v>
      </x:c>
      <x:c r="B16" s="30" t="n">
        <x:v>200</x:v>
      </x:c>
      <x:c r="C16" s="31" t="n">
        <x:v>0.5</x:v>
      </x:c>
      <x:c r="D16" s="30" t="n">
        <x:f>COUNTIFS('Pair Results'!$A$2:$A$193,A16,'Pair Results'!$B$2:$B$193,B16,'Pair Results'!$C$2:$C$193,C16)</x:f>
        <x:v>3</x:v>
      </x:c>
      <x:c r="E16" s="30" t="n">
        <x:f>COUNTIFS('Pair Results'!$A$2:$A$193,A16,'Pair Results'!$B$2:$B$193,B16,'Pair Results'!$C$2:$C$193,C16,'Pair Results'!$S$2:$S$193,1)</x:f>
        <x:v>3</x:v>
      </x:c>
      <x:c r="F16" s="32" t="n">
        <x:f>IF(E16=0,"",AVERAGEIFS('Pair Results'!$L$2:$L$193,'Pair Results'!$A$2:$A$193,A16,'Pair Results'!$B$2:$B$193,B16,'Pair Results'!$C$2:$C$193,C16,'Pair Results'!$S$2:$S$193,1))</x:f>
        <x:v>46</x:v>
      </x:c>
      <x:c r="G16" s="32" t="n">
        <x:f>IF(E16=0,"",AVERAGEIFS('Pair Results'!$P$2:$P$193,'Pair Results'!$A$2:$A$193,A16,'Pair Results'!$B$2:$B$193,B16,'Pair Results'!$C$2:$C$193,C16,'Pair Results'!$S$2:$S$193,1))</x:f>
        <x:v>38.666666666666664</x:v>
      </x:c>
      <x:c r="H16" s="32" t="n">
        <x:f>IF(E16=0,"",G16-F16)</x:f>
        <x:v>-7.333333333333336</x:v>
      </x:c>
      <x:c r="I16" s="30" t="n">
        <x:f>COUNTIFS('Pair Results'!$A$2:$A$193,A16,'Pair Results'!$B$2:$B$193,B16,'Pair Results'!$C$2:$C$193,C16,'Pair Results'!$Z$2:$Z$193,"Collision")</x:f>
        <x:v>3</x:v>
      </x:c>
      <x:c r="J16" s="30" t="n">
        <x:f>COUNTIFS('Pair Results'!$A$2:$A$193,A16,'Pair Results'!$B$2:$B$193,B16,'Pair Results'!$C$2:$C$193,C16,'Pair Results'!$Z$2:$Z$193,"Entropy")</x:f>
        <x:v>0</x:v>
      </x:c>
      <x:c r="K16" s="30" t="n">
        <x:f>COUNTIFS('Pair Results'!$A$2:$A$193,A16,'Pair Results'!$B$2:$B$193,B16,'Pair Results'!$C$2:$C$193,C16,'Pair Results'!$Z$2:$Z$193,"Tie")</x:f>
        <x:v>0</x:v>
      </x:c>
      <x:c r="L16" s="33" t="n">
        <x:f>AVERAGEIFS('Pair Results'!$M$2:$M$193,'Pair Results'!$A$2:$A$193,A16,'Pair Results'!$B$2:$B$193,B16,'Pair Results'!$C$2:$C$193,C16)</x:f>
        <x:v>0.9224013333053639</x:v>
      </x:c>
      <x:c r="M16" s="33" t="n">
        <x:f>AVERAGEIFS('Pair Results'!$Q$2:$Q$193,'Pair Results'!$A$2:$A$193,A16,'Pair Results'!$B$2:$B$193,B16,'Pair Results'!$C$2:$C$193,C16)</x:f>
        <x:v>0.5538547666122516</x:v>
      </x:c>
      <x:c r="N16" s="35" t="n">
        <x:f>M16/L16</x:f>
        <x:v>0.6004487923142412</x:v>
      </x:c>
      <x:c r="O16" s="191" t="n">
        <x:f>COUNTIFS('Pair Results'!$A$2:$A$193,A16,'Pair Results'!$B$2:$B$193,B16,'Pair Results'!$C$2:$C$193,C16,'Pair Results'!$N$2:$N$193,1)/D16</x:f>
        <x:v>1</x:v>
      </x:c>
      <x:c r="P16" s="191" t="n">
        <x:f>COUNTIFS('Pair Results'!$A$2:$A$193,A16,'Pair Results'!$B$2:$B$193,B16,'Pair Results'!$C$2:$C$193,C16,'Pair Results'!$R$2:$R$193,1)/D16</x:f>
        <x:v>1</x:v>
      </x:c>
      <x:c r="Q16" s="30" t="n">
        <x:f>COUNTIFS('Pair Results'!$A$2:$A$193,A16,'Pair Results'!$B$2:$B$193,B16,'Pair Results'!$C$2:$C$193,C16,'Pair Results'!$AB$2:$AB$193,"large_and_invalid")</x:f>
        <x:v>0</x:v>
      </x:c>
    </x:row>
    <x:row r="17">
      <x:c r="A17" s="29" t="str">
        <x:v>Grid</x:v>
      </x:c>
      <x:c r="B17" s="30" t="n">
        <x:v>200</x:v>
      </x:c>
      <x:c r="C17" s="31" t="n">
        <x:v>0.7</x:v>
      </x:c>
      <x:c r="D17" s="30" t="n">
        <x:f>COUNTIFS('Pair Results'!$A$2:$A$193,A17,'Pair Results'!$B$2:$B$193,B17,'Pair Results'!$C$2:$C$193,C17)</x:f>
        <x:v>3</x:v>
      </x:c>
      <x:c r="E17" s="30" t="n">
        <x:f>COUNTIFS('Pair Results'!$A$2:$A$193,A17,'Pair Results'!$B$2:$B$193,B17,'Pair Results'!$C$2:$C$193,C17,'Pair Results'!$S$2:$S$193,1)</x:f>
        <x:v>3</x:v>
      </x:c>
      <x:c r="F17" s="32" t="n">
        <x:f>IF(E17=0,"",AVERAGEIFS('Pair Results'!$L$2:$L$193,'Pair Results'!$A$2:$A$193,A17,'Pair Results'!$B$2:$B$193,B17,'Pair Results'!$C$2:$C$193,C17,'Pair Results'!$S$2:$S$193,1))</x:f>
        <x:v>61</x:v>
      </x:c>
      <x:c r="G17" s="32" t="n">
        <x:f>IF(E17=0,"",AVERAGEIFS('Pair Results'!$P$2:$P$193,'Pair Results'!$A$2:$A$193,A17,'Pair Results'!$B$2:$B$193,B17,'Pair Results'!$C$2:$C$193,C17,'Pair Results'!$S$2:$S$193,1))</x:f>
        <x:v>54.333333333333336</x:v>
      </x:c>
      <x:c r="H17" s="32" t="n">
        <x:f>IF(E17=0,"",G17-F17)</x:f>
        <x:v>-6.666666666666664</x:v>
      </x:c>
      <x:c r="I17" s="30" t="n">
        <x:f>COUNTIFS('Pair Results'!$A$2:$A$193,A17,'Pair Results'!$B$2:$B$193,B17,'Pair Results'!$C$2:$C$193,C17,'Pair Results'!$Z$2:$Z$193,"Collision")</x:f>
        <x:v>3</x:v>
      </x:c>
      <x:c r="J17" s="30" t="n">
        <x:f>COUNTIFS('Pair Results'!$A$2:$A$193,A17,'Pair Results'!$B$2:$B$193,B17,'Pair Results'!$C$2:$C$193,C17,'Pair Results'!$Z$2:$Z$193,"Entropy")</x:f>
        <x:v>0</x:v>
      </x:c>
      <x:c r="K17" s="30" t="n">
        <x:f>COUNTIFS('Pair Results'!$A$2:$A$193,A17,'Pair Results'!$B$2:$B$193,B17,'Pair Results'!$C$2:$C$193,C17,'Pair Results'!$Z$2:$Z$193,"Tie")</x:f>
        <x:v>0</x:v>
      </x:c>
      <x:c r="L17" s="33" t="n">
        <x:f>AVERAGEIFS('Pair Results'!$M$2:$M$193,'Pair Results'!$A$2:$A$193,A17,'Pair Results'!$B$2:$B$193,B17,'Pair Results'!$C$2:$C$193,C17)</x:f>
        <x:v>0.9423031666471312</x:v>
      </x:c>
      <x:c r="M17" s="33" t="n">
        <x:f>AVERAGEIFS('Pair Results'!$Q$2:$Q$193,'Pair Results'!$A$2:$A$193,A17,'Pair Results'!$B$2:$B$193,B17,'Pair Results'!$C$2:$C$193,C17)</x:f>
        <x:v>0.7013030333522087</x:v>
      </x:c>
      <x:c r="N17" s="35" t="n">
        <x:f>M17/L17</x:f>
        <x:v>0.7442435281710446</x:v>
      </x:c>
      <x:c r="O17" s="191" t="n">
        <x:f>COUNTIFS('Pair Results'!$A$2:$A$193,A17,'Pair Results'!$B$2:$B$193,B17,'Pair Results'!$C$2:$C$193,C17,'Pair Results'!$N$2:$N$193,1)/D17</x:f>
        <x:v>1</x:v>
      </x:c>
      <x:c r="P17" s="191" t="n">
        <x:f>COUNTIFS('Pair Results'!$A$2:$A$193,A17,'Pair Results'!$B$2:$B$193,B17,'Pair Results'!$C$2:$C$193,C17,'Pair Results'!$R$2:$R$193,1)/D17</x:f>
        <x:v>1</x:v>
      </x:c>
      <x:c r="Q17" s="30" t="n">
        <x:f>COUNTIFS('Pair Results'!$A$2:$A$193,A17,'Pair Results'!$B$2:$B$193,B17,'Pair Results'!$C$2:$C$193,C17,'Pair Results'!$AB$2:$AB$193,"large_and_invalid")</x:f>
        <x:v>0</x:v>
      </x:c>
    </x:row>
    <x:row r="18">
      <x:c r="A18" s="29" t="str">
        <x:v>Grid</x:v>
      </x:c>
      <x:c r="B18" s="30" t="n">
        <x:v>500</x:v>
      </x:c>
      <x:c r="C18" s="31" t="n">
        <x:v>0.1</x:v>
      </x:c>
      <x:c r="D18" s="30" t="n">
        <x:f>COUNTIFS('Pair Results'!$A$2:$A$193,A18,'Pair Results'!$B$2:$B$193,B18,'Pair Results'!$C$2:$C$193,C18)</x:f>
        <x:v>3</x:v>
      </x:c>
      <x:c r="E18" s="30" t="n">
        <x:f>COUNTIFS('Pair Results'!$A$2:$A$193,A18,'Pair Results'!$B$2:$B$193,B18,'Pair Results'!$C$2:$C$193,C18,'Pair Results'!$S$2:$S$193,1)</x:f>
        <x:v>3</x:v>
      </x:c>
      <x:c r="F18" s="32" t="n">
        <x:f>IF(E18=0,"",AVERAGEIFS('Pair Results'!$L$2:$L$193,'Pair Results'!$A$2:$A$193,A18,'Pair Results'!$B$2:$B$193,B18,'Pair Results'!$C$2:$C$193,C18,'Pair Results'!$S$2:$S$193,1))</x:f>
        <x:v>55</x:v>
      </x:c>
      <x:c r="G18" s="32" t="n">
        <x:f>IF(E18=0,"",AVERAGEIFS('Pair Results'!$P$2:$P$193,'Pair Results'!$A$2:$A$193,A18,'Pair Results'!$B$2:$B$193,B18,'Pair Results'!$C$2:$C$193,C18,'Pair Results'!$S$2:$S$193,1))</x:f>
        <x:v>56</x:v>
      </x:c>
      <x:c r="H18" s="32" t="n">
        <x:f>IF(E18=0,"",G18-F18)</x:f>
        <x:v>1</x:v>
      </x:c>
      <x:c r="I18" s="30" t="n">
        <x:f>COUNTIFS('Pair Results'!$A$2:$A$193,A18,'Pair Results'!$B$2:$B$193,B18,'Pair Results'!$C$2:$C$193,C18,'Pair Results'!$Z$2:$Z$193,"Collision")</x:f>
        <x:v>1</x:v>
      </x:c>
      <x:c r="J18" s="30" t="n">
        <x:f>COUNTIFS('Pair Results'!$A$2:$A$193,A18,'Pair Results'!$B$2:$B$193,B18,'Pair Results'!$C$2:$C$193,C18,'Pair Results'!$Z$2:$Z$193,"Entropy")</x:f>
        <x:v>2</x:v>
      </x:c>
      <x:c r="K18" s="30" t="n">
        <x:f>COUNTIFS('Pair Results'!$A$2:$A$193,A18,'Pair Results'!$B$2:$B$193,B18,'Pair Results'!$C$2:$C$193,C18,'Pair Results'!$Z$2:$Z$193,"Tie")</x:f>
        <x:v>0</x:v>
      </x:c>
      <x:c r="L18" s="33" t="n">
        <x:f>AVERAGEIFS('Pair Results'!$M$2:$M$193,'Pair Results'!$A$2:$A$193,A18,'Pair Results'!$B$2:$B$193,B18,'Pair Results'!$C$2:$C$193,C18)</x:f>
        <x:v>0.892305999994278</x:v>
      </x:c>
      <x:c r="M18" s="33" t="n">
        <x:f>AVERAGEIFS('Pair Results'!$Q$2:$Q$193,'Pair Results'!$A$2:$A$193,A18,'Pair Results'!$B$2:$B$193,B18,'Pair Results'!$C$2:$C$193,C18)</x:f>
        <x:v>0.5239335666410625</x:v>
      </x:c>
      <x:c r="N18" s="35" t="n">
        <x:f>M18/L18</x:f>
        <x:v>0.5871680417305524</x:v>
      </x:c>
      <x:c r="O18" s="191" t="n">
        <x:f>COUNTIFS('Pair Results'!$A$2:$A$193,A18,'Pair Results'!$B$2:$B$193,B18,'Pair Results'!$C$2:$C$193,C18,'Pair Results'!$N$2:$N$193,1)/D18</x:f>
        <x:v>1</x:v>
      </x:c>
      <x:c r="P18" s="191" t="n">
        <x:f>COUNTIFS('Pair Results'!$A$2:$A$193,A18,'Pair Results'!$B$2:$B$193,B18,'Pair Results'!$C$2:$C$193,C18,'Pair Results'!$R$2:$R$193,1)/D18</x:f>
        <x:v>1</x:v>
      </x:c>
      <x:c r="Q18" s="30" t="n">
        <x:f>COUNTIFS('Pair Results'!$A$2:$A$193,A18,'Pair Results'!$B$2:$B$193,B18,'Pair Results'!$C$2:$C$193,C18,'Pair Results'!$AB$2:$AB$193,"large_and_invalid")</x:f>
        <x:v>0</x:v>
      </x:c>
    </x:row>
    <x:row r="19">
      <x:c r="A19" s="29" t="str">
        <x:v>Grid</x:v>
      </x:c>
      <x:c r="B19" s="30" t="n">
        <x:v>500</x:v>
      </x:c>
      <x:c r="C19" s="31" t="n">
        <x:v>0.3</x:v>
      </x:c>
      <x:c r="D19" s="30" t="n">
        <x:f>COUNTIFS('Pair Results'!$A$2:$A$193,A19,'Pair Results'!$B$2:$B$193,B19,'Pair Results'!$C$2:$C$193,C19)</x:f>
        <x:v>3</x:v>
      </x:c>
      <x:c r="E19" s="30" t="n">
        <x:f>COUNTIFS('Pair Results'!$A$2:$A$193,A19,'Pair Results'!$B$2:$B$193,B19,'Pair Results'!$C$2:$C$193,C19,'Pair Results'!$S$2:$S$193,1)</x:f>
        <x:v>3</x:v>
      </x:c>
      <x:c r="F19" s="32" t="n">
        <x:f>IF(E19=0,"",AVERAGEIFS('Pair Results'!$L$2:$L$193,'Pair Results'!$A$2:$A$193,A19,'Pair Results'!$B$2:$B$193,B19,'Pair Results'!$C$2:$C$193,C19,'Pair Results'!$S$2:$S$193,1))</x:f>
        <x:v>59.333333333333336</x:v>
      </x:c>
      <x:c r="G19" s="32" t="n">
        <x:f>IF(E19=0,"",AVERAGEIFS('Pair Results'!$P$2:$P$193,'Pair Results'!$A$2:$A$193,A19,'Pair Results'!$B$2:$B$193,B19,'Pair Results'!$C$2:$C$193,C19,'Pair Results'!$S$2:$S$193,1))</x:f>
        <x:v>60.666666666666664</x:v>
      </x:c>
      <x:c r="H19" s="32" t="n">
        <x:f>IF(E19=0,"",G19-F19)</x:f>
        <x:v>1.3333333333333286</x:v>
      </x:c>
      <x:c r="I19" s="30" t="n">
        <x:f>COUNTIFS('Pair Results'!$A$2:$A$193,A19,'Pair Results'!$B$2:$B$193,B19,'Pair Results'!$C$2:$C$193,C19,'Pair Results'!$Z$2:$Z$193,"Collision")</x:f>
        <x:v>1</x:v>
      </x:c>
      <x:c r="J19" s="30" t="n">
        <x:f>COUNTIFS('Pair Results'!$A$2:$A$193,A19,'Pair Results'!$B$2:$B$193,B19,'Pair Results'!$C$2:$C$193,C19,'Pair Results'!$Z$2:$Z$193,"Entropy")</x:f>
        <x:v>2</x:v>
      </x:c>
      <x:c r="K19" s="30" t="n">
        <x:f>COUNTIFS('Pair Results'!$A$2:$A$193,A19,'Pair Results'!$B$2:$B$193,B19,'Pair Results'!$C$2:$C$193,C19,'Pair Results'!$Z$2:$Z$193,"Tie")</x:f>
        <x:v>0</x:v>
      </x:c>
      <x:c r="L19" s="33" t="n">
        <x:f>AVERAGEIFS('Pair Results'!$M$2:$M$193,'Pair Results'!$A$2:$A$193,A19,'Pair Results'!$B$2:$B$193,B19,'Pair Results'!$C$2:$C$193,C19)</x:f>
        <x:v>1.587955233330528</x:v>
      </x:c>
      <x:c r="M19" s="33" t="n">
        <x:f>AVERAGEIFS('Pair Results'!$Q$2:$Q$193,'Pair Results'!$A$2:$A$193,A19,'Pair Results'!$B$2:$B$193,B19,'Pair Results'!$C$2:$C$193,C19)</x:f>
        <x:v>1.0863668666764472</x:v>
      </x:c>
      <x:c r="N19" s="35" t="n">
        <x:f>M19/L19</x:f>
        <x:v>0.6841294035713683</x:v>
      </x:c>
      <x:c r="O19" s="191" t="n">
        <x:f>COUNTIFS('Pair Results'!$A$2:$A$193,A19,'Pair Results'!$B$2:$B$193,B19,'Pair Results'!$C$2:$C$193,C19,'Pair Results'!$N$2:$N$193,1)/D19</x:f>
        <x:v>1</x:v>
      </x:c>
      <x:c r="P19" s="191" t="n">
        <x:f>COUNTIFS('Pair Results'!$A$2:$A$193,A19,'Pair Results'!$B$2:$B$193,B19,'Pair Results'!$C$2:$C$193,C19,'Pair Results'!$R$2:$R$193,1)/D19</x:f>
        <x:v>1</x:v>
      </x:c>
      <x:c r="Q19" s="30" t="n">
        <x:f>COUNTIFS('Pair Results'!$A$2:$A$193,A19,'Pair Results'!$B$2:$B$193,B19,'Pair Results'!$C$2:$C$193,C19,'Pair Results'!$AB$2:$AB$193,"large_and_invalid")</x:f>
        <x:v>0</x:v>
      </x:c>
    </x:row>
    <x:row r="20">
      <x:c r="A20" s="29" t="str">
        <x:v>Grid</x:v>
      </x:c>
      <x:c r="B20" s="30" t="n">
        <x:v>500</x:v>
      </x:c>
      <x:c r="C20" s="31" t="n">
        <x:v>0.5</x:v>
      </x:c>
      <x:c r="D20" s="30" t="n">
        <x:f>COUNTIFS('Pair Results'!$A$2:$A$193,A20,'Pair Results'!$B$2:$B$193,B20,'Pair Results'!$C$2:$C$193,C20)</x:f>
        <x:v>3</x:v>
      </x:c>
      <x:c r="E20" s="30" t="n">
        <x:f>COUNTIFS('Pair Results'!$A$2:$A$193,A20,'Pair Results'!$B$2:$B$193,B20,'Pair Results'!$C$2:$C$193,C20,'Pair Results'!$S$2:$S$193,1)</x:f>
        <x:v>3</x:v>
      </x:c>
      <x:c r="F20" s="32" t="n">
        <x:f>IF(E20=0,"",AVERAGEIFS('Pair Results'!$L$2:$L$193,'Pair Results'!$A$2:$A$193,A20,'Pair Results'!$B$2:$B$193,B20,'Pair Results'!$C$2:$C$193,C20,'Pair Results'!$S$2:$S$193,1))</x:f>
        <x:v>91.33333333333333</x:v>
      </x:c>
      <x:c r="G20" s="32" t="n">
        <x:f>IF(E20=0,"",AVERAGEIFS('Pair Results'!$P$2:$P$193,'Pair Results'!$A$2:$A$193,A20,'Pair Results'!$B$2:$B$193,B20,'Pair Results'!$C$2:$C$193,C20,'Pair Results'!$S$2:$S$193,1))</x:f>
        <x:v>74.66666666666667</x:v>
      </x:c>
      <x:c r="H20" s="32" t="n">
        <x:f>IF(E20=0,"",G20-F20)</x:f>
        <x:v>-16.666666666666657</x:v>
      </x:c>
      <x:c r="I20" s="30" t="n">
        <x:f>COUNTIFS('Pair Results'!$A$2:$A$193,A20,'Pair Results'!$B$2:$B$193,B20,'Pair Results'!$C$2:$C$193,C20,'Pair Results'!$Z$2:$Z$193,"Collision")</x:f>
        <x:v>3</x:v>
      </x:c>
      <x:c r="J20" s="30" t="n">
        <x:f>COUNTIFS('Pair Results'!$A$2:$A$193,A20,'Pair Results'!$B$2:$B$193,B20,'Pair Results'!$C$2:$C$193,C20,'Pair Results'!$Z$2:$Z$193,"Entropy")</x:f>
        <x:v>0</x:v>
      </x:c>
      <x:c r="K20" s="30" t="n">
        <x:f>COUNTIFS('Pair Results'!$A$2:$A$193,A20,'Pair Results'!$B$2:$B$193,B20,'Pair Results'!$C$2:$C$193,C20,'Pair Results'!$Z$2:$Z$193,"Tie")</x:f>
        <x:v>0</x:v>
      </x:c>
      <x:c r="L20" s="33" t="n">
        <x:f>AVERAGEIFS('Pair Results'!$M$2:$M$193,'Pair Results'!$A$2:$A$193,A20,'Pair Results'!$B$2:$B$193,B20,'Pair Results'!$C$2:$C$193,C20)</x:f>
        <x:v>16.329420700048406</x:v>
      </x:c>
      <x:c r="M20" s="33" t="n">
        <x:f>AVERAGEIFS('Pair Results'!$Q$2:$Q$193,'Pair Results'!$A$2:$A$193,A20,'Pair Results'!$B$2:$B$193,B20,'Pair Results'!$C$2:$C$193,C20)</x:f>
        <x:v>7.978011400011989</x:v>
      </x:c>
      <x:c r="N20" s="35" t="n">
        <x:f>M20/L20</x:f>
        <x:v>0.488566713207918</x:v>
      </x:c>
      <x:c r="O20" s="191" t="n">
        <x:f>COUNTIFS('Pair Results'!$A$2:$A$193,A20,'Pair Results'!$B$2:$B$193,B20,'Pair Results'!$C$2:$C$193,C20,'Pair Results'!$N$2:$N$193,1)/D20</x:f>
        <x:v>1</x:v>
      </x:c>
      <x:c r="P20" s="191" t="n">
        <x:f>COUNTIFS('Pair Results'!$A$2:$A$193,A20,'Pair Results'!$B$2:$B$193,B20,'Pair Results'!$C$2:$C$193,C20,'Pair Results'!$R$2:$R$193,1)/D20</x:f>
        <x:v>1</x:v>
      </x:c>
      <x:c r="Q20" s="30" t="n">
        <x:f>COUNTIFS('Pair Results'!$A$2:$A$193,A20,'Pair Results'!$B$2:$B$193,B20,'Pair Results'!$C$2:$C$193,C20,'Pair Results'!$AB$2:$AB$193,"large_and_invalid")</x:f>
        <x:v>0</x:v>
      </x:c>
    </x:row>
    <x:row r="21">
      <x:c r="A21" s="29" t="str">
        <x:v>Grid</x:v>
      </x:c>
      <x:c r="B21" s="30" t="n">
        <x:v>500</x:v>
      </x:c>
      <x:c r="C21" s="31" t="n">
        <x:v>0.7</x:v>
      </x:c>
      <x:c r="D21" s="30" t="n">
        <x:f>COUNTIFS('Pair Results'!$A$2:$A$193,A21,'Pair Results'!$B$2:$B$193,B21,'Pair Results'!$C$2:$C$193,C21)</x:f>
        <x:v>3</x:v>
      </x:c>
      <x:c r="E21" s="30" t="n">
        <x:f>COUNTIFS('Pair Results'!$A$2:$A$193,A21,'Pair Results'!$B$2:$B$193,B21,'Pair Results'!$C$2:$C$193,C21,'Pair Results'!$S$2:$S$193,1)</x:f>
        <x:v>3</x:v>
      </x:c>
      <x:c r="F21" s="32" t="n">
        <x:f>IF(E21=0,"",AVERAGEIFS('Pair Results'!$L$2:$L$193,'Pair Results'!$A$2:$A$193,A21,'Pair Results'!$B$2:$B$193,B21,'Pair Results'!$C$2:$C$193,C21,'Pair Results'!$S$2:$S$193,1))</x:f>
        <x:v>113.33333333333333</x:v>
      </x:c>
      <x:c r="G21" s="32" t="n">
        <x:f>IF(E21=0,"",AVERAGEIFS('Pair Results'!$P$2:$P$193,'Pair Results'!$A$2:$A$193,A21,'Pair Results'!$B$2:$B$193,B21,'Pair Results'!$C$2:$C$193,C21,'Pair Results'!$S$2:$S$193,1))</x:f>
        <x:v>96</x:v>
      </x:c>
      <x:c r="H21" s="32" t="n">
        <x:f>IF(E21=0,"",G21-F21)</x:f>
        <x:v>-17.33333333333333</x:v>
      </x:c>
      <x:c r="I21" s="30" t="n">
        <x:f>COUNTIFS('Pair Results'!$A$2:$A$193,A21,'Pair Results'!$B$2:$B$193,B21,'Pair Results'!$C$2:$C$193,C21,'Pair Results'!$Z$2:$Z$193,"Collision")</x:f>
        <x:v>3</x:v>
      </x:c>
      <x:c r="J21" s="30" t="n">
        <x:f>COUNTIFS('Pair Results'!$A$2:$A$193,A21,'Pair Results'!$B$2:$B$193,B21,'Pair Results'!$C$2:$C$193,C21,'Pair Results'!$Z$2:$Z$193,"Entropy")</x:f>
        <x:v>0</x:v>
      </x:c>
      <x:c r="K21" s="30" t="n">
        <x:f>COUNTIFS('Pair Results'!$A$2:$A$193,A21,'Pair Results'!$B$2:$B$193,B21,'Pair Results'!$C$2:$C$193,C21,'Pair Results'!$Z$2:$Z$193,"Tie")</x:f>
        <x:v>0</x:v>
      </x:c>
      <x:c r="L21" s="33" t="n">
        <x:f>AVERAGEIFS('Pair Results'!$M$2:$M$193,'Pair Results'!$A$2:$A$193,A21,'Pair Results'!$B$2:$B$193,B21,'Pair Results'!$C$2:$C$193,C21)</x:f>
        <x:v>14.494315599945063</x:v>
      </x:c>
      <x:c r="M21" s="33" t="n">
        <x:f>AVERAGEIFS('Pair Results'!$Q$2:$Q$193,'Pair Results'!$A$2:$A$193,A21,'Pair Results'!$B$2:$B$193,B21,'Pair Results'!$C$2:$C$193,C21)</x:f>
        <x:v>8.831307033348518</x:v>
      </x:c>
      <x:c r="N21" s="35" t="n">
        <x:f>M21/L21</x:f>
        <x:v>0.6092945177336963</x:v>
      </x:c>
      <x:c r="O21" s="191" t="n">
        <x:f>COUNTIFS('Pair Results'!$A$2:$A$193,A21,'Pair Results'!$B$2:$B$193,B21,'Pair Results'!$C$2:$C$193,C21,'Pair Results'!$N$2:$N$193,1)/D21</x:f>
        <x:v>1</x:v>
      </x:c>
      <x:c r="P21" s="191" t="n">
        <x:f>COUNTIFS('Pair Results'!$A$2:$A$193,A21,'Pair Results'!$B$2:$B$193,B21,'Pair Results'!$C$2:$C$193,C21,'Pair Results'!$R$2:$R$193,1)/D21</x:f>
        <x:v>1</x:v>
      </x:c>
      <x:c r="Q21" s="30" t="n">
        <x:f>COUNTIFS('Pair Results'!$A$2:$A$193,A21,'Pair Results'!$B$2:$B$193,B21,'Pair Results'!$C$2:$C$193,C21,'Pair Results'!$AB$2:$AB$193,"large_and_invalid")</x:f>
        <x:v>0</x:v>
      </x:c>
    </x:row>
    <x:row r="22">
      <x:c r="A22" s="29" t="str">
        <x:v>Circle</x:v>
      </x:c>
      <x:c r="B22" s="30" t="n">
        <x:v>50</x:v>
      </x:c>
      <x:c r="C22" s="31" t="n">
        <x:v>0.1</x:v>
      </x:c>
      <x:c r="D22" s="30" t="n">
        <x:f>COUNTIFS('Pair Results'!$A$2:$A$193,A22,'Pair Results'!$B$2:$B$193,B22,'Pair Results'!$C$2:$C$193,C22)</x:f>
        <x:v>3</x:v>
      </x:c>
      <x:c r="E22" s="30" t="n">
        <x:f>COUNTIFS('Pair Results'!$A$2:$A$193,A22,'Pair Results'!$B$2:$B$193,B22,'Pair Results'!$C$2:$C$193,C22,'Pair Results'!$S$2:$S$193,1)</x:f>
        <x:v>3</x:v>
      </x:c>
      <x:c r="F22" s="32" t="n">
        <x:f>IF(E22=0,"",AVERAGEIFS('Pair Results'!$L$2:$L$193,'Pair Results'!$A$2:$A$193,A22,'Pair Results'!$B$2:$B$193,B22,'Pair Results'!$C$2:$C$193,C22,'Pair Results'!$S$2:$S$193,1))</x:f>
        <x:v>28.333333333333332</x:v>
      </x:c>
      <x:c r="G22" s="32" t="n">
        <x:f>IF(E22=0,"",AVERAGEIFS('Pair Results'!$P$2:$P$193,'Pair Results'!$A$2:$A$193,A22,'Pair Results'!$B$2:$B$193,B22,'Pair Results'!$C$2:$C$193,C22,'Pair Results'!$S$2:$S$193,1))</x:f>
        <x:v>28.333333333333332</x:v>
      </x:c>
      <x:c r="H22" s="32" t="n">
        <x:f>IF(E22=0,"",G22-F22)</x:f>
        <x:v>0</x:v>
      </x:c>
      <x:c r="I22" s="30" t="n">
        <x:f>COUNTIFS('Pair Results'!$A$2:$A$193,A22,'Pair Results'!$B$2:$B$193,B22,'Pair Results'!$C$2:$C$193,C22,'Pair Results'!$Z$2:$Z$193,"Collision")</x:f>
        <x:v>0</x:v>
      </x:c>
      <x:c r="J22" s="30" t="n">
        <x:f>COUNTIFS('Pair Results'!$A$2:$A$193,A22,'Pair Results'!$B$2:$B$193,B22,'Pair Results'!$C$2:$C$193,C22,'Pair Results'!$Z$2:$Z$193,"Entropy")</x:f>
        <x:v>0</x:v>
      </x:c>
      <x:c r="K22" s="30" t="n">
        <x:f>COUNTIFS('Pair Results'!$A$2:$A$193,A22,'Pair Results'!$B$2:$B$193,B22,'Pair Results'!$C$2:$C$193,C22,'Pair Results'!$Z$2:$Z$193,"Tie")</x:f>
        <x:v>3</x:v>
      </x:c>
      <x:c r="L22" s="33" t="n">
        <x:f>AVERAGEIFS('Pair Results'!$M$2:$M$193,'Pair Results'!$A$2:$A$193,A22,'Pair Results'!$B$2:$B$193,B22,'Pair Results'!$C$2:$C$193,C22)</x:f>
        <x:v>0.003132733361174663</x:v>
      </x:c>
      <x:c r="M22" s="33" t="n">
        <x:f>AVERAGEIFS('Pair Results'!$Q$2:$Q$193,'Pair Results'!$A$2:$A$193,A22,'Pair Results'!$B$2:$B$193,B22,'Pair Results'!$C$2:$C$193,C22)</x:f>
        <x:v>0.0032409333313504853</x:v>
      </x:c>
      <x:c r="N22" s="35" t="n">
        <x:f>M22/L22</x:f>
        <x:v>1.0345385188272938</x:v>
      </x:c>
      <x:c r="O22" s="191" t="n">
        <x:f>COUNTIFS('Pair Results'!$A$2:$A$193,A22,'Pair Results'!$B$2:$B$193,B22,'Pair Results'!$C$2:$C$193,C22,'Pair Results'!$N$2:$N$193,1)/D22</x:f>
        <x:v>1</x:v>
      </x:c>
      <x:c r="P22" s="191" t="n">
        <x:f>COUNTIFS('Pair Results'!$A$2:$A$193,A22,'Pair Results'!$B$2:$B$193,B22,'Pair Results'!$C$2:$C$193,C22,'Pair Results'!$R$2:$R$193,1)/D22</x:f>
        <x:v>1</x:v>
      </x:c>
      <x:c r="Q22" s="30" t="n">
        <x:f>COUNTIFS('Pair Results'!$A$2:$A$193,A22,'Pair Results'!$B$2:$B$193,B22,'Pair Results'!$C$2:$C$193,C22,'Pair Results'!$AB$2:$AB$193,"large_and_invalid")</x:f>
        <x:v>0</x:v>
      </x:c>
    </x:row>
    <x:row r="23">
      <x:c r="A23" s="29" t="str">
        <x:v>Circle</x:v>
      </x:c>
      <x:c r="B23" s="30" t="n">
        <x:v>50</x:v>
      </x:c>
      <x:c r="C23" s="31" t="n">
        <x:v>0.3</x:v>
      </x:c>
      <x:c r="D23" s="30" t="n">
        <x:f>COUNTIFS('Pair Results'!$A$2:$A$193,A23,'Pair Results'!$B$2:$B$193,B23,'Pair Results'!$C$2:$C$193,C23)</x:f>
        <x:v>3</x:v>
      </x:c>
      <x:c r="E23" s="30" t="n">
        <x:f>COUNTIFS('Pair Results'!$A$2:$A$193,A23,'Pair Results'!$B$2:$B$193,B23,'Pair Results'!$C$2:$C$193,C23,'Pair Results'!$S$2:$S$193,1)</x:f>
        <x:v>3</x:v>
      </x:c>
      <x:c r="F23" s="32" t="n">
        <x:f>IF(E23=0,"",AVERAGEIFS('Pair Results'!$L$2:$L$193,'Pair Results'!$A$2:$A$193,A23,'Pair Results'!$B$2:$B$193,B23,'Pair Results'!$C$2:$C$193,C23,'Pair Results'!$S$2:$S$193,1))</x:f>
        <x:v>10</x:v>
      </x:c>
      <x:c r="G23" s="32" t="n">
        <x:f>IF(E23=0,"",AVERAGEIFS('Pair Results'!$P$2:$P$193,'Pair Results'!$A$2:$A$193,A23,'Pair Results'!$B$2:$B$193,B23,'Pair Results'!$C$2:$C$193,C23,'Pair Results'!$S$2:$S$193,1))</x:f>
        <x:v>10.333333333333334</x:v>
      </x:c>
      <x:c r="H23" s="32" t="n">
        <x:f>IF(E23=0,"",G23-F23)</x:f>
        <x:v>0.3333333333333339</x:v>
      </x:c>
      <x:c r="I23" s="30" t="n">
        <x:f>COUNTIFS('Pair Results'!$A$2:$A$193,A23,'Pair Results'!$B$2:$B$193,B23,'Pair Results'!$C$2:$C$193,C23,'Pair Results'!$Z$2:$Z$193,"Collision")</x:f>
        <x:v>0</x:v>
      </x:c>
      <x:c r="J23" s="30" t="n">
        <x:f>COUNTIFS('Pair Results'!$A$2:$A$193,A23,'Pair Results'!$B$2:$B$193,B23,'Pair Results'!$C$2:$C$193,C23,'Pair Results'!$Z$2:$Z$193,"Entropy")</x:f>
        <x:v>1</x:v>
      </x:c>
      <x:c r="K23" s="30" t="n">
        <x:f>COUNTIFS('Pair Results'!$A$2:$A$193,A23,'Pair Results'!$B$2:$B$193,B23,'Pair Results'!$C$2:$C$193,C23,'Pair Results'!$Z$2:$Z$193,"Tie")</x:f>
        <x:v>2</x:v>
      </x:c>
      <x:c r="L23" s="33" t="n">
        <x:f>AVERAGEIFS('Pair Results'!$M$2:$M$193,'Pair Results'!$A$2:$A$193,A23,'Pair Results'!$B$2:$B$193,B23,'Pair Results'!$C$2:$C$193,C23)</x:f>
        <x:v>0.004504533329357703</x:v>
      </x:c>
      <x:c r="M23" s="33" t="n">
        <x:f>AVERAGEIFS('Pair Results'!$Q$2:$Q$193,'Pair Results'!$A$2:$A$193,A23,'Pair Results'!$B$2:$B$193,B23,'Pair Results'!$C$2:$C$193,C23)</x:f>
        <x:v>0.0040978666705389815</x:v>
      </x:c>
      <x:c r="N23" s="35" t="n">
        <x:f>M23/L23</x:f>
        <x:v>0.9097205794508556</x:v>
      </x:c>
      <x:c r="O23" s="191" t="n">
        <x:f>COUNTIFS('Pair Results'!$A$2:$A$193,A23,'Pair Results'!$B$2:$B$193,B23,'Pair Results'!$C$2:$C$193,C23,'Pair Results'!$N$2:$N$193,1)/D23</x:f>
        <x:v>1</x:v>
      </x:c>
      <x:c r="P23" s="191" t="n">
        <x:f>COUNTIFS('Pair Results'!$A$2:$A$193,A23,'Pair Results'!$B$2:$B$193,B23,'Pair Results'!$C$2:$C$193,C23,'Pair Results'!$R$2:$R$193,1)/D23</x:f>
        <x:v>1</x:v>
      </x:c>
      <x:c r="Q23" s="30" t="n">
        <x:f>COUNTIFS('Pair Results'!$A$2:$A$193,A23,'Pair Results'!$B$2:$B$193,B23,'Pair Results'!$C$2:$C$193,C23,'Pair Results'!$AB$2:$AB$193,"large_and_invalid")</x:f>
        <x:v>0</x:v>
      </x:c>
    </x:row>
    <x:row r="24">
      <x:c r="A24" s="29" t="str">
        <x:v>Circle</x:v>
      </x:c>
      <x:c r="B24" s="30" t="n">
        <x:v>50</x:v>
      </x:c>
      <x:c r="C24" s="31" t="n">
        <x:v>0.5</x:v>
      </x:c>
      <x:c r="D24" s="30" t="n">
        <x:f>COUNTIFS('Pair Results'!$A$2:$A$193,A24,'Pair Results'!$B$2:$B$193,B24,'Pair Results'!$C$2:$C$193,C24)</x:f>
        <x:v>3</x:v>
      </x:c>
      <x:c r="E24" s="30" t="n">
        <x:f>COUNTIFS('Pair Results'!$A$2:$A$193,A24,'Pair Results'!$B$2:$B$193,B24,'Pair Results'!$C$2:$C$193,C24,'Pair Results'!$S$2:$S$193,1)</x:f>
        <x:v>3</x:v>
      </x:c>
      <x:c r="F24" s="32" t="n">
        <x:f>IF(E24=0,"",AVERAGEIFS('Pair Results'!$L$2:$L$193,'Pair Results'!$A$2:$A$193,A24,'Pair Results'!$B$2:$B$193,B24,'Pair Results'!$C$2:$C$193,C24,'Pair Results'!$S$2:$S$193,1))</x:f>
        <x:v>17</x:v>
      </x:c>
      <x:c r="G24" s="32" t="n">
        <x:f>IF(E24=0,"",AVERAGEIFS('Pair Results'!$P$2:$P$193,'Pair Results'!$A$2:$A$193,A24,'Pair Results'!$B$2:$B$193,B24,'Pair Results'!$C$2:$C$193,C24,'Pair Results'!$S$2:$S$193,1))</x:f>
        <x:v>17.666666666666668</x:v>
      </x:c>
      <x:c r="H24" s="32" t="n">
        <x:f>IF(E24=0,"",G24-F24)</x:f>
        <x:v>0.6666666666666679</x:v>
      </x:c>
      <x:c r="I24" s="30" t="n">
        <x:f>COUNTIFS('Pair Results'!$A$2:$A$193,A24,'Pair Results'!$B$2:$B$193,B24,'Pair Results'!$C$2:$C$193,C24,'Pair Results'!$Z$2:$Z$193,"Collision")</x:f>
        <x:v>1</x:v>
      </x:c>
      <x:c r="J24" s="30" t="n">
        <x:f>COUNTIFS('Pair Results'!$A$2:$A$193,A24,'Pair Results'!$B$2:$B$193,B24,'Pair Results'!$C$2:$C$193,C24,'Pair Results'!$Z$2:$Z$193,"Entropy")</x:f>
        <x:v>1</x:v>
      </x:c>
      <x:c r="K24" s="30" t="n">
        <x:f>COUNTIFS('Pair Results'!$A$2:$A$193,A24,'Pair Results'!$B$2:$B$193,B24,'Pair Results'!$C$2:$C$193,C24,'Pair Results'!$Z$2:$Z$193,"Tie")</x:f>
        <x:v>1</x:v>
      </x:c>
      <x:c r="L24" s="33" t="n">
        <x:f>AVERAGEIFS('Pair Results'!$M$2:$M$193,'Pair Results'!$A$2:$A$193,A24,'Pair Results'!$B$2:$B$193,B24,'Pair Results'!$C$2:$C$193,C24)</x:f>
        <x:v>0.005489300043943028</x:v>
      </x:c>
      <x:c r="M24" s="33" t="n">
        <x:f>AVERAGEIFS('Pair Results'!$Q$2:$Q$193,'Pair Results'!$A$2:$A$193,A24,'Pair Results'!$B$2:$B$193,B24,'Pair Results'!$C$2:$C$193,C24)</x:f>
        <x:v>0.00503849998737375</x:v>
      </x:c>
      <x:c r="N24" s="35" t="n">
        <x:f>M24/L24</x:f>
        <x:v>0.9178765866393662</x:v>
      </x:c>
      <x:c r="O24" s="191" t="n">
        <x:f>COUNTIFS('Pair Results'!$A$2:$A$193,A24,'Pair Results'!$B$2:$B$193,B24,'Pair Results'!$C$2:$C$193,C24,'Pair Results'!$N$2:$N$193,1)/D24</x:f>
        <x:v>1</x:v>
      </x:c>
      <x:c r="P24" s="191" t="n">
        <x:f>COUNTIFS('Pair Results'!$A$2:$A$193,A24,'Pair Results'!$B$2:$B$193,B24,'Pair Results'!$C$2:$C$193,C24,'Pair Results'!$R$2:$R$193,1)/D24</x:f>
        <x:v>1</x:v>
      </x:c>
      <x:c r="Q24" s="30" t="n">
        <x:f>COUNTIFS('Pair Results'!$A$2:$A$193,A24,'Pair Results'!$B$2:$B$193,B24,'Pair Results'!$C$2:$C$193,C24,'Pair Results'!$AB$2:$AB$193,"large_and_invalid")</x:f>
        <x:v>0</x:v>
      </x:c>
    </x:row>
    <x:row r="25">
      <x:c r="A25" s="29" t="str">
        <x:v>Circle</x:v>
      </x:c>
      <x:c r="B25" s="30" t="n">
        <x:v>50</x:v>
      </x:c>
      <x:c r="C25" s="31" t="n">
        <x:v>0.7</x:v>
      </x:c>
      <x:c r="D25" s="30" t="n">
        <x:f>COUNTIFS('Pair Results'!$A$2:$A$193,A25,'Pair Results'!$B$2:$B$193,B25,'Pair Results'!$C$2:$C$193,C25)</x:f>
        <x:v>3</x:v>
      </x:c>
      <x:c r="E25" s="30" t="n">
        <x:f>COUNTIFS('Pair Results'!$A$2:$A$193,A25,'Pair Results'!$B$2:$B$193,B25,'Pair Results'!$C$2:$C$193,C25,'Pair Results'!$S$2:$S$193,1)</x:f>
        <x:v>3</x:v>
      </x:c>
      <x:c r="F25" s="32" t="n">
        <x:f>IF(E25=0,"",AVERAGEIFS('Pair Results'!$L$2:$L$193,'Pair Results'!$A$2:$A$193,A25,'Pair Results'!$B$2:$B$193,B25,'Pair Results'!$C$2:$C$193,C25,'Pair Results'!$S$2:$S$193,1))</x:f>
        <x:v>23</x:v>
      </x:c>
      <x:c r="G25" s="32" t="n">
        <x:f>IF(E25=0,"",AVERAGEIFS('Pair Results'!$P$2:$P$193,'Pair Results'!$A$2:$A$193,A25,'Pair Results'!$B$2:$B$193,B25,'Pair Results'!$C$2:$C$193,C25,'Pair Results'!$S$2:$S$193,1))</x:f>
        <x:v>22</x:v>
      </x:c>
      <x:c r="H25" s="32" t="n">
        <x:f>IF(E25=0,"",G25-F25)</x:f>
        <x:v>-1</x:v>
      </x:c>
      <x:c r="I25" s="30" t="n">
        <x:f>COUNTIFS('Pair Results'!$A$2:$A$193,A25,'Pair Results'!$B$2:$B$193,B25,'Pair Results'!$C$2:$C$193,C25,'Pair Results'!$Z$2:$Z$193,"Collision")</x:f>
        <x:v>2</x:v>
      </x:c>
      <x:c r="J25" s="30" t="n">
        <x:f>COUNTIFS('Pair Results'!$A$2:$A$193,A25,'Pair Results'!$B$2:$B$193,B25,'Pair Results'!$C$2:$C$193,C25,'Pair Results'!$Z$2:$Z$193,"Entropy")</x:f>
        <x:v>0</x:v>
      </x:c>
      <x:c r="K25" s="30" t="n">
        <x:f>COUNTIFS('Pair Results'!$A$2:$A$193,A25,'Pair Results'!$B$2:$B$193,B25,'Pair Results'!$C$2:$C$193,C25,'Pair Results'!$Z$2:$Z$193,"Tie")</x:f>
        <x:v>1</x:v>
      </x:c>
      <x:c r="L25" s="33" t="n">
        <x:f>AVERAGEIFS('Pair Results'!$M$2:$M$193,'Pair Results'!$A$2:$A$193,A25,'Pair Results'!$B$2:$B$193,B25,'Pair Results'!$C$2:$C$193,C25)</x:f>
        <x:v>0.008240933336007098</x:v>
      </x:c>
      <x:c r="M25" s="33" t="n">
        <x:f>AVERAGEIFS('Pair Results'!$Q$2:$Q$193,'Pair Results'!$A$2:$A$193,A25,'Pair Results'!$B$2:$B$193,B25,'Pair Results'!$C$2:$C$193,C25)</x:f>
        <x:v>0.00797306668634216</x:v>
      </x:c>
      <x:c r="N25" s="35" t="n">
        <x:f>M25/L25</x:f>
        <x:v>0.967495593187904</x:v>
      </x:c>
      <x:c r="O25" s="191" t="n">
        <x:f>COUNTIFS('Pair Results'!$A$2:$A$193,A25,'Pair Results'!$B$2:$B$193,B25,'Pair Results'!$C$2:$C$193,C25,'Pair Results'!$N$2:$N$193,1)/D25</x:f>
        <x:v>1</x:v>
      </x:c>
      <x:c r="P25" s="191" t="n">
        <x:f>COUNTIFS('Pair Results'!$A$2:$A$193,A25,'Pair Results'!$B$2:$B$193,B25,'Pair Results'!$C$2:$C$193,C25,'Pair Results'!$R$2:$R$193,1)/D25</x:f>
        <x:v>1</x:v>
      </x:c>
      <x:c r="Q25" s="30" t="n">
        <x:f>COUNTIFS('Pair Results'!$A$2:$A$193,A25,'Pair Results'!$B$2:$B$193,B25,'Pair Results'!$C$2:$C$193,C25,'Pair Results'!$AB$2:$AB$193,"large_and_invalid")</x:f>
        <x:v>0</x:v>
      </x:c>
    </x:row>
    <x:row r="26">
      <x:c r="A26" s="29" t="str">
        <x:v>Circle</x:v>
      </x:c>
      <x:c r="B26" s="30" t="n">
        <x:v>100</x:v>
      </x:c>
      <x:c r="C26" s="31" t="n">
        <x:v>0.1</x:v>
      </x:c>
      <x:c r="D26" s="30" t="n">
        <x:f>COUNTIFS('Pair Results'!$A$2:$A$193,A26,'Pair Results'!$B$2:$B$193,B26,'Pair Results'!$C$2:$C$193,C26)</x:f>
        <x:v>3</x:v>
      </x:c>
      <x:c r="E26" s="30" t="n">
        <x:f>COUNTIFS('Pair Results'!$A$2:$A$193,A26,'Pair Results'!$B$2:$B$193,B26,'Pair Results'!$C$2:$C$193,C26,'Pair Results'!$S$2:$S$193,1)</x:f>
        <x:v>3</x:v>
      </x:c>
      <x:c r="F26" s="32" t="n">
        <x:f>IF(E26=0,"",AVERAGEIFS('Pair Results'!$L$2:$L$193,'Pair Results'!$A$2:$A$193,A26,'Pair Results'!$B$2:$B$193,B26,'Pair Results'!$C$2:$C$193,C26,'Pair Results'!$S$2:$S$193,1))</x:f>
        <x:v>38</x:v>
      </x:c>
      <x:c r="G26" s="32" t="n">
        <x:f>IF(E26=0,"",AVERAGEIFS('Pair Results'!$P$2:$P$193,'Pair Results'!$A$2:$A$193,A26,'Pair Results'!$B$2:$B$193,B26,'Pair Results'!$C$2:$C$193,C26,'Pair Results'!$S$2:$S$193,1))</x:f>
        <x:v>37.666666666666664</x:v>
      </x:c>
      <x:c r="H26" s="32" t="n">
        <x:f>IF(E26=0,"",G26-F26)</x:f>
        <x:v>-0.3333333333333357</x:v>
      </x:c>
      <x:c r="I26" s="30" t="n">
        <x:f>COUNTIFS('Pair Results'!$A$2:$A$193,A26,'Pair Results'!$B$2:$B$193,B26,'Pair Results'!$C$2:$C$193,C26,'Pair Results'!$Z$2:$Z$193,"Collision")</x:f>
        <x:v>1</x:v>
      </x:c>
      <x:c r="J26" s="30" t="n">
        <x:f>COUNTIFS('Pair Results'!$A$2:$A$193,A26,'Pair Results'!$B$2:$B$193,B26,'Pair Results'!$C$2:$C$193,C26,'Pair Results'!$Z$2:$Z$193,"Entropy")</x:f>
        <x:v>0</x:v>
      </x:c>
      <x:c r="K26" s="30" t="n">
        <x:f>COUNTIFS('Pair Results'!$A$2:$A$193,A26,'Pair Results'!$B$2:$B$193,B26,'Pair Results'!$C$2:$C$193,C26,'Pair Results'!$Z$2:$Z$193,"Tie")</x:f>
        <x:v>2</x:v>
      </x:c>
      <x:c r="L26" s="33" t="n">
        <x:f>AVERAGEIFS('Pair Results'!$M$2:$M$193,'Pair Results'!$A$2:$A$193,A26,'Pair Results'!$B$2:$B$193,B26,'Pair Results'!$C$2:$C$193,C26)</x:f>
        <x:v>0.019088999989132088</x:v>
      </x:c>
      <x:c r="M26" s="33" t="n">
        <x:f>AVERAGEIFS('Pair Results'!$Q$2:$Q$193,'Pair Results'!$A$2:$A$193,A26,'Pair Results'!$B$2:$B$193,B26,'Pair Results'!$C$2:$C$193,C26)</x:f>
        <x:v>0.019335433297480147</x:v>
      </x:c>
      <x:c r="N26" s="35" t="n">
        <x:f>M26/L26</x:f>
        <x:v>1.0129097023672462</x:v>
      </x:c>
      <x:c r="O26" s="191" t="n">
        <x:f>COUNTIFS('Pair Results'!$A$2:$A$193,A26,'Pair Results'!$B$2:$B$193,B26,'Pair Results'!$C$2:$C$193,C26,'Pair Results'!$N$2:$N$193,1)/D26</x:f>
        <x:v>1</x:v>
      </x:c>
      <x:c r="P26" s="191" t="n">
        <x:f>COUNTIFS('Pair Results'!$A$2:$A$193,A26,'Pair Results'!$B$2:$B$193,B26,'Pair Results'!$C$2:$C$193,C26,'Pair Results'!$R$2:$R$193,1)/D26</x:f>
        <x:v>1</x:v>
      </x:c>
      <x:c r="Q26" s="30" t="n">
        <x:f>COUNTIFS('Pair Results'!$A$2:$A$193,A26,'Pair Results'!$B$2:$B$193,B26,'Pair Results'!$C$2:$C$193,C26,'Pair Results'!$AB$2:$AB$193,"large_and_invalid")</x:f>
        <x:v>0</x:v>
      </x:c>
    </x:row>
    <x:row r="27">
      <x:c r="A27" s="29" t="str">
        <x:v>Circle</x:v>
      </x:c>
      <x:c r="B27" s="30" t="n">
        <x:v>100</x:v>
      </x:c>
      <x:c r="C27" s="31" t="n">
        <x:v>0.3</x:v>
      </x:c>
      <x:c r="D27" s="30" t="n">
        <x:f>COUNTIFS('Pair Results'!$A$2:$A$193,A27,'Pair Results'!$B$2:$B$193,B27,'Pair Results'!$C$2:$C$193,C27)</x:f>
        <x:v>3</x:v>
      </x:c>
      <x:c r="E27" s="30" t="n">
        <x:f>COUNTIFS('Pair Results'!$A$2:$A$193,A27,'Pair Results'!$B$2:$B$193,B27,'Pair Results'!$C$2:$C$193,C27,'Pair Results'!$S$2:$S$193,1)</x:f>
        <x:v>3</x:v>
      </x:c>
      <x:c r="F27" s="32" t="n">
        <x:f>IF(E27=0,"",AVERAGEIFS('Pair Results'!$L$2:$L$193,'Pair Results'!$A$2:$A$193,A27,'Pair Results'!$B$2:$B$193,B27,'Pair Results'!$C$2:$C$193,C27,'Pair Results'!$S$2:$S$193,1))</x:f>
        <x:v>21</x:v>
      </x:c>
      <x:c r="G27" s="32" t="n">
        <x:f>IF(E27=0,"",AVERAGEIFS('Pair Results'!$P$2:$P$193,'Pair Results'!$A$2:$A$193,A27,'Pair Results'!$B$2:$B$193,B27,'Pair Results'!$C$2:$C$193,C27,'Pair Results'!$S$2:$S$193,1))</x:f>
        <x:v>20.666666666666668</x:v>
      </x:c>
      <x:c r="H27" s="32" t="n">
        <x:f>IF(E27=0,"",G27-F27)</x:f>
        <x:v>-0.33333333333333215</x:v>
      </x:c>
      <x:c r="I27" s="30" t="n">
        <x:f>COUNTIFS('Pair Results'!$A$2:$A$193,A27,'Pair Results'!$B$2:$B$193,B27,'Pair Results'!$C$2:$C$193,C27,'Pair Results'!$Z$2:$Z$193,"Collision")</x:f>
        <x:v>1</x:v>
      </x:c>
      <x:c r="J27" s="30" t="n">
        <x:f>COUNTIFS('Pair Results'!$A$2:$A$193,A27,'Pair Results'!$B$2:$B$193,B27,'Pair Results'!$C$2:$C$193,C27,'Pair Results'!$Z$2:$Z$193,"Entropy")</x:f>
        <x:v>1</x:v>
      </x:c>
      <x:c r="K27" s="30" t="n">
        <x:f>COUNTIFS('Pair Results'!$A$2:$A$193,A27,'Pair Results'!$B$2:$B$193,B27,'Pair Results'!$C$2:$C$193,C27,'Pair Results'!$Z$2:$Z$193,"Tie")</x:f>
        <x:v>1</x:v>
      </x:c>
      <x:c r="L27" s="33" t="n">
        <x:f>AVERAGEIFS('Pair Results'!$M$2:$M$193,'Pair Results'!$A$2:$A$193,A27,'Pair Results'!$B$2:$B$193,B27,'Pair Results'!$C$2:$C$193,C27)</x:f>
        <x:v>0.02344523339221875</x:v>
      </x:c>
      <x:c r="M27" s="33" t="n">
        <x:f>AVERAGEIFS('Pair Results'!$Q$2:$Q$193,'Pair Results'!$A$2:$A$193,A27,'Pair Results'!$B$2:$B$193,B27,'Pair Results'!$C$2:$C$193,C27)</x:f>
        <x:v>0.018659366682792704</x:v>
      </x:c>
      <x:c r="N27" s="35" t="n">
        <x:f>M27/L27</x:f>
        <x:v>0.7958703746146358</x:v>
      </x:c>
      <x:c r="O27" s="191" t="n">
        <x:f>COUNTIFS('Pair Results'!$A$2:$A$193,A27,'Pair Results'!$B$2:$B$193,B27,'Pair Results'!$C$2:$C$193,C27,'Pair Results'!$N$2:$N$193,1)/D27</x:f>
        <x:v>1</x:v>
      </x:c>
      <x:c r="P27" s="191" t="n">
        <x:f>COUNTIFS('Pair Results'!$A$2:$A$193,A27,'Pair Results'!$B$2:$B$193,B27,'Pair Results'!$C$2:$C$193,C27,'Pair Results'!$R$2:$R$193,1)/D27</x:f>
        <x:v>1</x:v>
      </x:c>
      <x:c r="Q27" s="30" t="n">
        <x:f>COUNTIFS('Pair Results'!$A$2:$A$193,A27,'Pair Results'!$B$2:$B$193,B27,'Pair Results'!$C$2:$C$193,C27,'Pair Results'!$AB$2:$AB$193,"large_and_invalid")</x:f>
        <x:v>0</x:v>
      </x:c>
    </x:row>
    <x:row r="28">
      <x:c r="A28" s="29" t="str">
        <x:v>Circle</x:v>
      </x:c>
      <x:c r="B28" s="30" t="n">
        <x:v>100</x:v>
      </x:c>
      <x:c r="C28" s="31" t="n">
        <x:v>0.5</x:v>
      </x:c>
      <x:c r="D28" s="30" t="n">
        <x:f>COUNTIFS('Pair Results'!$A$2:$A$193,A28,'Pair Results'!$B$2:$B$193,B28,'Pair Results'!$C$2:$C$193,C28)</x:f>
        <x:v>3</x:v>
      </x:c>
      <x:c r="E28" s="30" t="n">
        <x:f>COUNTIFS('Pair Results'!$A$2:$A$193,A28,'Pair Results'!$B$2:$B$193,B28,'Pair Results'!$C$2:$C$193,C28,'Pair Results'!$S$2:$S$193,1)</x:f>
        <x:v>3</x:v>
      </x:c>
      <x:c r="F28" s="32" t="n">
        <x:f>IF(E28=0,"",AVERAGEIFS('Pair Results'!$L$2:$L$193,'Pair Results'!$A$2:$A$193,A28,'Pair Results'!$B$2:$B$193,B28,'Pair Results'!$C$2:$C$193,C28,'Pair Results'!$S$2:$S$193,1))</x:f>
        <x:v>25.333333333333332</x:v>
      </x:c>
      <x:c r="G28" s="32" t="n">
        <x:f>IF(E28=0,"",AVERAGEIFS('Pair Results'!$P$2:$P$193,'Pair Results'!$A$2:$A$193,A28,'Pair Results'!$B$2:$B$193,B28,'Pair Results'!$C$2:$C$193,C28,'Pair Results'!$S$2:$S$193,1))</x:f>
        <x:v>26</x:v>
      </x:c>
      <x:c r="H28" s="32" t="n">
        <x:f>IF(E28=0,"",G28-F28)</x:f>
        <x:v>0.6666666666666679</x:v>
      </x:c>
      <x:c r="I28" s="30" t="n">
        <x:f>COUNTIFS('Pair Results'!$A$2:$A$193,A28,'Pair Results'!$B$2:$B$193,B28,'Pair Results'!$C$2:$C$193,C28,'Pair Results'!$Z$2:$Z$193,"Collision")</x:f>
        <x:v>1</x:v>
      </x:c>
      <x:c r="J28" s="30" t="n">
        <x:f>COUNTIFS('Pair Results'!$A$2:$A$193,A28,'Pair Results'!$B$2:$B$193,B28,'Pair Results'!$C$2:$C$193,C28,'Pair Results'!$Z$2:$Z$193,"Entropy")</x:f>
        <x:v>2</x:v>
      </x:c>
      <x:c r="K28" s="30" t="n">
        <x:f>COUNTIFS('Pair Results'!$A$2:$A$193,A28,'Pair Results'!$B$2:$B$193,B28,'Pair Results'!$C$2:$C$193,C28,'Pair Results'!$Z$2:$Z$193,"Tie")</x:f>
        <x:v>0</x:v>
      </x:c>
      <x:c r="L28" s="33" t="n">
        <x:f>AVERAGEIFS('Pair Results'!$M$2:$M$193,'Pair Results'!$A$2:$A$193,A28,'Pair Results'!$B$2:$B$193,B28,'Pair Results'!$C$2:$C$193,C28)</x:f>
        <x:v>0.025795799990495045</x:v>
      </x:c>
      <x:c r="M28" s="33" t="n">
        <x:f>AVERAGEIFS('Pair Results'!$Q$2:$Q$193,'Pair Results'!$A$2:$A$193,A28,'Pair Results'!$B$2:$B$193,B28,'Pair Results'!$C$2:$C$193,C28)</x:f>
        <x:v>0.02220116664345066</x:v>
      </x:c>
      <x:c r="N28" s="35" t="n">
        <x:f>M28/L28</x:f>
        <x:v>0.8606504412203189</x:v>
      </x:c>
      <x:c r="O28" s="191" t="n">
        <x:f>COUNTIFS('Pair Results'!$A$2:$A$193,A28,'Pair Results'!$B$2:$B$193,B28,'Pair Results'!$C$2:$C$193,C28,'Pair Results'!$N$2:$N$193,1)/D28</x:f>
        <x:v>1</x:v>
      </x:c>
      <x:c r="P28" s="191" t="n">
        <x:f>COUNTIFS('Pair Results'!$A$2:$A$193,A28,'Pair Results'!$B$2:$B$193,B28,'Pair Results'!$C$2:$C$193,C28,'Pair Results'!$R$2:$R$193,1)/D28</x:f>
        <x:v>1</x:v>
      </x:c>
      <x:c r="Q28" s="30" t="n">
        <x:f>COUNTIFS('Pair Results'!$A$2:$A$193,A28,'Pair Results'!$B$2:$B$193,B28,'Pair Results'!$C$2:$C$193,C28,'Pair Results'!$AB$2:$AB$193,"large_and_invalid")</x:f>
        <x:v>0</x:v>
      </x:c>
    </x:row>
    <x:row r="29">
      <x:c r="A29" s="29" t="str">
        <x:v>Circle</x:v>
      </x:c>
      <x:c r="B29" s="30" t="n">
        <x:v>100</x:v>
      </x:c>
      <x:c r="C29" s="31" t="n">
        <x:v>0.7</x:v>
      </x:c>
      <x:c r="D29" s="30" t="n">
        <x:f>COUNTIFS('Pair Results'!$A$2:$A$193,A29,'Pair Results'!$B$2:$B$193,B29,'Pair Results'!$C$2:$C$193,C29)</x:f>
        <x:v>3</x:v>
      </x:c>
      <x:c r="E29" s="30" t="n">
        <x:f>COUNTIFS('Pair Results'!$A$2:$A$193,A29,'Pair Results'!$B$2:$B$193,B29,'Pair Results'!$C$2:$C$193,C29,'Pair Results'!$S$2:$S$193,1)</x:f>
        <x:v>3</x:v>
      </x:c>
      <x:c r="F29" s="32" t="n">
        <x:f>IF(E29=0,"",AVERAGEIFS('Pair Results'!$L$2:$L$193,'Pair Results'!$A$2:$A$193,A29,'Pair Results'!$B$2:$B$193,B29,'Pair Results'!$C$2:$C$193,C29,'Pair Results'!$S$2:$S$193,1))</x:f>
        <x:v>41.333333333333336</x:v>
      </x:c>
      <x:c r="G29" s="32" t="n">
        <x:f>IF(E29=0,"",AVERAGEIFS('Pair Results'!$P$2:$P$193,'Pair Results'!$A$2:$A$193,A29,'Pair Results'!$B$2:$B$193,B29,'Pair Results'!$C$2:$C$193,C29,'Pair Results'!$S$2:$S$193,1))</x:f>
        <x:v>41.333333333333336</x:v>
      </x:c>
      <x:c r="H29" s="32" t="n">
        <x:f>IF(E29=0,"",G29-F29)</x:f>
        <x:v>0</x:v>
      </x:c>
      <x:c r="I29" s="30" t="n">
        <x:f>COUNTIFS('Pair Results'!$A$2:$A$193,A29,'Pair Results'!$B$2:$B$193,B29,'Pair Results'!$C$2:$C$193,C29,'Pair Results'!$Z$2:$Z$193,"Collision")</x:f>
        <x:v>2</x:v>
      </x:c>
      <x:c r="J29" s="30" t="n">
        <x:f>COUNTIFS('Pair Results'!$A$2:$A$193,A29,'Pair Results'!$B$2:$B$193,B29,'Pair Results'!$C$2:$C$193,C29,'Pair Results'!$Z$2:$Z$193,"Entropy")</x:f>
        <x:v>1</x:v>
      </x:c>
      <x:c r="K29" s="30" t="n">
        <x:f>COUNTIFS('Pair Results'!$A$2:$A$193,A29,'Pair Results'!$B$2:$B$193,B29,'Pair Results'!$C$2:$C$193,C29,'Pair Results'!$Z$2:$Z$193,"Tie")</x:f>
        <x:v>0</x:v>
      </x:c>
      <x:c r="L29" s="33" t="n">
        <x:f>AVERAGEIFS('Pair Results'!$M$2:$M$193,'Pair Results'!$A$2:$A$193,A29,'Pair Results'!$B$2:$B$193,B29,'Pair Results'!$C$2:$C$193,C29)</x:f>
        <x:v>0.05677590003081908</x:v>
      </x:c>
      <x:c r="M29" s="33" t="n">
        <x:f>AVERAGEIFS('Pair Results'!$Q$2:$Q$193,'Pair Results'!$A$2:$A$193,A29,'Pair Results'!$B$2:$B$193,B29,'Pair Results'!$C$2:$C$193,C29)</x:f>
        <x:v>0.05439463327638805</x:v>
      </x:c>
      <x:c r="N29" s="35" t="n">
        <x:f>M29/L29</x:f>
        <x:v>0.9580584939536241</x:v>
      </x:c>
      <x:c r="O29" s="191" t="n">
        <x:f>COUNTIFS('Pair Results'!$A$2:$A$193,A29,'Pair Results'!$B$2:$B$193,B29,'Pair Results'!$C$2:$C$193,C29,'Pair Results'!$N$2:$N$193,1)/D29</x:f>
        <x:v>1</x:v>
      </x:c>
      <x:c r="P29" s="191" t="n">
        <x:f>COUNTIFS('Pair Results'!$A$2:$A$193,A29,'Pair Results'!$B$2:$B$193,B29,'Pair Results'!$C$2:$C$193,C29,'Pair Results'!$R$2:$R$193,1)/D29</x:f>
        <x:v>1</x:v>
      </x:c>
      <x:c r="Q29" s="30" t="n">
        <x:f>COUNTIFS('Pair Results'!$A$2:$A$193,A29,'Pair Results'!$B$2:$B$193,B29,'Pair Results'!$C$2:$C$193,C29,'Pair Results'!$AB$2:$AB$193,"large_and_invalid")</x:f>
        <x:v>0</x:v>
      </x:c>
    </x:row>
    <x:row r="30">
      <x:c r="A30" s="29" t="str">
        <x:v>Circle</x:v>
      </x:c>
      <x:c r="B30" s="30" t="n">
        <x:v>200</x:v>
      </x:c>
      <x:c r="C30" s="31" t="n">
        <x:v>0.1</x:v>
      </x:c>
      <x:c r="D30" s="30" t="n">
        <x:f>COUNTIFS('Pair Results'!$A$2:$A$193,A30,'Pair Results'!$B$2:$B$193,B30,'Pair Results'!$C$2:$C$193,C30)</x:f>
        <x:v>3</x:v>
      </x:c>
      <x:c r="E30" s="30" t="n">
        <x:f>COUNTIFS('Pair Results'!$A$2:$A$193,A30,'Pair Results'!$B$2:$B$193,B30,'Pair Results'!$C$2:$C$193,C30,'Pair Results'!$S$2:$S$193,1)</x:f>
        <x:v>3</x:v>
      </x:c>
      <x:c r="F30" s="32" t="n">
        <x:f>IF(E30=0,"",AVERAGEIFS('Pair Results'!$L$2:$L$193,'Pair Results'!$A$2:$A$193,A30,'Pair Results'!$B$2:$B$193,B30,'Pair Results'!$C$2:$C$193,C30,'Pair Results'!$S$2:$S$193,1))</x:f>
        <x:v>40.333333333333336</x:v>
      </x:c>
      <x:c r="G30" s="32" t="n">
        <x:f>IF(E30=0,"",AVERAGEIFS('Pair Results'!$P$2:$P$193,'Pair Results'!$A$2:$A$193,A30,'Pair Results'!$B$2:$B$193,B30,'Pair Results'!$C$2:$C$193,C30,'Pair Results'!$S$2:$S$193,1))</x:f>
        <x:v>41</x:v>
      </x:c>
      <x:c r="H30" s="32" t="n">
        <x:f>IF(E30=0,"",G30-F30)</x:f>
        <x:v>0.6666666666666643</x:v>
      </x:c>
      <x:c r="I30" s="30" t="n">
        <x:f>COUNTIFS('Pair Results'!$A$2:$A$193,A30,'Pair Results'!$B$2:$B$193,B30,'Pair Results'!$C$2:$C$193,C30,'Pair Results'!$Z$2:$Z$193,"Collision")</x:f>
        <x:v>0</x:v>
      </x:c>
      <x:c r="J30" s="30" t="n">
        <x:f>COUNTIFS('Pair Results'!$A$2:$A$193,A30,'Pair Results'!$B$2:$B$193,B30,'Pair Results'!$C$2:$C$193,C30,'Pair Results'!$Z$2:$Z$193,"Entropy")</x:f>
        <x:v>2</x:v>
      </x:c>
      <x:c r="K30" s="30" t="n">
        <x:f>COUNTIFS('Pair Results'!$A$2:$A$193,A30,'Pair Results'!$B$2:$B$193,B30,'Pair Results'!$C$2:$C$193,C30,'Pair Results'!$Z$2:$Z$193,"Tie")</x:f>
        <x:v>1</x:v>
      </x:c>
      <x:c r="L30" s="33" t="n">
        <x:f>AVERAGEIFS('Pair Results'!$M$2:$M$193,'Pair Results'!$A$2:$A$193,A30,'Pair Results'!$B$2:$B$193,B30,'Pair Results'!$C$2:$C$193,C30)</x:f>
        <x:v>0.12817060000573596</x:v>
      </x:c>
      <x:c r="M30" s="33" t="n">
        <x:f>AVERAGEIFS('Pair Results'!$Q$2:$Q$193,'Pair Results'!$A$2:$A$193,A30,'Pair Results'!$B$2:$B$193,B30,'Pair Results'!$C$2:$C$193,C30)</x:f>
        <x:v>0.11249793332535774</x:v>
      </x:c>
      <x:c r="N30" s="35" t="n">
        <x:f>M30/L30</x:f>
        <x:v>0.8777202675209694</x:v>
      </x:c>
      <x:c r="O30" s="191" t="n">
        <x:f>COUNTIFS('Pair Results'!$A$2:$A$193,A30,'Pair Results'!$B$2:$B$193,B30,'Pair Results'!$C$2:$C$193,C30,'Pair Results'!$N$2:$N$193,1)/D30</x:f>
        <x:v>1</x:v>
      </x:c>
      <x:c r="P30" s="191" t="n">
        <x:f>COUNTIFS('Pair Results'!$A$2:$A$193,A30,'Pair Results'!$B$2:$B$193,B30,'Pair Results'!$C$2:$C$193,C30,'Pair Results'!$R$2:$R$193,1)/D30</x:f>
        <x:v>1</x:v>
      </x:c>
      <x:c r="Q30" s="30" t="n">
        <x:f>COUNTIFS('Pair Results'!$A$2:$A$193,A30,'Pair Results'!$B$2:$B$193,B30,'Pair Results'!$C$2:$C$193,C30,'Pair Results'!$AB$2:$AB$193,"large_and_invalid")</x:f>
        <x:v>0</x:v>
      </x:c>
    </x:row>
    <x:row r="31">
      <x:c r="A31" s="29" t="str">
        <x:v>Circle</x:v>
      </x:c>
      <x:c r="B31" s="30" t="n">
        <x:v>200</x:v>
      </x:c>
      <x:c r="C31" s="31" t="n">
        <x:v>0.3</x:v>
      </x:c>
      <x:c r="D31" s="30" t="n">
        <x:f>COUNTIFS('Pair Results'!$A$2:$A$193,A31,'Pair Results'!$B$2:$B$193,B31,'Pair Results'!$C$2:$C$193,C31)</x:f>
        <x:v>3</x:v>
      </x:c>
      <x:c r="E31" s="30" t="n">
        <x:f>COUNTIFS('Pair Results'!$A$2:$A$193,A31,'Pair Results'!$B$2:$B$193,B31,'Pair Results'!$C$2:$C$193,C31,'Pair Results'!$S$2:$S$193,1)</x:f>
        <x:v>3</x:v>
      </x:c>
      <x:c r="F31" s="32" t="n">
        <x:f>IF(E31=0,"",AVERAGEIFS('Pair Results'!$L$2:$L$193,'Pair Results'!$A$2:$A$193,A31,'Pair Results'!$B$2:$B$193,B31,'Pair Results'!$C$2:$C$193,C31,'Pair Results'!$S$2:$S$193,1))</x:f>
        <x:v>33</x:v>
      </x:c>
      <x:c r="G31" s="32" t="n">
        <x:f>IF(E31=0,"",AVERAGEIFS('Pair Results'!$P$2:$P$193,'Pair Results'!$A$2:$A$193,A31,'Pair Results'!$B$2:$B$193,B31,'Pair Results'!$C$2:$C$193,C31,'Pair Results'!$S$2:$S$193,1))</x:f>
        <x:v>33</x:v>
      </x:c>
      <x:c r="H31" s="32" t="n">
        <x:f>IF(E31=0,"",G31-F31)</x:f>
        <x:v>0</x:v>
      </x:c>
      <x:c r="I31" s="30" t="n">
        <x:f>COUNTIFS('Pair Results'!$A$2:$A$193,A31,'Pair Results'!$B$2:$B$193,B31,'Pair Results'!$C$2:$C$193,C31,'Pair Results'!$Z$2:$Z$193,"Collision")</x:f>
        <x:v>0</x:v>
      </x:c>
      <x:c r="J31" s="30" t="n">
        <x:f>COUNTIFS('Pair Results'!$A$2:$A$193,A31,'Pair Results'!$B$2:$B$193,B31,'Pair Results'!$C$2:$C$193,C31,'Pair Results'!$Z$2:$Z$193,"Entropy")</x:f>
        <x:v>0</x:v>
      </x:c>
      <x:c r="K31" s="30" t="n">
        <x:f>COUNTIFS('Pair Results'!$A$2:$A$193,A31,'Pair Results'!$B$2:$B$193,B31,'Pair Results'!$C$2:$C$193,C31,'Pair Results'!$Z$2:$Z$193,"Tie")</x:f>
        <x:v>3</x:v>
      </x:c>
      <x:c r="L31" s="33" t="n">
        <x:f>AVERAGEIFS('Pair Results'!$M$2:$M$193,'Pair Results'!$A$2:$A$193,A31,'Pair Results'!$B$2:$B$193,B31,'Pair Results'!$C$2:$C$193,C31)</x:f>
        <x:v>0.10712426668033004</x:v>
      </x:c>
      <x:c r="M31" s="33" t="n">
        <x:f>AVERAGEIFS('Pair Results'!$Q$2:$Q$193,'Pair Results'!$A$2:$A$193,A31,'Pair Results'!$B$2:$B$193,B31,'Pair Results'!$C$2:$C$193,C31)</x:f>
        <x:v>0.09363026660867035</x:v>
      </x:c>
      <x:c r="N31" s="35" t="n">
        <x:f>M31/L31</x:f>
        <x:v>0.8740341428714076</x:v>
      </x:c>
      <x:c r="O31" s="191" t="n">
        <x:f>COUNTIFS('Pair Results'!$A$2:$A$193,A31,'Pair Results'!$B$2:$B$193,B31,'Pair Results'!$C$2:$C$193,C31,'Pair Results'!$N$2:$N$193,1)/D31</x:f>
        <x:v>1</x:v>
      </x:c>
      <x:c r="P31" s="191" t="n">
        <x:f>COUNTIFS('Pair Results'!$A$2:$A$193,A31,'Pair Results'!$B$2:$B$193,B31,'Pair Results'!$C$2:$C$193,C31,'Pair Results'!$R$2:$R$193,1)/D31</x:f>
        <x:v>1</x:v>
      </x:c>
      <x:c r="Q31" s="30" t="n">
        <x:f>COUNTIFS('Pair Results'!$A$2:$A$193,A31,'Pair Results'!$B$2:$B$193,B31,'Pair Results'!$C$2:$C$193,C31,'Pair Results'!$AB$2:$AB$193,"large_and_invalid")</x:f>
        <x:v>0</x:v>
      </x:c>
    </x:row>
    <x:row r="32">
      <x:c r="A32" s="29" t="str">
        <x:v>Circle</x:v>
      </x:c>
      <x:c r="B32" s="30" t="n">
        <x:v>200</x:v>
      </x:c>
      <x:c r="C32" s="31" t="n">
        <x:v>0.5</x:v>
      </x:c>
      <x:c r="D32" s="30" t="n">
        <x:f>COUNTIFS('Pair Results'!$A$2:$A$193,A32,'Pair Results'!$B$2:$B$193,B32,'Pair Results'!$C$2:$C$193,C32)</x:f>
        <x:v>3</x:v>
      </x:c>
      <x:c r="E32" s="30" t="n">
        <x:f>COUNTIFS('Pair Results'!$A$2:$A$193,A32,'Pair Results'!$B$2:$B$193,B32,'Pair Results'!$C$2:$C$193,C32,'Pair Results'!$S$2:$S$193,1)</x:f>
        <x:v>3</x:v>
      </x:c>
      <x:c r="F32" s="32" t="n">
        <x:f>IF(E32=0,"",AVERAGEIFS('Pair Results'!$L$2:$L$193,'Pair Results'!$A$2:$A$193,A32,'Pair Results'!$B$2:$B$193,B32,'Pair Results'!$C$2:$C$193,C32,'Pair Results'!$S$2:$S$193,1))</x:f>
        <x:v>44.333333333333336</x:v>
      </x:c>
      <x:c r="G32" s="32" t="n">
        <x:f>IF(E32=0,"",AVERAGEIFS('Pair Results'!$P$2:$P$193,'Pair Results'!$A$2:$A$193,A32,'Pair Results'!$B$2:$B$193,B32,'Pair Results'!$C$2:$C$193,C32,'Pair Results'!$S$2:$S$193,1))</x:f>
        <x:v>46.666666666666664</x:v>
      </x:c>
      <x:c r="H32" s="32" t="n">
        <x:f>IF(E32=0,"",G32-F32)</x:f>
        <x:v>2.3333333333333286</x:v>
      </x:c>
      <x:c r="I32" s="30" t="n">
        <x:f>COUNTIFS('Pair Results'!$A$2:$A$193,A32,'Pair Results'!$B$2:$B$193,B32,'Pair Results'!$C$2:$C$193,C32,'Pair Results'!$Z$2:$Z$193,"Collision")</x:f>
        <x:v>0</x:v>
      </x:c>
      <x:c r="J32" s="30" t="n">
        <x:f>COUNTIFS('Pair Results'!$A$2:$A$193,A32,'Pair Results'!$B$2:$B$193,B32,'Pair Results'!$C$2:$C$193,C32,'Pair Results'!$Z$2:$Z$193,"Entropy")</x:f>
        <x:v>2</x:v>
      </x:c>
      <x:c r="K32" s="30" t="n">
        <x:f>COUNTIFS('Pair Results'!$A$2:$A$193,A32,'Pair Results'!$B$2:$B$193,B32,'Pair Results'!$C$2:$C$193,C32,'Pair Results'!$Z$2:$Z$193,"Tie")</x:f>
        <x:v>1</x:v>
      </x:c>
      <x:c r="L32" s="33" t="n">
        <x:f>AVERAGEIFS('Pair Results'!$M$2:$M$193,'Pair Results'!$A$2:$A$193,A32,'Pair Results'!$B$2:$B$193,B32,'Pair Results'!$C$2:$C$193,C32)</x:f>
        <x:v>0.14375716669019312</x:v>
      </x:c>
      <x:c r="M32" s="33" t="n">
        <x:f>AVERAGEIFS('Pair Results'!$Q$2:$Q$193,'Pair Results'!$A$2:$A$193,A32,'Pair Results'!$B$2:$B$193,B32,'Pair Results'!$C$2:$C$193,C32)</x:f>
        <x:v>0.13321416658194116</x:v>
      </x:c>
      <x:c r="N32" s="35" t="n">
        <x:f>M32/L32</x:f>
        <x:v>0.9266610468821156</x:v>
      </x:c>
      <x:c r="O32" s="191" t="n">
        <x:f>COUNTIFS('Pair Results'!$A$2:$A$193,A32,'Pair Results'!$B$2:$B$193,B32,'Pair Results'!$C$2:$C$193,C32,'Pair Results'!$N$2:$N$193,1)/D32</x:f>
        <x:v>1</x:v>
      </x:c>
      <x:c r="P32" s="191" t="n">
        <x:f>COUNTIFS('Pair Results'!$A$2:$A$193,A32,'Pair Results'!$B$2:$B$193,B32,'Pair Results'!$C$2:$C$193,C32,'Pair Results'!$R$2:$R$193,1)/D32</x:f>
        <x:v>1</x:v>
      </x:c>
      <x:c r="Q32" s="30" t="n">
        <x:f>COUNTIFS('Pair Results'!$A$2:$A$193,A32,'Pair Results'!$B$2:$B$193,B32,'Pair Results'!$C$2:$C$193,C32,'Pair Results'!$AB$2:$AB$193,"large_and_invalid")</x:f>
        <x:v>0</x:v>
      </x:c>
    </x:row>
    <x:row r="33">
      <x:c r="A33" s="29" t="str">
        <x:v>Circle</x:v>
      </x:c>
      <x:c r="B33" s="30" t="n">
        <x:v>200</x:v>
      </x:c>
      <x:c r="C33" s="31" t="n">
        <x:v>0.7</x:v>
      </x:c>
      <x:c r="D33" s="30" t="n">
        <x:f>COUNTIFS('Pair Results'!$A$2:$A$193,A33,'Pair Results'!$B$2:$B$193,B33,'Pair Results'!$C$2:$C$193,C33)</x:f>
        <x:v>3</x:v>
      </x:c>
      <x:c r="E33" s="30" t="n">
        <x:f>COUNTIFS('Pair Results'!$A$2:$A$193,A33,'Pair Results'!$B$2:$B$193,B33,'Pair Results'!$C$2:$C$193,C33,'Pair Results'!$S$2:$S$193,1)</x:f>
        <x:v>3</x:v>
      </x:c>
      <x:c r="F33" s="32" t="n">
        <x:f>IF(E33=0,"",AVERAGEIFS('Pair Results'!$L$2:$L$193,'Pair Results'!$A$2:$A$193,A33,'Pair Results'!$B$2:$B$193,B33,'Pair Results'!$C$2:$C$193,C33,'Pair Results'!$S$2:$S$193,1))</x:f>
        <x:v>68.33333333333333</x:v>
      </x:c>
      <x:c r="G33" s="32" t="n">
        <x:f>IF(E33=0,"",AVERAGEIFS('Pair Results'!$P$2:$P$193,'Pair Results'!$A$2:$A$193,A33,'Pair Results'!$B$2:$B$193,B33,'Pair Results'!$C$2:$C$193,C33,'Pair Results'!$S$2:$S$193,1))</x:f>
        <x:v>68</x:v>
      </x:c>
      <x:c r="H33" s="32" t="n">
        <x:f>IF(E33=0,"",G33-F33)</x:f>
        <x:v>-0.3333333333333286</x:v>
      </x:c>
      <x:c r="I33" s="30" t="n">
        <x:f>COUNTIFS('Pair Results'!$A$2:$A$193,A33,'Pair Results'!$B$2:$B$193,B33,'Pair Results'!$C$2:$C$193,C33,'Pair Results'!$Z$2:$Z$193,"Collision")</x:f>
        <x:v>1</x:v>
      </x:c>
      <x:c r="J33" s="30" t="n">
        <x:f>COUNTIFS('Pair Results'!$A$2:$A$193,A33,'Pair Results'!$B$2:$B$193,B33,'Pair Results'!$C$2:$C$193,C33,'Pair Results'!$Z$2:$Z$193,"Entropy")</x:f>
        <x:v>1</x:v>
      </x:c>
      <x:c r="K33" s="30" t="n">
        <x:f>COUNTIFS('Pair Results'!$A$2:$A$193,A33,'Pair Results'!$B$2:$B$193,B33,'Pair Results'!$C$2:$C$193,C33,'Pair Results'!$Z$2:$Z$193,"Tie")</x:f>
        <x:v>1</x:v>
      </x:c>
      <x:c r="L33" s="33" t="n">
        <x:f>AVERAGEIFS('Pair Results'!$M$2:$M$193,'Pair Results'!$A$2:$A$193,A33,'Pair Results'!$B$2:$B$193,B33,'Pair Results'!$C$2:$C$193,C33)</x:f>
        <x:v>0.28941396666535485</x:v>
      </x:c>
      <x:c r="M33" s="33" t="n">
        <x:f>AVERAGEIFS('Pair Results'!$Q$2:$Q$193,'Pair Results'!$A$2:$A$193,A33,'Pair Results'!$B$2:$B$193,B33,'Pair Results'!$C$2:$C$193,C33)</x:f>
        <x:v>0.2965313332776229</x:v>
      </x:c>
      <x:c r="N33" s="35" t="n">
        <x:f>M33/L33</x:f>
        <x:v>1.0245923398040349</x:v>
      </x:c>
      <x:c r="O33" s="191" t="n">
        <x:f>COUNTIFS('Pair Results'!$A$2:$A$193,A33,'Pair Results'!$B$2:$B$193,B33,'Pair Results'!$C$2:$C$193,C33,'Pair Results'!$N$2:$N$193,1)/D33</x:f>
        <x:v>1</x:v>
      </x:c>
      <x:c r="P33" s="191" t="n">
        <x:f>COUNTIFS('Pair Results'!$A$2:$A$193,A33,'Pair Results'!$B$2:$B$193,B33,'Pair Results'!$C$2:$C$193,C33,'Pair Results'!$R$2:$R$193,1)/D33</x:f>
        <x:v>1</x:v>
      </x:c>
      <x:c r="Q33" s="30" t="n">
        <x:f>COUNTIFS('Pair Results'!$A$2:$A$193,A33,'Pair Results'!$B$2:$B$193,B33,'Pair Results'!$C$2:$C$193,C33,'Pair Results'!$AB$2:$AB$193,"large_and_invalid")</x:f>
        <x:v>0</x:v>
      </x:c>
    </x:row>
    <x:row r="34">
      <x:c r="A34" s="29" t="str">
        <x:v>Circle</x:v>
      </x:c>
      <x:c r="B34" s="30" t="n">
        <x:v>500</x:v>
      </x:c>
      <x:c r="C34" s="31" t="n">
        <x:v>0.1</x:v>
      </x:c>
      <x:c r="D34" s="30" t="n">
        <x:f>COUNTIFS('Pair Results'!$A$2:$A$193,A34,'Pair Results'!$B$2:$B$193,B34,'Pair Results'!$C$2:$C$193,C34)</x:f>
        <x:v>3</x:v>
      </x:c>
      <x:c r="E34" s="30" t="n">
        <x:f>COUNTIFS('Pair Results'!$A$2:$A$193,A34,'Pair Results'!$B$2:$B$193,B34,'Pair Results'!$C$2:$C$193,C34,'Pair Results'!$S$2:$S$193,1)</x:f>
        <x:v>3</x:v>
      </x:c>
      <x:c r="F34" s="32" t="n">
        <x:f>IF(E34=0,"",AVERAGEIFS('Pair Results'!$L$2:$L$193,'Pair Results'!$A$2:$A$193,A34,'Pair Results'!$B$2:$B$193,B34,'Pair Results'!$C$2:$C$193,C34,'Pair Results'!$S$2:$S$193,1))</x:f>
        <x:v>57.333333333333336</x:v>
      </x:c>
      <x:c r="G34" s="32" t="n">
        <x:f>IF(E34=0,"",AVERAGEIFS('Pair Results'!$P$2:$P$193,'Pair Results'!$A$2:$A$193,A34,'Pair Results'!$B$2:$B$193,B34,'Pair Results'!$C$2:$C$193,C34,'Pair Results'!$S$2:$S$193,1))</x:f>
        <x:v>56</x:v>
      </x:c>
      <x:c r="H34" s="32" t="n">
        <x:f>IF(E34=0,"",G34-F34)</x:f>
        <x:v>-1.3333333333333357</x:v>
      </x:c>
      <x:c r="I34" s="30" t="n">
        <x:f>COUNTIFS('Pair Results'!$A$2:$A$193,A34,'Pair Results'!$B$2:$B$193,B34,'Pair Results'!$C$2:$C$193,C34,'Pair Results'!$Z$2:$Z$193,"Collision")</x:f>
        <x:v>2</x:v>
      </x:c>
      <x:c r="J34" s="30" t="n">
        <x:f>COUNTIFS('Pair Results'!$A$2:$A$193,A34,'Pair Results'!$B$2:$B$193,B34,'Pair Results'!$C$2:$C$193,C34,'Pair Results'!$Z$2:$Z$193,"Entropy")</x:f>
        <x:v>0</x:v>
      </x:c>
      <x:c r="K34" s="30" t="n">
        <x:f>COUNTIFS('Pair Results'!$A$2:$A$193,A34,'Pair Results'!$B$2:$B$193,B34,'Pair Results'!$C$2:$C$193,C34,'Pair Results'!$Z$2:$Z$193,"Tie")</x:f>
        <x:v>1</x:v>
      </x:c>
      <x:c r="L34" s="33" t="n">
        <x:f>AVERAGEIFS('Pair Results'!$M$2:$M$193,'Pair Results'!$A$2:$A$193,A34,'Pair Results'!$B$2:$B$193,B34,'Pair Results'!$C$2:$C$193,C34)</x:f>
        <x:v>0.8917315666719029</x:v>
      </x:c>
      <x:c r="M34" s="33" t="n">
        <x:f>AVERAGEIFS('Pair Results'!$Q$2:$Q$193,'Pair Results'!$A$2:$A$193,A34,'Pair Results'!$B$2:$B$193,B34,'Pair Results'!$C$2:$C$193,C34)</x:f>
        <x:v>0.7534495666623116</x:v>
      </x:c>
      <x:c r="N34" s="35" t="n">
        <x:f>M34/L34</x:f>
        <x:v>0.8449286700417215</x:v>
      </x:c>
      <x:c r="O34" s="191" t="n">
        <x:f>COUNTIFS('Pair Results'!$A$2:$A$193,A34,'Pair Results'!$B$2:$B$193,B34,'Pair Results'!$C$2:$C$193,C34,'Pair Results'!$N$2:$N$193,1)/D34</x:f>
        <x:v>1</x:v>
      </x:c>
      <x:c r="P34" s="191" t="n">
        <x:f>COUNTIFS('Pair Results'!$A$2:$A$193,A34,'Pair Results'!$B$2:$B$193,B34,'Pair Results'!$C$2:$C$193,C34,'Pair Results'!$R$2:$R$193,1)/D34</x:f>
        <x:v>1</x:v>
      </x:c>
      <x:c r="Q34" s="30" t="n">
        <x:f>COUNTIFS('Pair Results'!$A$2:$A$193,A34,'Pair Results'!$B$2:$B$193,B34,'Pair Results'!$C$2:$C$193,C34,'Pair Results'!$AB$2:$AB$193,"large_and_invalid")</x:f>
        <x:v>0</x:v>
      </x:c>
    </x:row>
    <x:row r="35">
      <x:c r="A35" s="29" t="str">
        <x:v>Circle</x:v>
      </x:c>
      <x:c r="B35" s="30" t="n">
        <x:v>500</x:v>
      </x:c>
      <x:c r="C35" s="31" t="n">
        <x:v>0.3</x:v>
      </x:c>
      <x:c r="D35" s="30" t="n">
        <x:f>COUNTIFS('Pair Results'!$A$2:$A$193,A35,'Pair Results'!$B$2:$B$193,B35,'Pair Results'!$C$2:$C$193,C35)</x:f>
        <x:v>3</x:v>
      </x:c>
      <x:c r="E35" s="30" t="n">
        <x:f>COUNTIFS('Pair Results'!$A$2:$A$193,A35,'Pair Results'!$B$2:$B$193,B35,'Pair Results'!$C$2:$C$193,C35,'Pair Results'!$S$2:$S$193,1)</x:f>
        <x:v>3</x:v>
      </x:c>
      <x:c r="F35" s="32" t="n">
        <x:f>IF(E35=0,"",AVERAGEIFS('Pair Results'!$L$2:$L$193,'Pair Results'!$A$2:$A$193,A35,'Pair Results'!$B$2:$B$193,B35,'Pair Results'!$C$2:$C$193,C35,'Pair Results'!$S$2:$S$193,1))</x:f>
        <x:v>64.33333333333333</x:v>
      </x:c>
      <x:c r="G35" s="32" t="n">
        <x:f>IF(E35=0,"",AVERAGEIFS('Pair Results'!$P$2:$P$193,'Pair Results'!$A$2:$A$193,A35,'Pair Results'!$B$2:$B$193,B35,'Pair Results'!$C$2:$C$193,C35,'Pair Results'!$S$2:$S$193,1))</x:f>
        <x:v>64</x:v>
      </x:c>
      <x:c r="H35" s="32" t="n">
        <x:f>IF(E35=0,"",G35-F35)</x:f>
        <x:v>-0.3333333333333286</x:v>
      </x:c>
      <x:c r="I35" s="30" t="n">
        <x:f>COUNTIFS('Pair Results'!$A$2:$A$193,A35,'Pair Results'!$B$2:$B$193,B35,'Pair Results'!$C$2:$C$193,C35,'Pair Results'!$Z$2:$Z$193,"Collision")</x:f>
        <x:v>1</x:v>
      </x:c>
      <x:c r="J35" s="30" t="n">
        <x:f>COUNTIFS('Pair Results'!$A$2:$A$193,A35,'Pair Results'!$B$2:$B$193,B35,'Pair Results'!$C$2:$C$193,C35,'Pair Results'!$Z$2:$Z$193,"Entropy")</x:f>
        <x:v>2</x:v>
      </x:c>
      <x:c r="K35" s="30" t="n">
        <x:f>COUNTIFS('Pair Results'!$A$2:$A$193,A35,'Pair Results'!$B$2:$B$193,B35,'Pair Results'!$C$2:$C$193,C35,'Pair Results'!$Z$2:$Z$193,"Tie")</x:f>
        <x:v>0</x:v>
      </x:c>
      <x:c r="L35" s="33" t="n">
        <x:f>AVERAGEIFS('Pair Results'!$M$2:$M$193,'Pair Results'!$A$2:$A$193,A35,'Pair Results'!$B$2:$B$193,B35,'Pair Results'!$C$2:$C$193,C35)</x:f>
        <x:v>1.000567966684078</x:v>
      </x:c>
      <x:c r="M35" s="33" t="n">
        <x:f>AVERAGEIFS('Pair Results'!$Q$2:$Q$193,'Pair Results'!$A$2:$A$193,A35,'Pair Results'!$B$2:$B$193,B35,'Pair Results'!$C$2:$C$193,C35)</x:f>
        <x:v>1.0189721333251025</x:v>
      </x:c>
      <x:c r="N35" s="35" t="n">
        <x:f>M35/L35</x:f>
        <x:v>1.0183937196210833</x:v>
      </x:c>
      <x:c r="O35" s="191" t="n">
        <x:f>COUNTIFS('Pair Results'!$A$2:$A$193,A35,'Pair Results'!$B$2:$B$193,B35,'Pair Results'!$C$2:$C$193,C35,'Pair Results'!$N$2:$N$193,1)/D35</x:f>
        <x:v>1</x:v>
      </x:c>
      <x:c r="P35" s="191" t="n">
        <x:f>COUNTIFS('Pair Results'!$A$2:$A$193,A35,'Pair Results'!$B$2:$B$193,B35,'Pair Results'!$C$2:$C$193,C35,'Pair Results'!$R$2:$R$193,1)/D35</x:f>
        <x:v>1</x:v>
      </x:c>
      <x:c r="Q35" s="30" t="n">
        <x:f>COUNTIFS('Pair Results'!$A$2:$A$193,A35,'Pair Results'!$B$2:$B$193,B35,'Pair Results'!$C$2:$C$193,C35,'Pair Results'!$AB$2:$AB$193,"large_and_invalid")</x:f>
        <x:v>0</x:v>
      </x:c>
    </x:row>
    <x:row r="36">
      <x:c r="A36" s="29" t="str">
        <x:v>Circle</x:v>
      </x:c>
      <x:c r="B36" s="30" t="n">
        <x:v>500</x:v>
      </x:c>
      <x:c r="C36" s="31" t="n">
        <x:v>0.5</x:v>
      </x:c>
      <x:c r="D36" s="30" t="n">
        <x:f>COUNTIFS('Pair Results'!$A$2:$A$193,A36,'Pair Results'!$B$2:$B$193,B36,'Pair Results'!$C$2:$C$193,C36)</x:f>
        <x:v>3</x:v>
      </x:c>
      <x:c r="E36" s="30" t="n">
        <x:f>COUNTIFS('Pair Results'!$A$2:$A$193,A36,'Pair Results'!$B$2:$B$193,B36,'Pair Results'!$C$2:$C$193,C36,'Pair Results'!$S$2:$S$193,1)</x:f>
        <x:v>3</x:v>
      </x:c>
      <x:c r="F36" s="32" t="n">
        <x:f>IF(E36=0,"",AVERAGEIFS('Pair Results'!$L$2:$L$193,'Pair Results'!$A$2:$A$193,A36,'Pair Results'!$B$2:$B$193,B36,'Pair Results'!$C$2:$C$193,C36,'Pair Results'!$S$2:$S$193,1))</x:f>
        <x:v>88.66666666666667</x:v>
      </x:c>
      <x:c r="G36" s="32" t="n">
        <x:f>IF(E36=0,"",AVERAGEIFS('Pair Results'!$P$2:$P$193,'Pair Results'!$A$2:$A$193,A36,'Pair Results'!$B$2:$B$193,B36,'Pair Results'!$C$2:$C$193,C36,'Pair Results'!$S$2:$S$193,1))</x:f>
        <x:v>90</x:v>
      </x:c>
      <x:c r="H36" s="32" t="n">
        <x:f>IF(E36=0,"",G36-F36)</x:f>
        <x:v>1.3333333333333286</x:v>
      </x:c>
      <x:c r="I36" s="30" t="n">
        <x:f>COUNTIFS('Pair Results'!$A$2:$A$193,A36,'Pair Results'!$B$2:$B$193,B36,'Pair Results'!$C$2:$C$193,C36,'Pair Results'!$Z$2:$Z$193,"Collision")</x:f>
        <x:v>0</x:v>
      </x:c>
      <x:c r="J36" s="30" t="n">
        <x:f>COUNTIFS('Pair Results'!$A$2:$A$193,A36,'Pair Results'!$B$2:$B$193,B36,'Pair Results'!$C$2:$C$193,C36,'Pair Results'!$Z$2:$Z$193,"Entropy")</x:f>
        <x:v>2</x:v>
      </x:c>
      <x:c r="K36" s="30" t="n">
        <x:f>COUNTIFS('Pair Results'!$A$2:$A$193,A36,'Pair Results'!$B$2:$B$193,B36,'Pair Results'!$C$2:$C$193,C36,'Pair Results'!$Z$2:$Z$193,"Tie")</x:f>
        <x:v>1</x:v>
      </x:c>
      <x:c r="L36" s="33" t="n">
        <x:f>AVERAGEIFS('Pair Results'!$M$2:$M$193,'Pair Results'!$A$2:$A$193,A36,'Pair Results'!$B$2:$B$193,B36,'Pair Results'!$C$2:$C$193,C36)</x:f>
        <x:v>2.854609666702648</x:v>
      </x:c>
      <x:c r="M36" s="33" t="n">
        <x:f>AVERAGEIFS('Pair Results'!$Q$2:$Q$193,'Pair Results'!$A$2:$A$193,A36,'Pair Results'!$B$2:$B$193,B36,'Pair Results'!$C$2:$C$193,C36)</x:f>
        <x:v>2.6666825000041476</x:v>
      </x:c>
      <x:c r="N36" s="35" t="n">
        <x:f>M36/L36</x:f>
        <x:v>0.9341671231305068</x:v>
      </x:c>
      <x:c r="O36" s="191" t="n">
        <x:f>COUNTIFS('Pair Results'!$A$2:$A$193,A36,'Pair Results'!$B$2:$B$193,B36,'Pair Results'!$C$2:$C$193,C36,'Pair Results'!$N$2:$N$193,1)/D36</x:f>
        <x:v>1</x:v>
      </x:c>
      <x:c r="P36" s="191" t="n">
        <x:f>COUNTIFS('Pair Results'!$A$2:$A$193,A36,'Pair Results'!$B$2:$B$193,B36,'Pair Results'!$C$2:$C$193,C36,'Pair Results'!$R$2:$R$193,1)/D36</x:f>
        <x:v>1</x:v>
      </x:c>
      <x:c r="Q36" s="30" t="n">
        <x:f>COUNTIFS('Pair Results'!$A$2:$A$193,A36,'Pair Results'!$B$2:$B$193,B36,'Pair Results'!$C$2:$C$193,C36,'Pair Results'!$AB$2:$AB$193,"large_and_invalid")</x:f>
        <x:v>0</x:v>
      </x:c>
    </x:row>
    <x:row r="37">
      <x:c r="A37" s="29" t="str">
        <x:v>Circle</x:v>
      </x:c>
      <x:c r="B37" s="30" t="n">
        <x:v>500</x:v>
      </x:c>
      <x:c r="C37" s="31" t="n">
        <x:v>0.7</x:v>
      </x:c>
      <x:c r="D37" s="30" t="n">
        <x:f>COUNTIFS('Pair Results'!$A$2:$A$193,A37,'Pair Results'!$B$2:$B$193,B37,'Pair Results'!$C$2:$C$193,C37)</x:f>
        <x:v>3</x:v>
      </x:c>
      <x:c r="E37" s="30" t="n">
        <x:f>COUNTIFS('Pair Results'!$A$2:$A$193,A37,'Pair Results'!$B$2:$B$193,B37,'Pair Results'!$C$2:$C$193,C37,'Pair Results'!$S$2:$S$193,1)</x:f>
        <x:v>3</x:v>
      </x:c>
      <x:c r="F37" s="32" t="n">
        <x:f>IF(E37=0,"",AVERAGEIFS('Pair Results'!$L$2:$L$193,'Pair Results'!$A$2:$A$193,A37,'Pair Results'!$B$2:$B$193,B37,'Pair Results'!$C$2:$C$193,C37,'Pair Results'!$S$2:$S$193,1))</x:f>
        <x:v>137</x:v>
      </x:c>
      <x:c r="G37" s="32" t="n">
        <x:f>IF(E37=0,"",AVERAGEIFS('Pair Results'!$P$2:$P$193,'Pair Results'!$A$2:$A$193,A37,'Pair Results'!$B$2:$B$193,B37,'Pair Results'!$C$2:$C$193,C37,'Pair Results'!$S$2:$S$193,1))</x:f>
        <x:v>139</x:v>
      </x:c>
      <x:c r="H37" s="32" t="n">
        <x:f>IF(E37=0,"",G37-F37)</x:f>
        <x:v>2</x:v>
      </x:c>
      <x:c r="I37" s="30" t="n">
        <x:f>COUNTIFS('Pair Results'!$A$2:$A$193,A37,'Pair Results'!$B$2:$B$193,B37,'Pair Results'!$C$2:$C$193,C37,'Pair Results'!$Z$2:$Z$193,"Collision")</x:f>
        <x:v>0</x:v>
      </x:c>
      <x:c r="J37" s="30" t="n">
        <x:f>COUNTIFS('Pair Results'!$A$2:$A$193,A37,'Pair Results'!$B$2:$B$193,B37,'Pair Results'!$C$2:$C$193,C37,'Pair Results'!$Z$2:$Z$193,"Entropy")</x:f>
        <x:v>1</x:v>
      </x:c>
      <x:c r="K37" s="30" t="n">
        <x:f>COUNTIFS('Pair Results'!$A$2:$A$193,A37,'Pair Results'!$B$2:$B$193,B37,'Pair Results'!$C$2:$C$193,C37,'Pair Results'!$Z$2:$Z$193,"Tie")</x:f>
        <x:v>2</x:v>
      </x:c>
      <x:c r="L37" s="33" t="n">
        <x:f>AVERAGEIFS('Pair Results'!$M$2:$M$193,'Pair Results'!$A$2:$A$193,A37,'Pair Results'!$B$2:$B$193,B37,'Pair Results'!$C$2:$C$193,C37)</x:f>
        <x:v>3.0614749333277964</x:v>
      </x:c>
      <x:c r="M37" s="33" t="n">
        <x:f>AVERAGEIFS('Pair Results'!$Q$2:$Q$193,'Pair Results'!$A$2:$A$193,A37,'Pair Results'!$B$2:$B$193,B37,'Pair Results'!$C$2:$C$193,C37)</x:f>
        <x:v>2.931332999995599</x:v>
      </x:c>
      <x:c r="N37" s="35" t="n">
        <x:f>M37/L37</x:f>
        <x:v>0.9574904462174596</x:v>
      </x:c>
      <x:c r="O37" s="191" t="n">
        <x:f>COUNTIFS('Pair Results'!$A$2:$A$193,A37,'Pair Results'!$B$2:$B$193,B37,'Pair Results'!$C$2:$C$193,C37,'Pair Results'!$N$2:$N$193,1)/D37</x:f>
        <x:v>1</x:v>
      </x:c>
      <x:c r="P37" s="191" t="n">
        <x:f>COUNTIFS('Pair Results'!$A$2:$A$193,A37,'Pair Results'!$B$2:$B$193,B37,'Pair Results'!$C$2:$C$193,C37,'Pair Results'!$R$2:$R$193,1)/D37</x:f>
        <x:v>1</x:v>
      </x:c>
      <x:c r="Q37" s="30" t="n">
        <x:f>COUNTIFS('Pair Results'!$A$2:$A$193,A37,'Pair Results'!$B$2:$B$193,B37,'Pair Results'!$C$2:$C$193,C37,'Pair Results'!$AB$2:$AB$193,"large_and_invalid")</x:f>
        <x:v>0</x:v>
      </x:c>
    </x:row>
    <x:row r="38">
      <x:c r="A38" s="29" t="str">
        <x:v>Zoomed Square</x:v>
      </x:c>
      <x:c r="B38" s="30" t="n">
        <x:v>50</x:v>
      </x:c>
      <x:c r="C38" s="31" t="n">
        <x:v>0.1</x:v>
      </x:c>
      <x:c r="D38" s="30" t="n">
        <x:f>COUNTIFS('Pair Results'!$A$2:$A$193,A38,'Pair Results'!$B$2:$B$193,B38,'Pair Results'!$C$2:$C$193,C38)</x:f>
        <x:v>3</x:v>
      </x:c>
      <x:c r="E38" s="30" t="n">
        <x:f>COUNTIFS('Pair Results'!$A$2:$A$193,A38,'Pair Results'!$B$2:$B$193,B38,'Pair Results'!$C$2:$C$193,C38,'Pair Results'!$S$2:$S$193,1)</x:f>
        <x:v>3</x:v>
      </x:c>
      <x:c r="F38" s="32" t="n">
        <x:f>IF(E38=0,"",AVERAGEIFS('Pair Results'!$L$2:$L$193,'Pair Results'!$A$2:$A$193,A38,'Pair Results'!$B$2:$B$193,B38,'Pair Results'!$C$2:$C$193,C38,'Pair Results'!$S$2:$S$193,1))</x:f>
        <x:v>28.333333333333332</x:v>
      </x:c>
      <x:c r="G38" s="32" t="n">
        <x:f>IF(E38=0,"",AVERAGEIFS('Pair Results'!$P$2:$P$193,'Pair Results'!$A$2:$A$193,A38,'Pair Results'!$B$2:$B$193,B38,'Pair Results'!$C$2:$C$193,C38,'Pair Results'!$S$2:$S$193,1))</x:f>
        <x:v>28.333333333333332</x:v>
      </x:c>
      <x:c r="H38" s="32" t="n">
        <x:f>IF(E38=0,"",G38-F38)</x:f>
        <x:v>0</x:v>
      </x:c>
      <x:c r="I38" s="30" t="n">
        <x:f>COUNTIFS('Pair Results'!$A$2:$A$193,A38,'Pair Results'!$B$2:$B$193,B38,'Pair Results'!$C$2:$C$193,C38,'Pair Results'!$Z$2:$Z$193,"Collision")</x:f>
        <x:v>0</x:v>
      </x:c>
      <x:c r="J38" s="30" t="n">
        <x:f>COUNTIFS('Pair Results'!$A$2:$A$193,A38,'Pair Results'!$B$2:$B$193,B38,'Pair Results'!$C$2:$C$193,C38,'Pair Results'!$Z$2:$Z$193,"Entropy")</x:f>
        <x:v>0</x:v>
      </x:c>
      <x:c r="K38" s="30" t="n">
        <x:f>COUNTIFS('Pair Results'!$A$2:$A$193,A38,'Pair Results'!$B$2:$B$193,B38,'Pair Results'!$C$2:$C$193,C38,'Pair Results'!$Z$2:$Z$193,"Tie")</x:f>
        <x:v>3</x:v>
      </x:c>
      <x:c r="L38" s="33" t="n">
        <x:f>AVERAGEIFS('Pair Results'!$M$2:$M$193,'Pair Results'!$A$2:$A$193,A38,'Pair Results'!$B$2:$B$193,B38,'Pair Results'!$C$2:$C$193,C38)</x:f>
        <x:v>0.003085566684603691</x:v>
      </x:c>
      <x:c r="M38" s="33" t="n">
        <x:f>AVERAGEIFS('Pair Results'!$Q$2:$Q$193,'Pair Results'!$A$2:$A$193,A38,'Pair Results'!$B$2:$B$193,B38,'Pair Results'!$C$2:$C$193,C38)</x:f>
        <x:v>0.002919599957143267</x:v>
      </x:c>
      <x:c r="N38" s="35" t="n">
        <x:f>M38/L38</x:f>
        <x:v>0.9462119135883331</x:v>
      </x:c>
      <x:c r="O38" s="191" t="n">
        <x:f>COUNTIFS('Pair Results'!$A$2:$A$193,A38,'Pair Results'!$B$2:$B$193,B38,'Pair Results'!$C$2:$C$193,C38,'Pair Results'!$N$2:$N$193,1)/D38</x:f>
        <x:v>1</x:v>
      </x:c>
      <x:c r="P38" s="191" t="n">
        <x:f>COUNTIFS('Pair Results'!$A$2:$A$193,A38,'Pair Results'!$B$2:$B$193,B38,'Pair Results'!$C$2:$C$193,C38,'Pair Results'!$R$2:$R$193,1)/D38</x:f>
        <x:v>1</x:v>
      </x:c>
      <x:c r="Q38" s="30" t="n">
        <x:f>COUNTIFS('Pair Results'!$A$2:$A$193,A38,'Pair Results'!$B$2:$B$193,B38,'Pair Results'!$C$2:$C$193,C38,'Pair Results'!$AB$2:$AB$193,"large_and_invalid")</x:f>
        <x:v>0</x:v>
      </x:c>
    </x:row>
    <x:row r="39">
      <x:c r="A39" s="29" t="str">
        <x:v>Zoomed Square</x:v>
      </x:c>
      <x:c r="B39" s="30" t="n">
        <x:v>50</x:v>
      </x:c>
      <x:c r="C39" s="31" t="n">
        <x:v>0.3</x:v>
      </x:c>
      <x:c r="D39" s="30" t="n">
        <x:f>COUNTIFS('Pair Results'!$A$2:$A$193,A39,'Pair Results'!$B$2:$B$193,B39,'Pair Results'!$C$2:$C$193,C39)</x:f>
        <x:v>3</x:v>
      </x:c>
      <x:c r="E39" s="30" t="n">
        <x:f>COUNTIFS('Pair Results'!$A$2:$A$193,A39,'Pair Results'!$B$2:$B$193,B39,'Pair Results'!$C$2:$C$193,C39,'Pair Results'!$S$2:$S$193,1)</x:f>
        <x:v>3</x:v>
      </x:c>
      <x:c r="F39" s="32" t="n">
        <x:f>IF(E39=0,"",AVERAGEIFS('Pair Results'!$L$2:$L$193,'Pair Results'!$A$2:$A$193,A39,'Pair Results'!$B$2:$B$193,B39,'Pair Results'!$C$2:$C$193,C39,'Pair Results'!$S$2:$S$193,1))</x:f>
        <x:v>11.333333333333334</x:v>
      </x:c>
      <x:c r="G39" s="32" t="n">
        <x:f>IF(E39=0,"",AVERAGEIFS('Pair Results'!$P$2:$P$193,'Pair Results'!$A$2:$A$193,A39,'Pair Results'!$B$2:$B$193,B39,'Pair Results'!$C$2:$C$193,C39,'Pair Results'!$S$2:$S$193,1))</x:f>
        <x:v>11.666666666666666</x:v>
      </x:c>
      <x:c r="H39" s="32" t="n">
        <x:f>IF(E39=0,"",G39-F39)</x:f>
        <x:v>0.33333333333333215</x:v>
      </x:c>
      <x:c r="I39" s="30" t="n">
        <x:f>COUNTIFS('Pair Results'!$A$2:$A$193,A39,'Pair Results'!$B$2:$B$193,B39,'Pair Results'!$C$2:$C$193,C39,'Pair Results'!$Z$2:$Z$193,"Collision")</x:f>
        <x:v>0</x:v>
      </x:c>
      <x:c r="J39" s="30" t="n">
        <x:f>COUNTIFS('Pair Results'!$A$2:$A$193,A39,'Pair Results'!$B$2:$B$193,B39,'Pair Results'!$C$2:$C$193,C39,'Pair Results'!$Z$2:$Z$193,"Entropy")</x:f>
        <x:v>1</x:v>
      </x:c>
      <x:c r="K39" s="30" t="n">
        <x:f>COUNTIFS('Pair Results'!$A$2:$A$193,A39,'Pair Results'!$B$2:$B$193,B39,'Pair Results'!$C$2:$C$193,C39,'Pair Results'!$Z$2:$Z$193,"Tie")</x:f>
        <x:v>2</x:v>
      </x:c>
      <x:c r="L39" s="33" t="n">
        <x:f>AVERAGEIFS('Pair Results'!$M$2:$M$193,'Pair Results'!$A$2:$A$193,A39,'Pair Results'!$B$2:$B$193,B39,'Pair Results'!$C$2:$C$193,C39)</x:f>
        <x:v>0.0037183332800244293</x:v>
      </x:c>
      <x:c r="M39" s="33" t="n">
        <x:f>AVERAGEIFS('Pair Results'!$Q$2:$Q$193,'Pair Results'!$A$2:$A$193,A39,'Pair Results'!$B$2:$B$193,B39,'Pair Results'!$C$2:$C$193,C39)</x:f>
        <x:v>0.003683033360478779</x:v>
      </x:c>
      <x:c r="N39" s="35" t="n">
        <x:f>M39/L39</x:f>
        <x:v>0.9905065208287573</x:v>
      </x:c>
      <x:c r="O39" s="191" t="n">
        <x:f>COUNTIFS('Pair Results'!$A$2:$A$193,A39,'Pair Results'!$B$2:$B$193,B39,'Pair Results'!$C$2:$C$193,C39,'Pair Results'!$N$2:$N$193,1)/D39</x:f>
        <x:v>1</x:v>
      </x:c>
      <x:c r="P39" s="191" t="n">
        <x:f>COUNTIFS('Pair Results'!$A$2:$A$193,A39,'Pair Results'!$B$2:$B$193,B39,'Pair Results'!$C$2:$C$193,C39,'Pair Results'!$R$2:$R$193,1)/D39</x:f>
        <x:v>1</x:v>
      </x:c>
      <x:c r="Q39" s="30" t="n">
        <x:f>COUNTIFS('Pair Results'!$A$2:$A$193,A39,'Pair Results'!$B$2:$B$193,B39,'Pair Results'!$C$2:$C$193,C39,'Pair Results'!$AB$2:$AB$193,"large_and_invalid")</x:f>
        <x:v>0</x:v>
      </x:c>
    </x:row>
    <x:row r="40">
      <x:c r="A40" s="29" t="str">
        <x:v>Zoomed Square</x:v>
      </x:c>
      <x:c r="B40" s="30" t="n">
        <x:v>50</x:v>
      </x:c>
      <x:c r="C40" s="31" t="n">
        <x:v>0.5</x:v>
      </x:c>
      <x:c r="D40" s="30" t="n">
        <x:f>COUNTIFS('Pair Results'!$A$2:$A$193,A40,'Pair Results'!$B$2:$B$193,B40,'Pair Results'!$C$2:$C$193,C40)</x:f>
        <x:v>3</x:v>
      </x:c>
      <x:c r="E40" s="30" t="n">
        <x:f>COUNTIFS('Pair Results'!$A$2:$A$193,A40,'Pair Results'!$B$2:$B$193,B40,'Pair Results'!$C$2:$C$193,C40,'Pair Results'!$S$2:$S$193,1)</x:f>
        <x:v>3</x:v>
      </x:c>
      <x:c r="F40" s="32" t="n">
        <x:f>IF(E40=0,"",AVERAGEIFS('Pair Results'!$L$2:$L$193,'Pair Results'!$A$2:$A$193,A40,'Pair Results'!$B$2:$B$193,B40,'Pair Results'!$C$2:$C$193,C40,'Pair Results'!$S$2:$S$193,1))</x:f>
        <x:v>16.666666666666668</x:v>
      </x:c>
      <x:c r="G40" s="32" t="n">
        <x:f>IF(E40=0,"",AVERAGEIFS('Pair Results'!$P$2:$P$193,'Pair Results'!$A$2:$A$193,A40,'Pair Results'!$B$2:$B$193,B40,'Pair Results'!$C$2:$C$193,C40,'Pair Results'!$S$2:$S$193,1))</x:f>
        <x:v>15.666666666666666</x:v>
      </x:c>
      <x:c r="H40" s="32" t="n">
        <x:f>IF(E40=0,"",G40-F40)</x:f>
        <x:v>-1.0000000000000018</x:v>
      </x:c>
      <x:c r="I40" s="30" t="n">
        <x:f>COUNTIFS('Pair Results'!$A$2:$A$193,A40,'Pair Results'!$B$2:$B$193,B40,'Pair Results'!$C$2:$C$193,C40,'Pair Results'!$Z$2:$Z$193,"Collision")</x:f>
        <x:v>2</x:v>
      </x:c>
      <x:c r="J40" s="30" t="n">
        <x:f>COUNTIFS('Pair Results'!$A$2:$A$193,A40,'Pair Results'!$B$2:$B$193,B40,'Pair Results'!$C$2:$C$193,C40,'Pair Results'!$Z$2:$Z$193,"Entropy")</x:f>
        <x:v>0</x:v>
      </x:c>
      <x:c r="K40" s="30" t="n">
        <x:f>COUNTIFS('Pair Results'!$A$2:$A$193,A40,'Pair Results'!$B$2:$B$193,B40,'Pair Results'!$C$2:$C$193,C40,'Pair Results'!$Z$2:$Z$193,"Tie")</x:f>
        <x:v>1</x:v>
      </x:c>
      <x:c r="L40" s="33" t="n">
        <x:f>AVERAGEIFS('Pair Results'!$M$2:$M$193,'Pair Results'!$A$2:$A$193,A40,'Pair Results'!$B$2:$B$193,B40,'Pair Results'!$C$2:$C$193,C40)</x:f>
        <x:v>0.0065289333773156</x:v>
      </x:c>
      <x:c r="M40" s="33" t="n">
        <x:f>AVERAGEIFS('Pair Results'!$Q$2:$Q$193,'Pair Results'!$A$2:$A$193,A40,'Pair Results'!$B$2:$B$193,B40,'Pair Results'!$C$2:$C$193,C40)</x:f>
        <x:v>0.006608866698419054</x:v>
      </x:c>
      <x:c r="N40" s="35" t="n">
        <x:f>M40/L40</x:f>
        <x:v>1.0122429371666093</x:v>
      </x:c>
      <x:c r="O40" s="191" t="n">
        <x:f>COUNTIFS('Pair Results'!$A$2:$A$193,A40,'Pair Results'!$B$2:$B$193,B40,'Pair Results'!$C$2:$C$193,C40,'Pair Results'!$N$2:$N$193,1)/D40</x:f>
        <x:v>1</x:v>
      </x:c>
      <x:c r="P40" s="191" t="n">
        <x:f>COUNTIFS('Pair Results'!$A$2:$A$193,A40,'Pair Results'!$B$2:$B$193,B40,'Pair Results'!$C$2:$C$193,C40,'Pair Results'!$R$2:$R$193,1)/D40</x:f>
        <x:v>1</x:v>
      </x:c>
      <x:c r="Q40" s="30" t="n">
        <x:f>COUNTIFS('Pair Results'!$A$2:$A$193,A40,'Pair Results'!$B$2:$B$193,B40,'Pair Results'!$C$2:$C$193,C40,'Pair Results'!$AB$2:$AB$193,"large_and_invalid")</x:f>
        <x:v>0</x:v>
      </x:c>
    </x:row>
    <x:row r="41">
      <x:c r="A41" s="29" t="str">
        <x:v>Zoomed Square</x:v>
      </x:c>
      <x:c r="B41" s="30" t="n">
        <x:v>50</x:v>
      </x:c>
      <x:c r="C41" s="31" t="n">
        <x:v>0.7</x:v>
      </x:c>
      <x:c r="D41" s="30" t="n">
        <x:f>COUNTIFS('Pair Results'!$A$2:$A$193,A41,'Pair Results'!$B$2:$B$193,B41,'Pair Results'!$C$2:$C$193,C41)</x:f>
        <x:v>3</x:v>
      </x:c>
      <x:c r="E41" s="30" t="n">
        <x:f>COUNTIFS('Pair Results'!$A$2:$A$193,A41,'Pair Results'!$B$2:$B$193,B41,'Pair Results'!$C$2:$C$193,C41,'Pair Results'!$S$2:$S$193,1)</x:f>
        <x:v>3</x:v>
      </x:c>
      <x:c r="F41" s="32" t="n">
        <x:f>IF(E41=0,"",AVERAGEIFS('Pair Results'!$L$2:$L$193,'Pair Results'!$A$2:$A$193,A41,'Pair Results'!$B$2:$B$193,B41,'Pair Results'!$C$2:$C$193,C41,'Pair Results'!$S$2:$S$193,1))</x:f>
        <x:v>23.333333333333332</x:v>
      </x:c>
      <x:c r="G41" s="32" t="n">
        <x:f>IF(E41=0,"",AVERAGEIFS('Pair Results'!$P$2:$P$193,'Pair Results'!$A$2:$A$193,A41,'Pair Results'!$B$2:$B$193,B41,'Pair Results'!$C$2:$C$193,C41,'Pair Results'!$S$2:$S$193,1))</x:f>
        <x:v>21.666666666666668</x:v>
      </x:c>
      <x:c r="H41" s="32" t="n">
        <x:f>IF(E41=0,"",G41-F41)</x:f>
        <x:v>-1.6666666666666643</x:v>
      </x:c>
      <x:c r="I41" s="30" t="n">
        <x:f>COUNTIFS('Pair Results'!$A$2:$A$193,A41,'Pair Results'!$B$2:$B$193,B41,'Pair Results'!$C$2:$C$193,C41,'Pair Results'!$Z$2:$Z$193,"Collision")</x:f>
        <x:v>2</x:v>
      </x:c>
      <x:c r="J41" s="30" t="n">
        <x:f>COUNTIFS('Pair Results'!$A$2:$A$193,A41,'Pair Results'!$B$2:$B$193,B41,'Pair Results'!$C$2:$C$193,C41,'Pair Results'!$Z$2:$Z$193,"Entropy")</x:f>
        <x:v>0</x:v>
      </x:c>
      <x:c r="K41" s="30" t="n">
        <x:f>COUNTIFS('Pair Results'!$A$2:$A$193,A41,'Pair Results'!$B$2:$B$193,B41,'Pair Results'!$C$2:$C$193,C41,'Pair Results'!$Z$2:$Z$193,"Tie")</x:f>
        <x:v>1</x:v>
      </x:c>
      <x:c r="L41" s="33" t="n">
        <x:f>AVERAGEIFS('Pair Results'!$M$2:$M$193,'Pair Results'!$A$2:$A$193,A41,'Pair Results'!$B$2:$B$193,B41,'Pair Results'!$C$2:$C$193,C41)</x:f>
        <x:v>0.008075000019744039</x:v>
      </x:c>
      <x:c r="M41" s="33" t="n">
        <x:f>AVERAGEIFS('Pair Results'!$Q$2:$Q$193,'Pair Results'!$A$2:$A$193,A41,'Pair Results'!$B$2:$B$193,B41,'Pair Results'!$C$2:$C$193,C41)</x:f>
        <x:v>0.008956533313418428</x:v>
      </x:c>
      <x:c r="N41" s="35" t="n">
        <x:f>M41/L41</x:f>
        <x:v>1.1091682094760331</x:v>
      </x:c>
      <x:c r="O41" s="191" t="n">
        <x:f>COUNTIFS('Pair Results'!$A$2:$A$193,A41,'Pair Results'!$B$2:$B$193,B41,'Pair Results'!$C$2:$C$193,C41,'Pair Results'!$N$2:$N$193,1)/D41</x:f>
        <x:v>1</x:v>
      </x:c>
      <x:c r="P41" s="191" t="n">
        <x:f>COUNTIFS('Pair Results'!$A$2:$A$193,A41,'Pair Results'!$B$2:$B$193,B41,'Pair Results'!$C$2:$C$193,C41,'Pair Results'!$R$2:$R$193,1)/D41</x:f>
        <x:v>1</x:v>
      </x:c>
      <x:c r="Q41" s="30" t="n">
        <x:f>COUNTIFS('Pair Results'!$A$2:$A$193,A41,'Pair Results'!$B$2:$B$193,B41,'Pair Results'!$C$2:$C$193,C41,'Pair Results'!$AB$2:$AB$193,"large_and_invalid")</x:f>
        <x:v>0</x:v>
      </x:c>
    </x:row>
    <x:row r="42">
      <x:c r="A42" s="29" t="str">
        <x:v>Zoomed Square</x:v>
      </x:c>
      <x:c r="B42" s="30" t="n">
        <x:v>100</x:v>
      </x:c>
      <x:c r="C42" s="31" t="n">
        <x:v>0.1</x:v>
      </x:c>
      <x:c r="D42" s="30" t="n">
        <x:f>COUNTIFS('Pair Results'!$A$2:$A$193,A42,'Pair Results'!$B$2:$B$193,B42,'Pair Results'!$C$2:$C$193,C42)</x:f>
        <x:v>3</x:v>
      </x:c>
      <x:c r="E42" s="30" t="n">
        <x:f>COUNTIFS('Pair Results'!$A$2:$A$193,A42,'Pair Results'!$B$2:$B$193,B42,'Pair Results'!$C$2:$C$193,C42,'Pair Results'!$S$2:$S$193,1)</x:f>
        <x:v>3</x:v>
      </x:c>
      <x:c r="F42" s="32" t="n">
        <x:f>IF(E42=0,"",AVERAGEIFS('Pair Results'!$L$2:$L$193,'Pair Results'!$A$2:$A$193,A42,'Pair Results'!$B$2:$B$193,B42,'Pair Results'!$C$2:$C$193,C42,'Pair Results'!$S$2:$S$193,1))</x:f>
        <x:v>38.333333333333336</x:v>
      </x:c>
      <x:c r="G42" s="32" t="n">
        <x:f>IF(E42=0,"",AVERAGEIFS('Pair Results'!$P$2:$P$193,'Pair Results'!$A$2:$A$193,A42,'Pair Results'!$B$2:$B$193,B42,'Pair Results'!$C$2:$C$193,C42,'Pair Results'!$S$2:$S$193,1))</x:f>
        <x:v>38.333333333333336</x:v>
      </x:c>
      <x:c r="H42" s="32" t="n">
        <x:f>IF(E42=0,"",G42-F42)</x:f>
        <x:v>0</x:v>
      </x:c>
      <x:c r="I42" s="30" t="n">
        <x:f>COUNTIFS('Pair Results'!$A$2:$A$193,A42,'Pair Results'!$B$2:$B$193,B42,'Pair Results'!$C$2:$C$193,C42,'Pair Results'!$Z$2:$Z$193,"Collision")</x:f>
        <x:v>0</x:v>
      </x:c>
      <x:c r="J42" s="30" t="n">
        <x:f>COUNTIFS('Pair Results'!$A$2:$A$193,A42,'Pair Results'!$B$2:$B$193,B42,'Pair Results'!$C$2:$C$193,C42,'Pair Results'!$Z$2:$Z$193,"Entropy")</x:f>
        <x:v>0</x:v>
      </x:c>
      <x:c r="K42" s="30" t="n">
        <x:f>COUNTIFS('Pair Results'!$A$2:$A$193,A42,'Pair Results'!$B$2:$B$193,B42,'Pair Results'!$C$2:$C$193,C42,'Pair Results'!$Z$2:$Z$193,"Tie")</x:f>
        <x:v>3</x:v>
      </x:c>
      <x:c r="L42" s="33" t="n">
        <x:f>AVERAGEIFS('Pair Results'!$M$2:$M$193,'Pair Results'!$A$2:$A$193,A42,'Pair Results'!$B$2:$B$193,B42,'Pair Results'!$C$2:$C$193,C42)</x:f>
        <x:v>0.018445400016692776</x:v>
      </x:c>
      <x:c r="M42" s="33" t="n">
        <x:f>AVERAGEIFS('Pair Results'!$Q$2:$Q$193,'Pair Results'!$A$2:$A$193,A42,'Pair Results'!$B$2:$B$193,B42,'Pair Results'!$C$2:$C$193,C42)</x:f>
        <x:v>0.016805400062973302</x:v>
      </x:c>
      <x:c r="N42" s="35" t="n">
        <x:f>M42/L42</x:f>
        <x:v>0.9110889461743685</x:v>
      </x:c>
      <x:c r="O42" s="191" t="n">
        <x:f>COUNTIFS('Pair Results'!$A$2:$A$193,A42,'Pair Results'!$B$2:$B$193,B42,'Pair Results'!$C$2:$C$193,C42,'Pair Results'!$N$2:$N$193,1)/D42</x:f>
        <x:v>1</x:v>
      </x:c>
      <x:c r="P42" s="191" t="n">
        <x:f>COUNTIFS('Pair Results'!$A$2:$A$193,A42,'Pair Results'!$B$2:$B$193,B42,'Pair Results'!$C$2:$C$193,C42,'Pair Results'!$R$2:$R$193,1)/D42</x:f>
        <x:v>1</x:v>
      </x:c>
      <x:c r="Q42" s="30" t="n">
        <x:f>COUNTIFS('Pair Results'!$A$2:$A$193,A42,'Pair Results'!$B$2:$B$193,B42,'Pair Results'!$C$2:$C$193,C42,'Pair Results'!$AB$2:$AB$193,"large_and_invalid")</x:f>
        <x:v>0</x:v>
      </x:c>
    </x:row>
    <x:row r="43">
      <x:c r="A43" s="29" t="str">
        <x:v>Zoomed Square</x:v>
      </x:c>
      <x:c r="B43" s="30" t="n">
        <x:v>100</x:v>
      </x:c>
      <x:c r="C43" s="31" t="n">
        <x:v>0.3</x:v>
      </x:c>
      <x:c r="D43" s="30" t="n">
        <x:f>COUNTIFS('Pair Results'!$A$2:$A$193,A43,'Pair Results'!$B$2:$B$193,B43,'Pair Results'!$C$2:$C$193,C43)</x:f>
        <x:v>3</x:v>
      </x:c>
      <x:c r="E43" s="30" t="n">
        <x:f>COUNTIFS('Pair Results'!$A$2:$A$193,A43,'Pair Results'!$B$2:$B$193,B43,'Pair Results'!$C$2:$C$193,C43,'Pair Results'!$S$2:$S$193,1)</x:f>
        <x:v>3</x:v>
      </x:c>
      <x:c r="F43" s="32" t="n">
        <x:f>IF(E43=0,"",AVERAGEIFS('Pair Results'!$L$2:$L$193,'Pair Results'!$A$2:$A$193,A43,'Pair Results'!$B$2:$B$193,B43,'Pair Results'!$C$2:$C$193,C43,'Pair Results'!$S$2:$S$193,1))</x:f>
        <x:v>20.666666666666668</x:v>
      </x:c>
      <x:c r="G43" s="32" t="n">
        <x:f>IF(E43=0,"",AVERAGEIFS('Pair Results'!$P$2:$P$193,'Pair Results'!$A$2:$A$193,A43,'Pair Results'!$B$2:$B$193,B43,'Pair Results'!$C$2:$C$193,C43,'Pair Results'!$S$2:$S$193,1))</x:f>
        <x:v>21</x:v>
      </x:c>
      <x:c r="H43" s="32" t="n">
        <x:f>IF(E43=0,"",G43-F43)</x:f>
        <x:v>0.33333333333333215</x:v>
      </x:c>
      <x:c r="I43" s="30" t="n">
        <x:f>COUNTIFS('Pair Results'!$A$2:$A$193,A43,'Pair Results'!$B$2:$B$193,B43,'Pair Results'!$C$2:$C$193,C43,'Pair Results'!$Z$2:$Z$193,"Collision")</x:f>
        <x:v>0</x:v>
      </x:c>
      <x:c r="J43" s="30" t="n">
        <x:f>COUNTIFS('Pair Results'!$A$2:$A$193,A43,'Pair Results'!$B$2:$B$193,B43,'Pair Results'!$C$2:$C$193,C43,'Pair Results'!$Z$2:$Z$193,"Entropy")</x:f>
        <x:v>1</x:v>
      </x:c>
      <x:c r="K43" s="30" t="n">
        <x:f>COUNTIFS('Pair Results'!$A$2:$A$193,A43,'Pair Results'!$B$2:$B$193,B43,'Pair Results'!$C$2:$C$193,C43,'Pair Results'!$Z$2:$Z$193,"Tie")</x:f>
        <x:v>2</x:v>
      </x:c>
      <x:c r="L43" s="33" t="n">
        <x:f>AVERAGEIFS('Pair Results'!$M$2:$M$193,'Pair Results'!$A$2:$A$193,A43,'Pair Results'!$B$2:$B$193,B43,'Pair Results'!$C$2:$C$193,C43)</x:f>
        <x:v>0.025314833347996075</x:v>
      </x:c>
      <x:c r="M43" s="33" t="n">
        <x:f>AVERAGEIFS('Pair Results'!$Q$2:$Q$193,'Pair Results'!$A$2:$A$193,A43,'Pair Results'!$B$2:$B$193,B43,'Pair Results'!$C$2:$C$193,C43)</x:f>
        <x:v>0.021117566619068384</x:v>
      </x:c>
      <x:c r="N43" s="35" t="n">
        <x:f>M43/L43</x:f>
        <x:v>0.8341973391162005</x:v>
      </x:c>
      <x:c r="O43" s="191" t="n">
        <x:f>COUNTIFS('Pair Results'!$A$2:$A$193,A43,'Pair Results'!$B$2:$B$193,B43,'Pair Results'!$C$2:$C$193,C43,'Pair Results'!$N$2:$N$193,1)/D43</x:f>
        <x:v>1</x:v>
      </x:c>
      <x:c r="P43" s="191" t="n">
        <x:f>COUNTIFS('Pair Results'!$A$2:$A$193,A43,'Pair Results'!$B$2:$B$193,B43,'Pair Results'!$C$2:$C$193,C43,'Pair Results'!$R$2:$R$193,1)/D43</x:f>
        <x:v>1</x:v>
      </x:c>
      <x:c r="Q43" s="30" t="n">
        <x:f>COUNTIFS('Pair Results'!$A$2:$A$193,A43,'Pair Results'!$B$2:$B$193,B43,'Pair Results'!$C$2:$C$193,C43,'Pair Results'!$AB$2:$AB$193,"large_and_invalid")</x:f>
        <x:v>0</x:v>
      </x:c>
    </x:row>
    <x:row r="44">
      <x:c r="A44" s="29" t="str">
        <x:v>Zoomed Square</x:v>
      </x:c>
      <x:c r="B44" s="30" t="n">
        <x:v>100</x:v>
      </x:c>
      <x:c r="C44" s="31" t="n">
        <x:v>0.5</x:v>
      </x:c>
      <x:c r="D44" s="30" t="n">
        <x:f>COUNTIFS('Pair Results'!$A$2:$A$193,A44,'Pair Results'!$B$2:$B$193,B44,'Pair Results'!$C$2:$C$193,C44)</x:f>
        <x:v>3</x:v>
      </x:c>
      <x:c r="E44" s="30" t="n">
        <x:f>COUNTIFS('Pair Results'!$A$2:$A$193,A44,'Pair Results'!$B$2:$B$193,B44,'Pair Results'!$C$2:$C$193,C44,'Pair Results'!$S$2:$S$193,1)</x:f>
        <x:v>3</x:v>
      </x:c>
      <x:c r="F44" s="32" t="n">
        <x:f>IF(E44=0,"",AVERAGEIFS('Pair Results'!$L$2:$L$193,'Pair Results'!$A$2:$A$193,A44,'Pair Results'!$B$2:$B$193,B44,'Pair Results'!$C$2:$C$193,C44,'Pair Results'!$S$2:$S$193,1))</x:f>
        <x:v>27</x:v>
      </x:c>
      <x:c r="G44" s="32" t="n">
        <x:f>IF(E44=0,"",AVERAGEIFS('Pair Results'!$P$2:$P$193,'Pair Results'!$A$2:$A$193,A44,'Pair Results'!$B$2:$B$193,B44,'Pair Results'!$C$2:$C$193,C44,'Pair Results'!$S$2:$S$193,1))</x:f>
        <x:v>26</x:v>
      </x:c>
      <x:c r="H44" s="32" t="n">
        <x:f>IF(E44=0,"",G44-F44)</x:f>
        <x:v>-1</x:v>
      </x:c>
      <x:c r="I44" s="30" t="n">
        <x:f>COUNTIFS('Pair Results'!$A$2:$A$193,A44,'Pair Results'!$B$2:$B$193,B44,'Pair Results'!$C$2:$C$193,C44,'Pair Results'!$Z$2:$Z$193,"Collision")</x:f>
        <x:v>2</x:v>
      </x:c>
      <x:c r="J44" s="30" t="n">
        <x:f>COUNTIFS('Pair Results'!$A$2:$A$193,A44,'Pair Results'!$B$2:$B$193,B44,'Pair Results'!$C$2:$C$193,C44,'Pair Results'!$Z$2:$Z$193,"Entropy")</x:f>
        <x:v>1</x:v>
      </x:c>
      <x:c r="K44" s="30" t="n">
        <x:f>COUNTIFS('Pair Results'!$A$2:$A$193,A44,'Pair Results'!$B$2:$B$193,B44,'Pair Results'!$C$2:$C$193,C44,'Pair Results'!$Z$2:$Z$193,"Tie")</x:f>
        <x:v>0</x:v>
      </x:c>
      <x:c r="L44" s="33" t="n">
        <x:f>AVERAGEIFS('Pair Results'!$M$2:$M$193,'Pair Results'!$A$2:$A$193,A44,'Pair Results'!$B$2:$B$193,B44,'Pair Results'!$C$2:$C$193,C44)</x:f>
        <x:v>0.046473866677843034</x:v>
      </x:c>
      <x:c r="M44" s="33" t="n">
        <x:f>AVERAGEIFS('Pair Results'!$Q$2:$Q$193,'Pair Results'!$A$2:$A$193,A44,'Pair Results'!$B$2:$B$193,B44,'Pair Results'!$C$2:$C$193,C44)</x:f>
        <x:v>0.03809913333194951</x:v>
      </x:c>
      <x:c r="N44" s="35" t="n">
        <x:f>M44/L44</x:f>
        <x:v>0.8197969322426473</x:v>
      </x:c>
      <x:c r="O44" s="191" t="n">
        <x:f>COUNTIFS('Pair Results'!$A$2:$A$193,A44,'Pair Results'!$B$2:$B$193,B44,'Pair Results'!$C$2:$C$193,C44,'Pair Results'!$N$2:$N$193,1)/D44</x:f>
        <x:v>1</x:v>
      </x:c>
      <x:c r="P44" s="191" t="n">
        <x:f>COUNTIFS('Pair Results'!$A$2:$A$193,A44,'Pair Results'!$B$2:$B$193,B44,'Pair Results'!$C$2:$C$193,C44,'Pair Results'!$R$2:$R$193,1)/D44</x:f>
        <x:v>1</x:v>
      </x:c>
      <x:c r="Q44" s="30" t="n">
        <x:f>COUNTIFS('Pair Results'!$A$2:$A$193,A44,'Pair Results'!$B$2:$B$193,B44,'Pair Results'!$C$2:$C$193,C44,'Pair Results'!$AB$2:$AB$193,"large_and_invalid")</x:f>
        <x:v>0</x:v>
      </x:c>
    </x:row>
    <x:row r="45">
      <x:c r="A45" s="29" t="str">
        <x:v>Zoomed Square</x:v>
      </x:c>
      <x:c r="B45" s="30" t="n">
        <x:v>100</x:v>
      </x:c>
      <x:c r="C45" s="31" t="n">
        <x:v>0.7</x:v>
      </x:c>
      <x:c r="D45" s="30" t="n">
        <x:f>COUNTIFS('Pair Results'!$A$2:$A$193,A45,'Pair Results'!$B$2:$B$193,B45,'Pair Results'!$C$2:$C$193,C45)</x:f>
        <x:v>3</x:v>
      </x:c>
      <x:c r="E45" s="30" t="n">
        <x:f>COUNTIFS('Pair Results'!$A$2:$A$193,A45,'Pair Results'!$B$2:$B$193,B45,'Pair Results'!$C$2:$C$193,C45,'Pair Results'!$S$2:$S$193,1)</x:f>
        <x:v>3</x:v>
      </x:c>
      <x:c r="F45" s="32" t="n">
        <x:f>IF(E45=0,"",AVERAGEIFS('Pair Results'!$L$2:$L$193,'Pair Results'!$A$2:$A$193,A45,'Pair Results'!$B$2:$B$193,B45,'Pair Results'!$C$2:$C$193,C45,'Pair Results'!$S$2:$S$193,1))</x:f>
        <x:v>37.666666666666664</x:v>
      </x:c>
      <x:c r="G45" s="32" t="n">
        <x:f>IF(E45=0,"",AVERAGEIFS('Pair Results'!$P$2:$P$193,'Pair Results'!$A$2:$A$193,A45,'Pair Results'!$B$2:$B$193,B45,'Pair Results'!$C$2:$C$193,C45,'Pair Results'!$S$2:$S$193,1))</x:f>
        <x:v>36</x:v>
      </x:c>
      <x:c r="H45" s="32" t="n">
        <x:f>IF(E45=0,"",G45-F45)</x:f>
        <x:v>-1.6666666666666643</x:v>
      </x:c>
      <x:c r="I45" s="30" t="n">
        <x:f>COUNTIFS('Pair Results'!$A$2:$A$193,A45,'Pair Results'!$B$2:$B$193,B45,'Pair Results'!$C$2:$C$193,C45,'Pair Results'!$Z$2:$Z$193,"Collision")</x:f>
        <x:v>2</x:v>
      </x:c>
      <x:c r="J45" s="30" t="n">
        <x:f>COUNTIFS('Pair Results'!$A$2:$A$193,A45,'Pair Results'!$B$2:$B$193,B45,'Pair Results'!$C$2:$C$193,C45,'Pair Results'!$Z$2:$Z$193,"Entropy")</x:f>
        <x:v>0</x:v>
      </x:c>
      <x:c r="K45" s="30" t="n">
        <x:f>COUNTIFS('Pair Results'!$A$2:$A$193,A45,'Pair Results'!$B$2:$B$193,B45,'Pair Results'!$C$2:$C$193,C45,'Pair Results'!$Z$2:$Z$193,"Tie")</x:f>
        <x:v>1</x:v>
      </x:c>
      <x:c r="L45" s="33" t="n">
        <x:f>AVERAGEIFS('Pair Results'!$M$2:$M$193,'Pair Results'!$A$2:$A$193,A45,'Pair Results'!$B$2:$B$193,B45,'Pair Results'!$C$2:$C$193,C45)</x:f>
        <x:v>0.09384546669510503</x:v>
      </x:c>
      <x:c r="M45" s="33" t="n">
        <x:f>AVERAGEIFS('Pair Results'!$Q$2:$Q$193,'Pair Results'!$A$2:$A$193,A45,'Pair Results'!$B$2:$B$193,B45,'Pair Results'!$C$2:$C$193,C45)</x:f>
        <x:v>0.0816875333354498</x:v>
      </x:c>
      <x:c r="N45" s="35" t="n">
        <x:f>M45/L45</x:f>
        <x:v>0.8704473024876609</x:v>
      </x:c>
      <x:c r="O45" s="191" t="n">
        <x:f>COUNTIFS('Pair Results'!$A$2:$A$193,A45,'Pair Results'!$B$2:$B$193,B45,'Pair Results'!$C$2:$C$193,C45,'Pair Results'!$N$2:$N$193,1)/D45</x:f>
        <x:v>1</x:v>
      </x:c>
      <x:c r="P45" s="191" t="n">
        <x:f>COUNTIFS('Pair Results'!$A$2:$A$193,A45,'Pair Results'!$B$2:$B$193,B45,'Pair Results'!$C$2:$C$193,C45,'Pair Results'!$R$2:$R$193,1)/D45</x:f>
        <x:v>1</x:v>
      </x:c>
      <x:c r="Q45" s="30" t="n">
        <x:f>COUNTIFS('Pair Results'!$A$2:$A$193,A45,'Pair Results'!$B$2:$B$193,B45,'Pair Results'!$C$2:$C$193,C45,'Pair Results'!$AB$2:$AB$193,"large_and_invalid")</x:f>
        <x:v>0</x:v>
      </x:c>
    </x:row>
    <x:row r="46">
      <x:c r="A46" s="29" t="str">
        <x:v>Zoomed Square</x:v>
      </x:c>
      <x:c r="B46" s="30" t="n">
        <x:v>200</x:v>
      </x:c>
      <x:c r="C46" s="31" t="n">
        <x:v>0.1</x:v>
      </x:c>
      <x:c r="D46" s="30" t="n">
        <x:f>COUNTIFS('Pair Results'!$A$2:$A$193,A46,'Pair Results'!$B$2:$B$193,B46,'Pair Results'!$C$2:$C$193,C46)</x:f>
        <x:v>3</x:v>
      </x:c>
      <x:c r="E46" s="30" t="n">
        <x:f>COUNTIFS('Pair Results'!$A$2:$A$193,A46,'Pair Results'!$B$2:$B$193,B46,'Pair Results'!$C$2:$C$193,C46,'Pair Results'!$S$2:$S$193,1)</x:f>
        <x:v>3</x:v>
      </x:c>
      <x:c r="F46" s="32" t="n">
        <x:f>IF(E46=0,"",AVERAGEIFS('Pair Results'!$L$2:$L$193,'Pair Results'!$A$2:$A$193,A46,'Pair Results'!$B$2:$B$193,B46,'Pair Results'!$C$2:$C$193,C46,'Pair Results'!$S$2:$S$193,1))</x:f>
        <x:v>40.666666666666664</x:v>
      </x:c>
      <x:c r="G46" s="32" t="n">
        <x:f>IF(E46=0,"",AVERAGEIFS('Pair Results'!$P$2:$P$193,'Pair Results'!$A$2:$A$193,A46,'Pair Results'!$B$2:$B$193,B46,'Pair Results'!$C$2:$C$193,C46,'Pair Results'!$S$2:$S$193,1))</x:f>
        <x:v>40.666666666666664</x:v>
      </x:c>
      <x:c r="H46" s="32" t="n">
        <x:f>IF(E46=0,"",G46-F46)</x:f>
        <x:v>0</x:v>
      </x:c>
      <x:c r="I46" s="30" t="n">
        <x:f>COUNTIFS('Pair Results'!$A$2:$A$193,A46,'Pair Results'!$B$2:$B$193,B46,'Pair Results'!$C$2:$C$193,C46,'Pair Results'!$Z$2:$Z$193,"Collision")</x:f>
        <x:v>1</x:v>
      </x:c>
      <x:c r="J46" s="30" t="n">
        <x:f>COUNTIFS('Pair Results'!$A$2:$A$193,A46,'Pair Results'!$B$2:$B$193,B46,'Pair Results'!$C$2:$C$193,C46,'Pair Results'!$Z$2:$Z$193,"Entropy")</x:f>
        <x:v>1</x:v>
      </x:c>
      <x:c r="K46" s="30" t="n">
        <x:f>COUNTIFS('Pair Results'!$A$2:$A$193,A46,'Pair Results'!$B$2:$B$193,B46,'Pair Results'!$C$2:$C$193,C46,'Pair Results'!$Z$2:$Z$193,"Tie")</x:f>
        <x:v>1</x:v>
      </x:c>
      <x:c r="L46" s="33" t="n">
        <x:f>AVERAGEIFS('Pair Results'!$M$2:$M$193,'Pair Results'!$A$2:$A$193,A46,'Pair Results'!$B$2:$B$193,B46,'Pair Results'!$C$2:$C$193,C46)</x:f>
        <x:v>0.11145223331792901</x:v>
      </x:c>
      <x:c r="M46" s="33" t="n">
        <x:f>AVERAGEIFS('Pair Results'!$Q$2:$Q$193,'Pair Results'!$A$2:$A$193,A46,'Pair Results'!$B$2:$B$193,B46,'Pair Results'!$C$2:$C$193,C46)</x:f>
        <x:v>0.10366586669503401</x:v>
      </x:c>
      <x:c r="N46" s="35" t="n">
        <x:f>M46/L46</x:f>
        <x:v>0.9301371862088794</x:v>
      </x:c>
      <x:c r="O46" s="191" t="n">
        <x:f>COUNTIFS('Pair Results'!$A$2:$A$193,A46,'Pair Results'!$B$2:$B$193,B46,'Pair Results'!$C$2:$C$193,C46,'Pair Results'!$N$2:$N$193,1)/D46</x:f>
        <x:v>1</x:v>
      </x:c>
      <x:c r="P46" s="191" t="n">
        <x:f>COUNTIFS('Pair Results'!$A$2:$A$193,A46,'Pair Results'!$B$2:$B$193,B46,'Pair Results'!$C$2:$C$193,C46,'Pair Results'!$R$2:$R$193,1)/D46</x:f>
        <x:v>1</x:v>
      </x:c>
      <x:c r="Q46" s="30" t="n">
        <x:f>COUNTIFS('Pair Results'!$A$2:$A$193,A46,'Pair Results'!$B$2:$B$193,B46,'Pair Results'!$C$2:$C$193,C46,'Pair Results'!$AB$2:$AB$193,"large_and_invalid")</x:f>
        <x:v>0</x:v>
      </x:c>
    </x:row>
    <x:row r="47">
      <x:c r="A47" s="29" t="str">
        <x:v>Zoomed Square</x:v>
      </x:c>
      <x:c r="B47" s="30" t="n">
        <x:v>200</x:v>
      </x:c>
      <x:c r="C47" s="31" t="n">
        <x:v>0.3</x:v>
      </x:c>
      <x:c r="D47" s="30" t="n">
        <x:f>COUNTIFS('Pair Results'!$A$2:$A$193,A47,'Pair Results'!$B$2:$B$193,B47,'Pair Results'!$C$2:$C$193,C47)</x:f>
        <x:v>3</x:v>
      </x:c>
      <x:c r="E47" s="30" t="n">
        <x:f>COUNTIFS('Pair Results'!$A$2:$A$193,A47,'Pair Results'!$B$2:$B$193,B47,'Pair Results'!$C$2:$C$193,C47,'Pair Results'!$S$2:$S$193,1)</x:f>
        <x:v>3</x:v>
      </x:c>
      <x:c r="F47" s="32" t="n">
        <x:f>IF(E47=0,"",AVERAGEIFS('Pair Results'!$L$2:$L$193,'Pair Results'!$A$2:$A$193,A47,'Pair Results'!$B$2:$B$193,B47,'Pair Results'!$C$2:$C$193,C47,'Pair Results'!$S$2:$S$193,1))</x:f>
        <x:v>32.333333333333336</x:v>
      </x:c>
      <x:c r="G47" s="32" t="n">
        <x:f>IF(E47=0,"",AVERAGEIFS('Pair Results'!$P$2:$P$193,'Pair Results'!$A$2:$A$193,A47,'Pair Results'!$B$2:$B$193,B47,'Pair Results'!$C$2:$C$193,C47,'Pair Results'!$S$2:$S$193,1))</x:f>
        <x:v>30.333333333333332</x:v>
      </x:c>
      <x:c r="H47" s="32" t="n">
        <x:f>IF(E47=0,"",G47-F47)</x:f>
        <x:v>-2.0000000000000036</x:v>
      </x:c>
      <x:c r="I47" s="30" t="n">
        <x:f>COUNTIFS('Pair Results'!$A$2:$A$193,A47,'Pair Results'!$B$2:$B$193,B47,'Pair Results'!$C$2:$C$193,C47,'Pair Results'!$Z$2:$Z$193,"Collision")</x:f>
        <x:v>2</x:v>
      </x:c>
      <x:c r="J47" s="30" t="n">
        <x:f>COUNTIFS('Pair Results'!$A$2:$A$193,A47,'Pair Results'!$B$2:$B$193,B47,'Pair Results'!$C$2:$C$193,C47,'Pair Results'!$Z$2:$Z$193,"Entropy")</x:f>
        <x:v>0</x:v>
      </x:c>
      <x:c r="K47" s="30" t="n">
        <x:f>COUNTIFS('Pair Results'!$A$2:$A$193,A47,'Pair Results'!$B$2:$B$193,B47,'Pair Results'!$C$2:$C$193,C47,'Pair Results'!$Z$2:$Z$193,"Tie")</x:f>
        <x:v>1</x:v>
      </x:c>
      <x:c r="L47" s="33" t="n">
        <x:f>AVERAGEIFS('Pair Results'!$M$2:$M$193,'Pair Results'!$A$2:$A$193,A47,'Pair Results'!$B$2:$B$193,B47,'Pair Results'!$C$2:$C$193,C47)</x:f>
        <x:v>0.1228905333361278</x:v>
      </x:c>
      <x:c r="M47" s="33" t="n">
        <x:f>AVERAGEIFS('Pair Results'!$Q$2:$Q$193,'Pair Results'!$A$2:$A$193,A47,'Pair Results'!$B$2:$B$193,B47,'Pair Results'!$C$2:$C$193,C47)</x:f>
        <x:v>0.08805006664867203</x:v>
      </x:c>
      <x:c r="N47" s="35" t="n">
        <x:f>M47/L47</x:f>
        <x:v>0.7164918587165636</x:v>
      </x:c>
      <x:c r="O47" s="191" t="n">
        <x:f>COUNTIFS('Pair Results'!$A$2:$A$193,A47,'Pair Results'!$B$2:$B$193,B47,'Pair Results'!$C$2:$C$193,C47,'Pair Results'!$N$2:$N$193,1)/D47</x:f>
        <x:v>1</x:v>
      </x:c>
      <x:c r="P47" s="191" t="n">
        <x:f>COUNTIFS('Pair Results'!$A$2:$A$193,A47,'Pair Results'!$B$2:$B$193,B47,'Pair Results'!$C$2:$C$193,C47,'Pair Results'!$R$2:$R$193,1)/D47</x:f>
        <x:v>1</x:v>
      </x:c>
      <x:c r="Q47" s="30" t="n">
        <x:f>COUNTIFS('Pair Results'!$A$2:$A$193,A47,'Pair Results'!$B$2:$B$193,B47,'Pair Results'!$C$2:$C$193,C47,'Pair Results'!$AB$2:$AB$193,"large_and_invalid")</x:f>
        <x:v>0</x:v>
      </x:c>
    </x:row>
    <x:row r="48">
      <x:c r="A48" s="29" t="str">
        <x:v>Zoomed Square</x:v>
      </x:c>
      <x:c r="B48" s="30" t="n">
        <x:v>200</x:v>
      </x:c>
      <x:c r="C48" s="31" t="n">
        <x:v>0.5</x:v>
      </x:c>
      <x:c r="D48" s="30" t="n">
        <x:f>COUNTIFS('Pair Results'!$A$2:$A$193,A48,'Pair Results'!$B$2:$B$193,B48,'Pair Results'!$C$2:$C$193,C48)</x:f>
        <x:v>3</x:v>
      </x:c>
      <x:c r="E48" s="30" t="n">
        <x:f>COUNTIFS('Pair Results'!$A$2:$A$193,A48,'Pair Results'!$B$2:$B$193,B48,'Pair Results'!$C$2:$C$193,C48,'Pair Results'!$S$2:$S$193,1)</x:f>
        <x:v>3</x:v>
      </x:c>
      <x:c r="F48" s="32" t="n">
        <x:f>IF(E48=0,"",AVERAGEIFS('Pair Results'!$L$2:$L$193,'Pair Results'!$A$2:$A$193,A48,'Pair Results'!$B$2:$B$193,B48,'Pair Results'!$C$2:$C$193,C48,'Pair Results'!$S$2:$S$193,1))</x:f>
        <x:v>45.666666666666664</x:v>
      </x:c>
      <x:c r="G48" s="32" t="n">
        <x:f>IF(E48=0,"",AVERAGEIFS('Pair Results'!$P$2:$P$193,'Pair Results'!$A$2:$A$193,A48,'Pair Results'!$B$2:$B$193,B48,'Pair Results'!$C$2:$C$193,C48,'Pair Results'!$S$2:$S$193,1))</x:f>
        <x:v>43</x:v>
      </x:c>
      <x:c r="H48" s="32" t="n">
        <x:f>IF(E48=0,"",G48-F48)</x:f>
        <x:v>-2.6666666666666643</x:v>
      </x:c>
      <x:c r="I48" s="30" t="n">
        <x:f>COUNTIFS('Pair Results'!$A$2:$A$193,A48,'Pair Results'!$B$2:$B$193,B48,'Pair Results'!$C$2:$C$193,C48,'Pair Results'!$Z$2:$Z$193,"Collision")</x:f>
        <x:v>3</x:v>
      </x:c>
      <x:c r="J48" s="30" t="n">
        <x:f>COUNTIFS('Pair Results'!$A$2:$A$193,A48,'Pair Results'!$B$2:$B$193,B48,'Pair Results'!$C$2:$C$193,C48,'Pair Results'!$Z$2:$Z$193,"Entropy")</x:f>
        <x:v>0</x:v>
      </x:c>
      <x:c r="K48" s="30" t="n">
        <x:f>COUNTIFS('Pair Results'!$A$2:$A$193,A48,'Pair Results'!$B$2:$B$193,B48,'Pair Results'!$C$2:$C$193,C48,'Pair Results'!$Z$2:$Z$193,"Tie")</x:f>
        <x:v>0</x:v>
      </x:c>
      <x:c r="L48" s="33" t="n">
        <x:f>AVERAGEIFS('Pair Results'!$M$2:$M$193,'Pair Results'!$A$2:$A$193,A48,'Pair Results'!$B$2:$B$193,B48,'Pair Results'!$C$2:$C$193,C48)</x:f>
        <x:v>0.2896621666538219</x:v>
      </x:c>
      <x:c r="M48" s="33" t="n">
        <x:f>AVERAGEIFS('Pair Results'!$Q$2:$Q$193,'Pair Results'!$A$2:$A$193,A48,'Pair Results'!$B$2:$B$193,B48,'Pair Results'!$C$2:$C$193,C48)</x:f>
        <x:v>0.25392913333295536</x:v>
      </x:c>
      <x:c r="N48" s="35" t="n">
        <x:f>M48/L48</x:f>
        <x:v>0.8766389351648695</x:v>
      </x:c>
      <x:c r="O48" s="191" t="n">
        <x:f>COUNTIFS('Pair Results'!$A$2:$A$193,A48,'Pair Results'!$B$2:$B$193,B48,'Pair Results'!$C$2:$C$193,C48,'Pair Results'!$N$2:$N$193,1)/D48</x:f>
        <x:v>1</x:v>
      </x:c>
      <x:c r="P48" s="191" t="n">
        <x:f>COUNTIFS('Pair Results'!$A$2:$A$193,A48,'Pair Results'!$B$2:$B$193,B48,'Pair Results'!$C$2:$C$193,C48,'Pair Results'!$R$2:$R$193,1)/D48</x:f>
        <x:v>1</x:v>
      </x:c>
      <x:c r="Q48" s="30" t="n">
        <x:f>COUNTIFS('Pair Results'!$A$2:$A$193,A48,'Pair Results'!$B$2:$B$193,B48,'Pair Results'!$C$2:$C$193,C48,'Pair Results'!$AB$2:$AB$193,"large_and_invalid")</x:f>
        <x:v>0</x:v>
      </x:c>
    </x:row>
    <x:row r="49">
      <x:c r="A49" s="29" t="str">
        <x:v>Zoomed Square</x:v>
      </x:c>
      <x:c r="B49" s="30" t="n">
        <x:v>200</x:v>
      </x:c>
      <x:c r="C49" s="31" t="n">
        <x:v>0.7</x:v>
      </x:c>
      <x:c r="D49" s="30" t="n">
        <x:f>COUNTIFS('Pair Results'!$A$2:$A$193,A49,'Pair Results'!$B$2:$B$193,B49,'Pair Results'!$C$2:$C$193,C49)</x:f>
        <x:v>3</x:v>
      </x:c>
      <x:c r="E49" s="30" t="n">
        <x:f>COUNTIFS('Pair Results'!$A$2:$A$193,A49,'Pair Results'!$B$2:$B$193,B49,'Pair Results'!$C$2:$C$193,C49,'Pair Results'!$S$2:$S$193,1)</x:f>
        <x:v>3</x:v>
      </x:c>
      <x:c r="F49" s="32" t="n">
        <x:f>IF(E49=0,"",AVERAGEIFS('Pair Results'!$L$2:$L$193,'Pair Results'!$A$2:$A$193,A49,'Pair Results'!$B$2:$B$193,B49,'Pair Results'!$C$2:$C$193,C49,'Pair Results'!$S$2:$S$193,1))</x:f>
        <x:v>65.33333333333333</x:v>
      </x:c>
      <x:c r="G49" s="32" t="n">
        <x:f>IF(E49=0,"",AVERAGEIFS('Pair Results'!$P$2:$P$193,'Pair Results'!$A$2:$A$193,A49,'Pair Results'!$B$2:$B$193,B49,'Pair Results'!$C$2:$C$193,C49,'Pair Results'!$S$2:$S$193,1))</x:f>
        <x:v>63</x:v>
      </x:c>
      <x:c r="H49" s="32" t="n">
        <x:f>IF(E49=0,"",G49-F49)</x:f>
        <x:v>-2.3333333333333286</x:v>
      </x:c>
      <x:c r="I49" s="30" t="n">
        <x:f>COUNTIFS('Pair Results'!$A$2:$A$193,A49,'Pair Results'!$B$2:$B$193,B49,'Pair Results'!$C$2:$C$193,C49,'Pair Results'!$Z$2:$Z$193,"Collision")</x:f>
        <x:v>3</x:v>
      </x:c>
      <x:c r="J49" s="30" t="n">
        <x:f>COUNTIFS('Pair Results'!$A$2:$A$193,A49,'Pair Results'!$B$2:$B$193,B49,'Pair Results'!$C$2:$C$193,C49,'Pair Results'!$Z$2:$Z$193,"Entropy")</x:f>
        <x:v>0</x:v>
      </x:c>
      <x:c r="K49" s="30" t="n">
        <x:f>COUNTIFS('Pair Results'!$A$2:$A$193,A49,'Pair Results'!$B$2:$B$193,B49,'Pair Results'!$C$2:$C$193,C49,'Pair Results'!$Z$2:$Z$193,"Tie")</x:f>
        <x:v>0</x:v>
      </x:c>
      <x:c r="L49" s="33" t="n">
        <x:f>AVERAGEIFS('Pair Results'!$M$2:$M$193,'Pair Results'!$A$2:$A$193,A49,'Pair Results'!$B$2:$B$193,B49,'Pair Results'!$C$2:$C$193,C49)</x:f>
        <x:v>0.4471741000112767</x:v>
      </x:c>
      <x:c r="M49" s="33" t="n">
        <x:f>AVERAGEIFS('Pair Results'!$Q$2:$Q$193,'Pair Results'!$A$2:$A$193,A49,'Pair Results'!$B$2:$B$193,B49,'Pair Results'!$C$2:$C$193,C49)</x:f>
        <x:v>0.4627397000246371</x:v>
      </x:c>
      <x:c r="N49" s="35" t="n">
        <x:f>M49/L49</x:f>
        <x:v>1.0348088138668314</x:v>
      </x:c>
      <x:c r="O49" s="191" t="n">
        <x:f>COUNTIFS('Pair Results'!$A$2:$A$193,A49,'Pair Results'!$B$2:$B$193,B49,'Pair Results'!$C$2:$C$193,C49,'Pair Results'!$N$2:$N$193,1)/D49</x:f>
        <x:v>1</x:v>
      </x:c>
      <x:c r="P49" s="191" t="n">
        <x:f>COUNTIFS('Pair Results'!$A$2:$A$193,A49,'Pair Results'!$B$2:$B$193,B49,'Pair Results'!$C$2:$C$193,C49,'Pair Results'!$R$2:$R$193,1)/D49</x:f>
        <x:v>1</x:v>
      </x:c>
      <x:c r="Q49" s="30" t="n">
        <x:f>COUNTIFS('Pair Results'!$A$2:$A$193,A49,'Pair Results'!$B$2:$B$193,B49,'Pair Results'!$C$2:$C$193,C49,'Pair Results'!$AB$2:$AB$193,"large_and_invalid")</x:f>
        <x:v>0</x:v>
      </x:c>
    </x:row>
    <x:row r="50">
      <x:c r="A50" s="29" t="str">
        <x:v>Zoomed Square</x:v>
      </x:c>
      <x:c r="B50" s="30" t="n">
        <x:v>500</x:v>
      </x:c>
      <x:c r="C50" s="31" t="n">
        <x:v>0.1</x:v>
      </x:c>
      <x:c r="D50" s="30" t="n">
        <x:f>COUNTIFS('Pair Results'!$A$2:$A$193,A50,'Pair Results'!$B$2:$B$193,B50,'Pair Results'!$C$2:$C$193,C50)</x:f>
        <x:v>3</x:v>
      </x:c>
      <x:c r="E50" s="30" t="n">
        <x:f>COUNTIFS('Pair Results'!$A$2:$A$193,A50,'Pair Results'!$B$2:$B$193,B50,'Pair Results'!$C$2:$C$193,C50,'Pair Results'!$S$2:$S$193,1)</x:f>
        <x:v>3</x:v>
      </x:c>
      <x:c r="F50" s="32" t="n">
        <x:f>IF(E50=0,"",AVERAGEIFS('Pair Results'!$L$2:$L$193,'Pair Results'!$A$2:$A$193,A50,'Pair Results'!$B$2:$B$193,B50,'Pair Results'!$C$2:$C$193,C50,'Pair Results'!$S$2:$S$193,1))</x:f>
        <x:v>57.333333333333336</x:v>
      </x:c>
      <x:c r="G50" s="32" t="n">
        <x:f>IF(E50=0,"",AVERAGEIFS('Pair Results'!$P$2:$P$193,'Pair Results'!$A$2:$A$193,A50,'Pair Results'!$B$2:$B$193,B50,'Pair Results'!$C$2:$C$193,C50,'Pair Results'!$S$2:$S$193,1))</x:f>
        <x:v>56.333333333333336</x:v>
      </x:c>
      <x:c r="H50" s="32" t="n">
        <x:f>IF(E50=0,"",G50-F50)</x:f>
        <x:v>-1</x:v>
      </x:c>
      <x:c r="I50" s="30" t="n">
        <x:f>COUNTIFS('Pair Results'!$A$2:$A$193,A50,'Pair Results'!$B$2:$B$193,B50,'Pair Results'!$C$2:$C$193,C50,'Pair Results'!$Z$2:$Z$193,"Collision")</x:f>
        <x:v>2</x:v>
      </x:c>
      <x:c r="J50" s="30" t="n">
        <x:f>COUNTIFS('Pair Results'!$A$2:$A$193,A50,'Pair Results'!$B$2:$B$193,B50,'Pair Results'!$C$2:$C$193,C50,'Pair Results'!$Z$2:$Z$193,"Entropy")</x:f>
        <x:v>1</x:v>
      </x:c>
      <x:c r="K50" s="30" t="n">
        <x:f>COUNTIFS('Pair Results'!$A$2:$A$193,A50,'Pair Results'!$B$2:$B$193,B50,'Pair Results'!$C$2:$C$193,C50,'Pair Results'!$Z$2:$Z$193,"Tie")</x:f>
        <x:v>0</x:v>
      </x:c>
      <x:c r="L50" s="33" t="n">
        <x:f>AVERAGEIFS('Pair Results'!$M$2:$M$193,'Pair Results'!$A$2:$A$193,A50,'Pair Results'!$B$2:$B$193,B50,'Pair Results'!$C$2:$C$193,C50)</x:f>
        <x:v>0.9252127000363544</x:v>
      </x:c>
      <x:c r="M50" s="33" t="n">
        <x:f>AVERAGEIFS('Pair Results'!$Q$2:$Q$193,'Pair Results'!$A$2:$A$193,A50,'Pair Results'!$B$2:$B$193,B50,'Pair Results'!$C$2:$C$193,C50)</x:f>
        <x:v>0.8082902999982858</x:v>
      </x:c>
      <x:c r="N50" s="35" t="n">
        <x:f>M50/L50</x:f>
        <x:v>0.8736264644513912</x:v>
      </x:c>
      <x:c r="O50" s="191" t="n">
        <x:f>COUNTIFS('Pair Results'!$A$2:$A$193,A50,'Pair Results'!$B$2:$B$193,B50,'Pair Results'!$C$2:$C$193,C50,'Pair Results'!$N$2:$N$193,1)/D50</x:f>
        <x:v>1</x:v>
      </x:c>
      <x:c r="P50" s="191" t="n">
        <x:f>COUNTIFS('Pair Results'!$A$2:$A$193,A50,'Pair Results'!$B$2:$B$193,B50,'Pair Results'!$C$2:$C$193,C50,'Pair Results'!$R$2:$R$193,1)/D50</x:f>
        <x:v>1</x:v>
      </x:c>
      <x:c r="Q50" s="30" t="n">
        <x:f>COUNTIFS('Pair Results'!$A$2:$A$193,A50,'Pair Results'!$B$2:$B$193,B50,'Pair Results'!$C$2:$C$193,C50,'Pair Results'!$AB$2:$AB$193,"large_and_invalid")</x:f>
        <x:v>0</x:v>
      </x:c>
    </x:row>
    <x:row r="51">
      <x:c r="A51" s="29" t="str">
        <x:v>Zoomed Square</x:v>
      </x:c>
      <x:c r="B51" s="30" t="n">
        <x:v>500</x:v>
      </x:c>
      <x:c r="C51" s="31" t="n">
        <x:v>0.3</x:v>
      </x:c>
      <x:c r="D51" s="30" t="n">
        <x:f>COUNTIFS('Pair Results'!$A$2:$A$193,A51,'Pair Results'!$B$2:$B$193,B51,'Pair Results'!$C$2:$C$193,C51)</x:f>
        <x:v>3</x:v>
      </x:c>
      <x:c r="E51" s="30" t="n">
        <x:f>COUNTIFS('Pair Results'!$A$2:$A$193,A51,'Pair Results'!$B$2:$B$193,B51,'Pair Results'!$C$2:$C$193,C51,'Pair Results'!$S$2:$S$193,1)</x:f>
        <x:v>3</x:v>
      </x:c>
      <x:c r="F51" s="32" t="n">
        <x:f>IF(E51=0,"",AVERAGEIFS('Pair Results'!$L$2:$L$193,'Pair Results'!$A$2:$A$193,A51,'Pair Results'!$B$2:$B$193,B51,'Pair Results'!$C$2:$C$193,C51,'Pair Results'!$S$2:$S$193,1))</x:f>
        <x:v>62.333333333333336</x:v>
      </x:c>
      <x:c r="G51" s="32" t="n">
        <x:f>IF(E51=0,"",AVERAGEIFS('Pair Results'!$P$2:$P$193,'Pair Results'!$A$2:$A$193,A51,'Pair Results'!$B$2:$B$193,B51,'Pair Results'!$C$2:$C$193,C51,'Pair Results'!$S$2:$S$193,1))</x:f>
        <x:v>61.333333333333336</x:v>
      </x:c>
      <x:c r="H51" s="32" t="n">
        <x:f>IF(E51=0,"",G51-F51)</x:f>
        <x:v>-1</x:v>
      </x:c>
      <x:c r="I51" s="30" t="n">
        <x:f>COUNTIFS('Pair Results'!$A$2:$A$193,A51,'Pair Results'!$B$2:$B$193,B51,'Pair Results'!$C$2:$C$193,C51,'Pair Results'!$Z$2:$Z$193,"Collision")</x:f>
        <x:v>2</x:v>
      </x:c>
      <x:c r="J51" s="30" t="n">
        <x:f>COUNTIFS('Pair Results'!$A$2:$A$193,A51,'Pair Results'!$B$2:$B$193,B51,'Pair Results'!$C$2:$C$193,C51,'Pair Results'!$Z$2:$Z$193,"Entropy")</x:f>
        <x:v>1</x:v>
      </x:c>
      <x:c r="K51" s="30" t="n">
        <x:f>COUNTIFS('Pair Results'!$A$2:$A$193,A51,'Pair Results'!$B$2:$B$193,B51,'Pair Results'!$C$2:$C$193,C51,'Pair Results'!$Z$2:$Z$193,"Tie")</x:f>
        <x:v>0</x:v>
      </x:c>
      <x:c r="L51" s="33" t="n">
        <x:f>AVERAGEIFS('Pair Results'!$M$2:$M$193,'Pair Results'!$A$2:$A$193,A51,'Pair Results'!$B$2:$B$193,B51,'Pair Results'!$C$2:$C$193,C51)</x:f>
        <x:v>1.2966011666770403</x:v>
      </x:c>
      <x:c r="M51" s="33" t="n">
        <x:f>AVERAGEIFS('Pair Results'!$Q$2:$Q$193,'Pair Results'!$A$2:$A$193,A51,'Pair Results'!$B$2:$B$193,B51,'Pair Results'!$C$2:$C$193,C51)</x:f>
        <x:v>0.9981176333579546</x:v>
      </x:c>
      <x:c r="N51" s="35" t="n">
        <x:f>M51/L51</x:f>
        <x:v>0.7697954151282724</x:v>
      </x:c>
      <x:c r="O51" s="191" t="n">
        <x:f>COUNTIFS('Pair Results'!$A$2:$A$193,A51,'Pair Results'!$B$2:$B$193,B51,'Pair Results'!$C$2:$C$193,C51,'Pair Results'!$N$2:$N$193,1)/D51</x:f>
        <x:v>1</x:v>
      </x:c>
      <x:c r="P51" s="191" t="n">
        <x:f>COUNTIFS('Pair Results'!$A$2:$A$193,A51,'Pair Results'!$B$2:$B$193,B51,'Pair Results'!$C$2:$C$193,C51,'Pair Results'!$R$2:$R$193,1)/D51</x:f>
        <x:v>1</x:v>
      </x:c>
      <x:c r="Q51" s="30" t="n">
        <x:f>COUNTIFS('Pair Results'!$A$2:$A$193,A51,'Pair Results'!$B$2:$B$193,B51,'Pair Results'!$C$2:$C$193,C51,'Pair Results'!$AB$2:$AB$193,"large_and_invalid")</x:f>
        <x:v>0</x:v>
      </x:c>
    </x:row>
    <x:row r="52">
      <x:c r="A52" s="29" t="str">
        <x:v>Zoomed Square</x:v>
      </x:c>
      <x:c r="B52" s="30" t="n">
        <x:v>500</x:v>
      </x:c>
      <x:c r="C52" s="31" t="n">
        <x:v>0.5</x:v>
      </x:c>
      <x:c r="D52" s="30" t="n">
        <x:f>COUNTIFS('Pair Results'!$A$2:$A$193,A52,'Pair Results'!$B$2:$B$193,B52,'Pair Results'!$C$2:$C$193,C52)</x:f>
        <x:v>3</x:v>
      </x:c>
      <x:c r="E52" s="30" t="n">
        <x:f>COUNTIFS('Pair Results'!$A$2:$A$193,A52,'Pair Results'!$B$2:$B$193,B52,'Pair Results'!$C$2:$C$193,C52,'Pair Results'!$S$2:$S$193,1)</x:f>
        <x:v>3</x:v>
      </x:c>
      <x:c r="F52" s="32" t="n">
        <x:f>IF(E52=0,"",AVERAGEIFS('Pair Results'!$L$2:$L$193,'Pair Results'!$A$2:$A$193,A52,'Pair Results'!$B$2:$B$193,B52,'Pair Results'!$C$2:$C$193,C52,'Pair Results'!$S$2:$S$193,1))</x:f>
        <x:v>87.33333333333333</x:v>
      </x:c>
      <x:c r="G52" s="32" t="n">
        <x:f>IF(E52=0,"",AVERAGEIFS('Pair Results'!$P$2:$P$193,'Pair Results'!$A$2:$A$193,A52,'Pair Results'!$B$2:$B$193,B52,'Pair Results'!$C$2:$C$193,C52,'Pair Results'!$S$2:$S$193,1))</x:f>
        <x:v>89</x:v>
      </x:c>
      <x:c r="H52" s="32" t="n">
        <x:f>IF(E52=0,"",G52-F52)</x:f>
        <x:v>1.6666666666666714</x:v>
      </x:c>
      <x:c r="I52" s="30" t="n">
        <x:f>COUNTIFS('Pair Results'!$A$2:$A$193,A52,'Pair Results'!$B$2:$B$193,B52,'Pair Results'!$C$2:$C$193,C52,'Pair Results'!$Z$2:$Z$193,"Collision")</x:f>
        <x:v>0</x:v>
      </x:c>
      <x:c r="J52" s="30" t="n">
        <x:f>COUNTIFS('Pair Results'!$A$2:$A$193,A52,'Pair Results'!$B$2:$B$193,B52,'Pair Results'!$C$2:$C$193,C52,'Pair Results'!$Z$2:$Z$193,"Entropy")</x:f>
        <x:v>2</x:v>
      </x:c>
      <x:c r="K52" s="30" t="n">
        <x:f>COUNTIFS('Pair Results'!$A$2:$A$193,A52,'Pair Results'!$B$2:$B$193,B52,'Pair Results'!$C$2:$C$193,C52,'Pair Results'!$Z$2:$Z$193,"Tie")</x:f>
        <x:v>1</x:v>
      </x:c>
      <x:c r="L52" s="33" t="n">
        <x:f>AVERAGEIFS('Pair Results'!$M$2:$M$193,'Pair Results'!$A$2:$A$193,A52,'Pair Results'!$B$2:$B$193,B52,'Pair Results'!$C$2:$C$193,C52)</x:f>
        <x:v>4.503282333336149</x:v>
      </x:c>
      <x:c r="M52" s="33" t="n">
        <x:f>AVERAGEIFS('Pair Results'!$Q$2:$Q$193,'Pair Results'!$A$2:$A$193,A52,'Pair Results'!$B$2:$B$193,B52,'Pair Results'!$C$2:$C$193,C52)</x:f>
        <x:v>3.3767135333037004</x:v>
      </x:c>
      <x:c r="N52" s="35" t="n">
        <x:f>M52/L52</x:f>
        <x:v>0.749833850813023</x:v>
      </x:c>
      <x:c r="O52" s="191" t="n">
        <x:f>COUNTIFS('Pair Results'!$A$2:$A$193,A52,'Pair Results'!$B$2:$B$193,B52,'Pair Results'!$C$2:$C$193,C52,'Pair Results'!$N$2:$N$193,1)/D52</x:f>
        <x:v>1</x:v>
      </x:c>
      <x:c r="P52" s="191" t="n">
        <x:f>COUNTIFS('Pair Results'!$A$2:$A$193,A52,'Pair Results'!$B$2:$B$193,B52,'Pair Results'!$C$2:$C$193,C52,'Pair Results'!$R$2:$R$193,1)/D52</x:f>
        <x:v>1</x:v>
      </x:c>
      <x:c r="Q52" s="30" t="n">
        <x:f>COUNTIFS('Pair Results'!$A$2:$A$193,A52,'Pair Results'!$B$2:$B$193,B52,'Pair Results'!$C$2:$C$193,C52,'Pair Results'!$AB$2:$AB$193,"large_and_invalid")</x:f>
        <x:v>0</x:v>
      </x:c>
    </x:row>
    <x:row r="53">
      <x:c r="A53" s="29" t="str">
        <x:v>Zoomed Square</x:v>
      </x:c>
      <x:c r="B53" s="30" t="n">
        <x:v>500</x:v>
      </x:c>
      <x:c r="C53" s="31" t="n">
        <x:v>0.7</x:v>
      </x:c>
      <x:c r="D53" s="30" t="n">
        <x:f>COUNTIFS('Pair Results'!$A$2:$A$193,A53,'Pair Results'!$B$2:$B$193,B53,'Pair Results'!$C$2:$C$193,C53)</x:f>
        <x:v>3</x:v>
      </x:c>
      <x:c r="E53" s="30" t="n">
        <x:f>COUNTIFS('Pair Results'!$A$2:$A$193,A53,'Pair Results'!$B$2:$B$193,B53,'Pair Results'!$C$2:$C$193,C53,'Pair Results'!$S$2:$S$193,1)</x:f>
        <x:v>2</x:v>
      </x:c>
      <x:c r="F53" s="32" t="n">
        <x:f>IF(E53=0,"",AVERAGEIFS('Pair Results'!$L$2:$L$193,'Pair Results'!$A$2:$A$193,A53,'Pair Results'!$B$2:$B$193,B53,'Pair Results'!$C$2:$C$193,C53,'Pair Results'!$S$2:$S$193,1))</x:f>
        <x:v>128.5</x:v>
      </x:c>
      <x:c r="G53" s="32" t="n">
        <x:f>IF(E53=0,"",AVERAGEIFS('Pair Results'!$P$2:$P$193,'Pair Results'!$A$2:$A$193,A53,'Pair Results'!$B$2:$B$193,B53,'Pair Results'!$C$2:$C$193,C53,'Pair Results'!$S$2:$S$193,1))</x:f>
        <x:v>109.5</x:v>
      </x:c>
      <x:c r="H53" s="32" t="n">
        <x:f>IF(E53=0,"",G53-F53)</x:f>
        <x:v>-19</x:v>
      </x:c>
      <x:c r="I53" s="30" t="n">
        <x:f>COUNTIFS('Pair Results'!$A$2:$A$193,A53,'Pair Results'!$B$2:$B$193,B53,'Pair Results'!$C$2:$C$193,C53,'Pair Results'!$Z$2:$Z$193,"Collision")</x:f>
        <x:v>2</x:v>
      </x:c>
      <x:c r="J53" s="30" t="n">
        <x:f>COUNTIFS('Pair Results'!$A$2:$A$193,A53,'Pair Results'!$B$2:$B$193,B53,'Pair Results'!$C$2:$C$193,C53,'Pair Results'!$Z$2:$Z$193,"Entropy")</x:f>
        <x:v>0</x:v>
      </x:c>
      <x:c r="K53" s="30" t="n">
        <x:f>COUNTIFS('Pair Results'!$A$2:$A$193,A53,'Pair Results'!$B$2:$B$193,B53,'Pair Results'!$C$2:$C$193,C53,'Pair Results'!$Z$2:$Z$193,"Tie")</x:f>
        <x:v>0</x:v>
      </x:c>
      <x:c r="L53" s="33" t="n">
        <x:f>AVERAGEIFS('Pair Results'!$M$2:$M$193,'Pair Results'!$A$2:$A$193,A53,'Pair Results'!$B$2:$B$193,B53,'Pair Results'!$C$2:$C$193,C53)</x:f>
        <x:v>7.411333733354695</x:v>
      </x:c>
      <x:c r="M53" s="33" t="n">
        <x:f>AVERAGEIFS('Pair Results'!$Q$2:$Q$193,'Pair Results'!$A$2:$A$193,A53,'Pair Results'!$B$2:$B$193,B53,'Pair Results'!$C$2:$C$193,C53)</x:f>
        <x:v>6.42452753331357</x:v>
      </x:c>
      <x:c r="N53" s="35" t="n">
        <x:f>M53/L53</x:f>
        <x:v>0.8668517387632936</x:v>
      </x:c>
      <x:c r="O53" s="191" t="n">
        <x:f>COUNTIFS('Pair Results'!$A$2:$A$193,A53,'Pair Results'!$B$2:$B$193,B53,'Pair Results'!$C$2:$C$193,C53,'Pair Results'!$N$2:$N$193,1)/D53</x:f>
        <x:v>1</x:v>
      </x:c>
      <x:c r="P53" s="191" t="n">
        <x:f>COUNTIFS('Pair Results'!$A$2:$A$193,A53,'Pair Results'!$B$2:$B$193,B53,'Pair Results'!$C$2:$C$193,C53,'Pair Results'!$R$2:$R$193,1)/D53</x:f>
        <x:v>0.6666666666666666</x:v>
      </x:c>
      <x:c r="Q53" s="30" t="n">
        <x:f>COUNTIFS('Pair Results'!$A$2:$A$193,A53,'Pair Results'!$B$2:$B$193,B53,'Pair Results'!$C$2:$C$193,C53,'Pair Results'!$AB$2:$AB$193,"large_and_invalid")</x:f>
        <x:v>1</x:v>
      </x:c>
    </x:row>
    <x:row r="54">
      <x:c r="A54" s="29" t="str">
        <x:v>ICH</x:v>
      </x:c>
      <x:c r="B54" s="30" t="n">
        <x:v>50</x:v>
      </x:c>
      <x:c r="C54" s="31" t="n">
        <x:v>0.1</x:v>
      </x:c>
      <x:c r="D54" s="30" t="n">
        <x:f>COUNTIFS('Pair Results'!$A$2:$A$193,A54,'Pair Results'!$B$2:$B$193,B54,'Pair Results'!$C$2:$C$193,C54)</x:f>
        <x:v>3</x:v>
      </x:c>
      <x:c r="E54" s="30" t="n">
        <x:f>COUNTIFS('Pair Results'!$A$2:$A$193,A54,'Pair Results'!$B$2:$B$193,B54,'Pair Results'!$C$2:$C$193,C54,'Pair Results'!$S$2:$S$193,1)</x:f>
        <x:v>3</x:v>
      </x:c>
      <x:c r="F54" s="32" t="n">
        <x:f>IF(E54=0,"",AVERAGEIFS('Pair Results'!$L$2:$L$193,'Pair Results'!$A$2:$A$193,A54,'Pair Results'!$B$2:$B$193,B54,'Pair Results'!$C$2:$C$193,C54,'Pair Results'!$S$2:$S$193,1))</x:f>
        <x:v>28.333333333333332</x:v>
      </x:c>
      <x:c r="G54" s="32" t="n">
        <x:f>IF(E54=0,"",AVERAGEIFS('Pair Results'!$P$2:$P$193,'Pair Results'!$A$2:$A$193,A54,'Pair Results'!$B$2:$B$193,B54,'Pair Results'!$C$2:$C$193,C54,'Pair Results'!$S$2:$S$193,1))</x:f>
        <x:v>28.333333333333332</x:v>
      </x:c>
      <x:c r="H54" s="32" t="n">
        <x:f>IF(E54=0,"",G54-F54)</x:f>
        <x:v>0</x:v>
      </x:c>
      <x:c r="I54" s="30" t="n">
        <x:f>COUNTIFS('Pair Results'!$A$2:$A$193,A54,'Pair Results'!$B$2:$B$193,B54,'Pair Results'!$C$2:$C$193,C54,'Pair Results'!$Z$2:$Z$193,"Collision")</x:f>
        <x:v>0</x:v>
      </x:c>
      <x:c r="J54" s="30" t="n">
        <x:f>COUNTIFS('Pair Results'!$A$2:$A$193,A54,'Pair Results'!$B$2:$B$193,B54,'Pair Results'!$C$2:$C$193,C54,'Pair Results'!$Z$2:$Z$193,"Entropy")</x:f>
        <x:v>0</x:v>
      </x:c>
      <x:c r="K54" s="30" t="n">
        <x:f>COUNTIFS('Pair Results'!$A$2:$A$193,A54,'Pair Results'!$B$2:$B$193,B54,'Pair Results'!$C$2:$C$193,C54,'Pair Results'!$Z$2:$Z$193,"Tie")</x:f>
        <x:v>3</x:v>
      </x:c>
      <x:c r="L54" s="33" t="n">
        <x:f>AVERAGEIFS('Pair Results'!$M$2:$M$193,'Pair Results'!$A$2:$A$193,A54,'Pair Results'!$B$2:$B$193,B54,'Pair Results'!$C$2:$C$193,C54)</x:f>
        <x:v>0.035691999985526</x:v>
      </x:c>
      <x:c r="M54" s="33" t="n">
        <x:f>AVERAGEIFS('Pair Results'!$Q$2:$Q$193,'Pair Results'!$A$2:$A$193,A54,'Pair Results'!$B$2:$B$193,B54,'Pair Results'!$C$2:$C$193,C54)</x:f>
        <x:v>0.03433816666559627</x:v>
      </x:c>
      <x:c r="N54" s="35" t="n">
        <x:f>M54/L54</x:f>
        <x:v>0.9620689980813979</x:v>
      </x:c>
      <x:c r="O54" s="191" t="n">
        <x:f>COUNTIFS('Pair Results'!$A$2:$A$193,A54,'Pair Results'!$B$2:$B$193,B54,'Pair Results'!$C$2:$C$193,C54,'Pair Results'!$N$2:$N$193,1)/D54</x:f>
        <x:v>1</x:v>
      </x:c>
      <x:c r="P54" s="191" t="n">
        <x:f>COUNTIFS('Pair Results'!$A$2:$A$193,A54,'Pair Results'!$B$2:$B$193,B54,'Pair Results'!$C$2:$C$193,C54,'Pair Results'!$R$2:$R$193,1)/D54</x:f>
        <x:v>1</x:v>
      </x:c>
      <x:c r="Q54" s="30" t="n">
        <x:f>COUNTIFS('Pair Results'!$A$2:$A$193,A54,'Pair Results'!$B$2:$B$193,B54,'Pair Results'!$C$2:$C$193,C54,'Pair Results'!$AB$2:$AB$193,"large_and_invalid")</x:f>
        <x:v>0</x:v>
      </x:c>
    </x:row>
    <x:row r="55">
      <x:c r="A55" s="29" t="str">
        <x:v>ICH</x:v>
      </x:c>
      <x:c r="B55" s="30" t="n">
        <x:v>50</x:v>
      </x:c>
      <x:c r="C55" s="31" t="n">
        <x:v>0.3</x:v>
      </x:c>
      <x:c r="D55" s="30" t="n">
        <x:f>COUNTIFS('Pair Results'!$A$2:$A$193,A55,'Pair Results'!$B$2:$B$193,B55,'Pair Results'!$C$2:$C$193,C55)</x:f>
        <x:v>3</x:v>
      </x:c>
      <x:c r="E55" s="30" t="n">
        <x:f>COUNTIFS('Pair Results'!$A$2:$A$193,A55,'Pair Results'!$B$2:$B$193,B55,'Pair Results'!$C$2:$C$193,C55,'Pair Results'!$S$2:$S$193,1)</x:f>
        <x:v>3</x:v>
      </x:c>
      <x:c r="F55" s="32" t="n">
        <x:f>IF(E55=0,"",AVERAGEIFS('Pair Results'!$L$2:$L$193,'Pair Results'!$A$2:$A$193,A55,'Pair Results'!$B$2:$B$193,B55,'Pair Results'!$C$2:$C$193,C55,'Pair Results'!$S$2:$S$193,1))</x:f>
        <x:v>11</x:v>
      </x:c>
      <x:c r="G55" s="32" t="n">
        <x:f>IF(E55=0,"",AVERAGEIFS('Pair Results'!$P$2:$P$193,'Pair Results'!$A$2:$A$193,A55,'Pair Results'!$B$2:$B$193,B55,'Pair Results'!$C$2:$C$193,C55,'Pair Results'!$S$2:$S$193,1))</x:f>
        <x:v>11</x:v>
      </x:c>
      <x:c r="H55" s="32" t="n">
        <x:f>IF(E55=0,"",G55-F55)</x:f>
        <x:v>0</x:v>
      </x:c>
      <x:c r="I55" s="30" t="n">
        <x:f>COUNTIFS('Pair Results'!$A$2:$A$193,A55,'Pair Results'!$B$2:$B$193,B55,'Pair Results'!$C$2:$C$193,C55,'Pair Results'!$Z$2:$Z$193,"Collision")</x:f>
        <x:v>1</x:v>
      </x:c>
      <x:c r="J55" s="30" t="n">
        <x:f>COUNTIFS('Pair Results'!$A$2:$A$193,A55,'Pair Results'!$B$2:$B$193,B55,'Pair Results'!$C$2:$C$193,C55,'Pair Results'!$Z$2:$Z$193,"Entropy")</x:f>
        <x:v>1</x:v>
      </x:c>
      <x:c r="K55" s="30" t="n">
        <x:f>COUNTIFS('Pair Results'!$A$2:$A$193,A55,'Pair Results'!$B$2:$B$193,B55,'Pair Results'!$C$2:$C$193,C55,'Pair Results'!$Z$2:$Z$193,"Tie")</x:f>
        <x:v>1</x:v>
      </x:c>
      <x:c r="L55" s="33" t="n">
        <x:f>AVERAGEIFS('Pair Results'!$M$2:$M$193,'Pair Results'!$A$2:$A$193,A55,'Pair Results'!$B$2:$B$193,B55,'Pair Results'!$C$2:$C$193,C55)</x:f>
        <x:v>0.024801333318464458</x:v>
      </x:c>
      <x:c r="M55" s="33" t="n">
        <x:f>AVERAGEIFS('Pair Results'!$Q$2:$Q$193,'Pair Results'!$A$2:$A$193,A55,'Pair Results'!$B$2:$B$193,B55,'Pair Results'!$C$2:$C$193,C55)</x:f>
        <x:v>0.022768999993180234</x:v>
      </x:c>
      <x:c r="N55" s="35" t="n">
        <x:f>M55/L55</x:f>
        <x:v>0.9180554811635404</x:v>
      </x:c>
      <x:c r="O55" s="191" t="n">
        <x:f>COUNTIFS('Pair Results'!$A$2:$A$193,A55,'Pair Results'!$B$2:$B$193,B55,'Pair Results'!$C$2:$C$193,C55,'Pair Results'!$N$2:$N$193,1)/D55</x:f>
        <x:v>1</x:v>
      </x:c>
      <x:c r="P55" s="191" t="n">
        <x:f>COUNTIFS('Pair Results'!$A$2:$A$193,A55,'Pair Results'!$B$2:$B$193,B55,'Pair Results'!$C$2:$C$193,C55,'Pair Results'!$R$2:$R$193,1)/D55</x:f>
        <x:v>1</x:v>
      </x:c>
      <x:c r="Q55" s="30" t="n">
        <x:f>COUNTIFS('Pair Results'!$A$2:$A$193,A55,'Pair Results'!$B$2:$B$193,B55,'Pair Results'!$C$2:$C$193,C55,'Pair Results'!$AB$2:$AB$193,"large_and_invalid")</x:f>
        <x:v>0</x:v>
      </x:c>
    </x:row>
    <x:row r="56">
      <x:c r="A56" s="29" t="str">
        <x:v>ICH</x:v>
      </x:c>
      <x:c r="B56" s="30" t="n">
        <x:v>50</x:v>
      </x:c>
      <x:c r="C56" s="31" t="n">
        <x:v>0.5</x:v>
      </x:c>
      <x:c r="D56" s="30" t="n">
        <x:f>COUNTIFS('Pair Results'!$A$2:$A$193,A56,'Pair Results'!$B$2:$B$193,B56,'Pair Results'!$C$2:$C$193,C56)</x:f>
        <x:v>3</x:v>
      </x:c>
      <x:c r="E56" s="30" t="n">
        <x:f>COUNTIFS('Pair Results'!$A$2:$A$193,A56,'Pair Results'!$B$2:$B$193,B56,'Pair Results'!$C$2:$C$193,C56,'Pair Results'!$S$2:$S$193,1)</x:f>
        <x:v>3</x:v>
      </x:c>
      <x:c r="F56" s="32" t="n">
        <x:f>IF(E56=0,"",AVERAGEIFS('Pair Results'!$L$2:$L$193,'Pair Results'!$A$2:$A$193,A56,'Pair Results'!$B$2:$B$193,B56,'Pair Results'!$C$2:$C$193,C56,'Pair Results'!$S$2:$S$193,1))</x:f>
        <x:v>15.666666666666666</x:v>
      </x:c>
      <x:c r="G56" s="32" t="n">
        <x:f>IF(E56=0,"",AVERAGEIFS('Pair Results'!$P$2:$P$193,'Pair Results'!$A$2:$A$193,A56,'Pair Results'!$B$2:$B$193,B56,'Pair Results'!$C$2:$C$193,C56,'Pair Results'!$S$2:$S$193,1))</x:f>
        <x:v>15.333333333333334</x:v>
      </x:c>
      <x:c r="H56" s="32" t="n">
        <x:f>IF(E56=0,"",G56-F56)</x:f>
        <x:v>-0.33333333333333215</x:v>
      </x:c>
      <x:c r="I56" s="30" t="n">
        <x:f>COUNTIFS('Pair Results'!$A$2:$A$193,A56,'Pair Results'!$B$2:$B$193,B56,'Pair Results'!$C$2:$C$193,C56,'Pair Results'!$Z$2:$Z$193,"Collision")</x:f>
        <x:v>1</x:v>
      </x:c>
      <x:c r="J56" s="30" t="n">
        <x:f>COUNTIFS('Pair Results'!$A$2:$A$193,A56,'Pair Results'!$B$2:$B$193,B56,'Pair Results'!$C$2:$C$193,C56,'Pair Results'!$Z$2:$Z$193,"Entropy")</x:f>
        <x:v>0</x:v>
      </x:c>
      <x:c r="K56" s="30" t="n">
        <x:f>COUNTIFS('Pair Results'!$A$2:$A$193,A56,'Pair Results'!$B$2:$B$193,B56,'Pair Results'!$C$2:$C$193,C56,'Pair Results'!$Z$2:$Z$193,"Tie")</x:f>
        <x:v>2</x:v>
      </x:c>
      <x:c r="L56" s="33" t="n">
        <x:f>AVERAGEIFS('Pair Results'!$M$2:$M$193,'Pair Results'!$A$2:$A$193,A56,'Pair Results'!$B$2:$B$193,B56,'Pair Results'!$C$2:$C$193,C56)</x:f>
        <x:v>0.02860416662103186</x:v>
      </x:c>
      <x:c r="M56" s="33" t="n">
        <x:f>AVERAGEIFS('Pair Results'!$Q$2:$Q$193,'Pair Results'!$A$2:$A$193,A56,'Pair Results'!$B$2:$B$193,B56,'Pair Results'!$C$2:$C$193,C56)</x:f>
        <x:v>0.025474966697705288</x:v>
      </x:c>
      <x:c r="N56" s="35" t="n">
        <x:f>M56/L56</x:f>
        <x:v>0.8906033528337176</x:v>
      </x:c>
      <x:c r="O56" s="191" t="n">
        <x:f>COUNTIFS('Pair Results'!$A$2:$A$193,A56,'Pair Results'!$B$2:$B$193,B56,'Pair Results'!$C$2:$C$193,C56,'Pair Results'!$N$2:$N$193,1)/D56</x:f>
        <x:v>1</x:v>
      </x:c>
      <x:c r="P56" s="191" t="n">
        <x:f>COUNTIFS('Pair Results'!$A$2:$A$193,A56,'Pair Results'!$B$2:$B$193,B56,'Pair Results'!$C$2:$C$193,C56,'Pair Results'!$R$2:$R$193,1)/D56</x:f>
        <x:v>1</x:v>
      </x:c>
      <x:c r="Q56" s="30" t="n">
        <x:f>COUNTIFS('Pair Results'!$A$2:$A$193,A56,'Pair Results'!$B$2:$B$193,B56,'Pair Results'!$C$2:$C$193,C56,'Pair Results'!$AB$2:$AB$193,"large_and_invalid")</x:f>
        <x:v>0</x:v>
      </x:c>
    </x:row>
    <x:row r="57">
      <x:c r="A57" s="29" t="str">
        <x:v>ICH</x:v>
      </x:c>
      <x:c r="B57" s="30" t="n">
        <x:v>50</x:v>
      </x:c>
      <x:c r="C57" s="31" t="n">
        <x:v>0.7</x:v>
      </x:c>
      <x:c r="D57" s="30" t="n">
        <x:f>COUNTIFS('Pair Results'!$A$2:$A$193,A57,'Pair Results'!$B$2:$B$193,B57,'Pair Results'!$C$2:$C$193,C57)</x:f>
        <x:v>3</x:v>
      </x:c>
      <x:c r="E57" s="30" t="n">
        <x:f>COUNTIFS('Pair Results'!$A$2:$A$193,A57,'Pair Results'!$B$2:$B$193,B57,'Pair Results'!$C$2:$C$193,C57,'Pair Results'!$S$2:$S$193,1)</x:f>
        <x:v>3</x:v>
      </x:c>
      <x:c r="F57" s="32" t="n">
        <x:f>IF(E57=0,"",AVERAGEIFS('Pair Results'!$L$2:$L$193,'Pair Results'!$A$2:$A$193,A57,'Pair Results'!$B$2:$B$193,B57,'Pair Results'!$C$2:$C$193,C57,'Pair Results'!$S$2:$S$193,1))</x:f>
        <x:v>20.333333333333332</x:v>
      </x:c>
      <x:c r="G57" s="32" t="n">
        <x:f>IF(E57=0,"",AVERAGEIFS('Pair Results'!$P$2:$P$193,'Pair Results'!$A$2:$A$193,A57,'Pair Results'!$B$2:$B$193,B57,'Pair Results'!$C$2:$C$193,C57,'Pair Results'!$S$2:$S$193,1))</x:f>
        <x:v>19.666666666666668</x:v>
      </x:c>
      <x:c r="H57" s="32" t="n">
        <x:f>IF(E57=0,"",G57-F57)</x:f>
        <x:v>-0.6666666666666643</x:v>
      </x:c>
      <x:c r="I57" s="30" t="n">
        <x:f>COUNTIFS('Pair Results'!$A$2:$A$193,A57,'Pair Results'!$B$2:$B$193,B57,'Pair Results'!$C$2:$C$193,C57,'Pair Results'!$Z$2:$Z$193,"Collision")</x:f>
        <x:v>2</x:v>
      </x:c>
      <x:c r="J57" s="30" t="n">
        <x:f>COUNTIFS('Pair Results'!$A$2:$A$193,A57,'Pair Results'!$B$2:$B$193,B57,'Pair Results'!$C$2:$C$193,C57,'Pair Results'!$Z$2:$Z$193,"Entropy")</x:f>
        <x:v>0</x:v>
      </x:c>
      <x:c r="K57" s="30" t="n">
        <x:f>COUNTIFS('Pair Results'!$A$2:$A$193,A57,'Pair Results'!$B$2:$B$193,B57,'Pair Results'!$C$2:$C$193,C57,'Pair Results'!$Z$2:$Z$193,"Tie")</x:f>
        <x:v>1</x:v>
      </x:c>
      <x:c r="L57" s="33" t="n">
        <x:f>AVERAGEIFS('Pair Results'!$M$2:$M$193,'Pair Results'!$A$2:$A$193,A57,'Pair Results'!$B$2:$B$193,B57,'Pair Results'!$C$2:$C$193,C57)</x:f>
        <x:v>0.03035563335288316</x:v>
      </x:c>
      <x:c r="M57" s="33" t="n">
        <x:f>AVERAGEIFS('Pair Results'!$Q$2:$Q$193,'Pair Results'!$A$2:$A$193,A57,'Pair Results'!$B$2:$B$193,B57,'Pair Results'!$C$2:$C$193,C57)</x:f>
        <x:v>0.030258533312007785</x:v>
      </x:c>
      <x:c r="N57" s="35" t="n">
        <x:f>M57/L57</x:f>
        <x:v>0.9968012513609388</x:v>
      </x:c>
      <x:c r="O57" s="191" t="n">
        <x:f>COUNTIFS('Pair Results'!$A$2:$A$193,A57,'Pair Results'!$B$2:$B$193,B57,'Pair Results'!$C$2:$C$193,C57,'Pair Results'!$N$2:$N$193,1)/D57</x:f>
        <x:v>1</x:v>
      </x:c>
      <x:c r="P57" s="191" t="n">
        <x:f>COUNTIFS('Pair Results'!$A$2:$A$193,A57,'Pair Results'!$B$2:$B$193,B57,'Pair Results'!$C$2:$C$193,C57,'Pair Results'!$R$2:$R$193,1)/D57</x:f>
        <x:v>1</x:v>
      </x:c>
      <x:c r="Q57" s="30" t="n">
        <x:f>COUNTIFS('Pair Results'!$A$2:$A$193,A57,'Pair Results'!$B$2:$B$193,B57,'Pair Results'!$C$2:$C$193,C57,'Pair Results'!$AB$2:$AB$193,"large_and_invalid")</x:f>
        <x:v>0</x:v>
      </x:c>
    </x:row>
    <x:row r="58">
      <x:c r="A58" s="29" t="str">
        <x:v>ICH</x:v>
      </x:c>
      <x:c r="B58" s="30" t="n">
        <x:v>100</x:v>
      </x:c>
      <x:c r="C58" s="31" t="n">
        <x:v>0.1</x:v>
      </x:c>
      <x:c r="D58" s="30" t="n">
        <x:f>COUNTIFS('Pair Results'!$A$2:$A$193,A58,'Pair Results'!$B$2:$B$193,B58,'Pair Results'!$C$2:$C$193,C58)</x:f>
        <x:v>3</x:v>
      </x:c>
      <x:c r="E58" s="30" t="n">
        <x:f>COUNTIFS('Pair Results'!$A$2:$A$193,A58,'Pair Results'!$B$2:$B$193,B58,'Pair Results'!$C$2:$C$193,C58,'Pair Results'!$S$2:$S$193,1)</x:f>
        <x:v>3</x:v>
      </x:c>
      <x:c r="F58" s="32" t="n">
        <x:f>IF(E58=0,"",AVERAGEIFS('Pair Results'!$L$2:$L$193,'Pair Results'!$A$2:$A$193,A58,'Pair Results'!$B$2:$B$193,B58,'Pair Results'!$C$2:$C$193,C58,'Pair Results'!$S$2:$S$193,1))</x:f>
        <x:v>38</x:v>
      </x:c>
      <x:c r="G58" s="32" t="n">
        <x:f>IF(E58=0,"",AVERAGEIFS('Pair Results'!$P$2:$P$193,'Pair Results'!$A$2:$A$193,A58,'Pair Results'!$B$2:$B$193,B58,'Pair Results'!$C$2:$C$193,C58,'Pair Results'!$S$2:$S$193,1))</x:f>
        <x:v>38</x:v>
      </x:c>
      <x:c r="H58" s="32" t="n">
        <x:f>IF(E58=0,"",G58-F58)</x:f>
        <x:v>0</x:v>
      </x:c>
      <x:c r="I58" s="30" t="n">
        <x:f>COUNTIFS('Pair Results'!$A$2:$A$193,A58,'Pair Results'!$B$2:$B$193,B58,'Pair Results'!$C$2:$C$193,C58,'Pair Results'!$Z$2:$Z$193,"Collision")</x:f>
        <x:v>0</x:v>
      </x:c>
      <x:c r="J58" s="30" t="n">
        <x:f>COUNTIFS('Pair Results'!$A$2:$A$193,A58,'Pair Results'!$B$2:$B$193,B58,'Pair Results'!$C$2:$C$193,C58,'Pair Results'!$Z$2:$Z$193,"Entropy")</x:f>
        <x:v>0</x:v>
      </x:c>
      <x:c r="K58" s="30" t="n">
        <x:f>COUNTIFS('Pair Results'!$A$2:$A$193,A58,'Pair Results'!$B$2:$B$193,B58,'Pair Results'!$C$2:$C$193,C58,'Pair Results'!$Z$2:$Z$193,"Tie")</x:f>
        <x:v>3</x:v>
      </x:c>
      <x:c r="L58" s="33" t="n">
        <x:f>AVERAGEIFS('Pair Results'!$M$2:$M$193,'Pair Results'!$A$2:$A$193,A58,'Pair Results'!$B$2:$B$193,B58,'Pair Results'!$C$2:$C$193,C58)</x:f>
        <x:v>0.2289572999579832</x:v>
      </x:c>
      <x:c r="M58" s="33" t="n">
        <x:f>AVERAGEIFS('Pair Results'!$Q$2:$Q$193,'Pair Results'!$A$2:$A$193,A58,'Pair Results'!$B$2:$B$193,B58,'Pair Results'!$C$2:$C$193,C58)</x:f>
        <x:v>0.2118498000005881</x:v>
      </x:c>
      <x:c r="N58" s="35" t="n">
        <x:f>M58/L58</x:f>
        <x:v>0.9252808276454406</x:v>
      </x:c>
      <x:c r="O58" s="191" t="n">
        <x:f>COUNTIFS('Pair Results'!$A$2:$A$193,A58,'Pair Results'!$B$2:$B$193,B58,'Pair Results'!$C$2:$C$193,C58,'Pair Results'!$N$2:$N$193,1)/D58</x:f>
        <x:v>1</x:v>
      </x:c>
      <x:c r="P58" s="191" t="n">
        <x:f>COUNTIFS('Pair Results'!$A$2:$A$193,A58,'Pair Results'!$B$2:$B$193,B58,'Pair Results'!$C$2:$C$193,C58,'Pair Results'!$R$2:$R$193,1)/D58</x:f>
        <x:v>1</x:v>
      </x:c>
      <x:c r="Q58" s="30" t="n">
        <x:f>COUNTIFS('Pair Results'!$A$2:$A$193,A58,'Pair Results'!$B$2:$B$193,B58,'Pair Results'!$C$2:$C$193,C58,'Pair Results'!$AB$2:$AB$193,"large_and_invalid")</x:f>
        <x:v>0</x:v>
      </x:c>
    </x:row>
    <x:row r="59">
      <x:c r="A59" s="29" t="str">
        <x:v>ICH</x:v>
      </x:c>
      <x:c r="B59" s="30" t="n">
        <x:v>100</x:v>
      </x:c>
      <x:c r="C59" s="31" t="n">
        <x:v>0.3</x:v>
      </x:c>
      <x:c r="D59" s="30" t="n">
        <x:f>COUNTIFS('Pair Results'!$A$2:$A$193,A59,'Pair Results'!$B$2:$B$193,B59,'Pair Results'!$C$2:$C$193,C59)</x:f>
        <x:v>3</x:v>
      </x:c>
      <x:c r="E59" s="30" t="n">
        <x:f>COUNTIFS('Pair Results'!$A$2:$A$193,A59,'Pair Results'!$B$2:$B$193,B59,'Pair Results'!$C$2:$C$193,C59,'Pair Results'!$S$2:$S$193,1)</x:f>
        <x:v>3</x:v>
      </x:c>
      <x:c r="F59" s="32" t="n">
        <x:f>IF(E59=0,"",AVERAGEIFS('Pair Results'!$L$2:$L$193,'Pair Results'!$A$2:$A$193,A59,'Pair Results'!$B$2:$B$193,B59,'Pair Results'!$C$2:$C$193,C59,'Pair Results'!$S$2:$S$193,1))</x:f>
        <x:v>20.666666666666668</x:v>
      </x:c>
      <x:c r="G59" s="32" t="n">
        <x:f>IF(E59=0,"",AVERAGEIFS('Pair Results'!$P$2:$P$193,'Pair Results'!$A$2:$A$193,A59,'Pair Results'!$B$2:$B$193,B59,'Pair Results'!$C$2:$C$193,C59,'Pair Results'!$S$2:$S$193,1))</x:f>
        <x:v>21</x:v>
      </x:c>
      <x:c r="H59" s="32" t="n">
        <x:f>IF(E59=0,"",G59-F59)</x:f>
        <x:v>0.33333333333333215</x:v>
      </x:c>
      <x:c r="I59" s="30" t="n">
        <x:f>COUNTIFS('Pair Results'!$A$2:$A$193,A59,'Pair Results'!$B$2:$B$193,B59,'Pair Results'!$C$2:$C$193,C59,'Pair Results'!$Z$2:$Z$193,"Collision")</x:f>
        <x:v>0</x:v>
      </x:c>
      <x:c r="J59" s="30" t="n">
        <x:f>COUNTIFS('Pair Results'!$A$2:$A$193,A59,'Pair Results'!$B$2:$B$193,B59,'Pair Results'!$C$2:$C$193,C59,'Pair Results'!$Z$2:$Z$193,"Entropy")</x:f>
        <x:v>1</x:v>
      </x:c>
      <x:c r="K59" s="30" t="n">
        <x:f>COUNTIFS('Pair Results'!$A$2:$A$193,A59,'Pair Results'!$B$2:$B$193,B59,'Pair Results'!$C$2:$C$193,C59,'Pair Results'!$Z$2:$Z$193,"Tie")</x:f>
        <x:v>2</x:v>
      </x:c>
      <x:c r="L59" s="33" t="n">
        <x:f>AVERAGEIFS('Pair Results'!$M$2:$M$193,'Pair Results'!$A$2:$A$193,A59,'Pair Results'!$B$2:$B$193,B59,'Pair Results'!$C$2:$C$193,C59)</x:f>
        <x:v>0.18714313333233198</x:v>
      </x:c>
      <x:c r="M59" s="33" t="n">
        <x:f>AVERAGEIFS('Pair Results'!$Q$2:$Q$193,'Pair Results'!$A$2:$A$193,A59,'Pair Results'!$B$2:$B$193,B59,'Pair Results'!$C$2:$C$193,C59)</x:f>
        <x:v>0.17036449998461953</x:v>
      </x:c>
      <x:c r="N59" s="35" t="n">
        <x:f>M59/L59</x:f>
        <x:v>0.9103433129020199</x:v>
      </x:c>
      <x:c r="O59" s="191" t="n">
        <x:f>COUNTIFS('Pair Results'!$A$2:$A$193,A59,'Pair Results'!$B$2:$B$193,B59,'Pair Results'!$C$2:$C$193,C59,'Pair Results'!$N$2:$N$193,1)/D59</x:f>
        <x:v>1</x:v>
      </x:c>
      <x:c r="P59" s="191" t="n">
        <x:f>COUNTIFS('Pair Results'!$A$2:$A$193,A59,'Pair Results'!$B$2:$B$193,B59,'Pair Results'!$C$2:$C$193,C59,'Pair Results'!$R$2:$R$193,1)/D59</x:f>
        <x:v>1</x:v>
      </x:c>
      <x:c r="Q59" s="30" t="n">
        <x:f>COUNTIFS('Pair Results'!$A$2:$A$193,A59,'Pair Results'!$B$2:$B$193,B59,'Pair Results'!$C$2:$C$193,C59,'Pair Results'!$AB$2:$AB$193,"large_and_invalid")</x:f>
        <x:v>0</x:v>
      </x:c>
    </x:row>
    <x:row r="60">
      <x:c r="A60" s="29" t="str">
        <x:v>ICH</x:v>
      </x:c>
      <x:c r="B60" s="30" t="n">
        <x:v>100</x:v>
      </x:c>
      <x:c r="C60" s="31" t="n">
        <x:v>0.5</x:v>
      </x:c>
      <x:c r="D60" s="30" t="n">
        <x:f>COUNTIFS('Pair Results'!$A$2:$A$193,A60,'Pair Results'!$B$2:$B$193,B60,'Pair Results'!$C$2:$C$193,C60)</x:f>
        <x:v>3</x:v>
      </x:c>
      <x:c r="E60" s="30" t="n">
        <x:f>COUNTIFS('Pair Results'!$A$2:$A$193,A60,'Pair Results'!$B$2:$B$193,B60,'Pair Results'!$C$2:$C$193,C60,'Pair Results'!$S$2:$S$193,1)</x:f>
        <x:v>3</x:v>
      </x:c>
      <x:c r="F60" s="32" t="n">
        <x:f>IF(E60=0,"",AVERAGEIFS('Pair Results'!$L$2:$L$193,'Pair Results'!$A$2:$A$193,A60,'Pair Results'!$B$2:$B$193,B60,'Pair Results'!$C$2:$C$193,C60,'Pair Results'!$S$2:$S$193,1))</x:f>
        <x:v>23.333333333333332</x:v>
      </x:c>
      <x:c r="G60" s="32" t="n">
        <x:f>IF(E60=0,"",AVERAGEIFS('Pair Results'!$P$2:$P$193,'Pair Results'!$A$2:$A$193,A60,'Pair Results'!$B$2:$B$193,B60,'Pair Results'!$C$2:$C$193,C60,'Pair Results'!$S$2:$S$193,1))</x:f>
        <x:v>22</x:v>
      </x:c>
      <x:c r="H60" s="32" t="n">
        <x:f>IF(E60=0,"",G60-F60)</x:f>
        <x:v>-1.3333333333333321</x:v>
      </x:c>
      <x:c r="I60" s="30" t="n">
        <x:f>COUNTIFS('Pair Results'!$A$2:$A$193,A60,'Pair Results'!$B$2:$B$193,B60,'Pair Results'!$C$2:$C$193,C60,'Pair Results'!$Z$2:$Z$193,"Collision")</x:f>
        <x:v>3</x:v>
      </x:c>
      <x:c r="J60" s="30" t="n">
        <x:f>COUNTIFS('Pair Results'!$A$2:$A$193,A60,'Pair Results'!$B$2:$B$193,B60,'Pair Results'!$C$2:$C$193,C60,'Pair Results'!$Z$2:$Z$193,"Entropy")</x:f>
        <x:v>0</x:v>
      </x:c>
      <x:c r="K60" s="30" t="n">
        <x:f>COUNTIFS('Pair Results'!$A$2:$A$193,A60,'Pair Results'!$B$2:$B$193,B60,'Pair Results'!$C$2:$C$193,C60,'Pair Results'!$Z$2:$Z$193,"Tie")</x:f>
        <x:v>0</x:v>
      </x:c>
      <x:c r="L60" s="33" t="n">
        <x:f>AVERAGEIFS('Pair Results'!$M$2:$M$193,'Pair Results'!$A$2:$A$193,A60,'Pair Results'!$B$2:$B$193,B60,'Pair Results'!$C$2:$C$193,C60)</x:f>
        <x:v>0.19025773337731758</x:v>
      </x:c>
      <x:c r="M60" s="33" t="n">
        <x:f>AVERAGEIFS('Pair Results'!$Q$2:$Q$193,'Pair Results'!$A$2:$A$193,A60,'Pair Results'!$B$2:$B$193,B60,'Pair Results'!$C$2:$C$193,C60)</x:f>
        <x:v>0.16386333333017924</x:v>
      </x:c>
      <x:c r="N60" s="35" t="n">
        <x:f>M60/L60</x:f>
        <x:v>0.8612702906809409</x:v>
      </x:c>
      <x:c r="O60" s="191" t="n">
        <x:f>COUNTIFS('Pair Results'!$A$2:$A$193,A60,'Pair Results'!$B$2:$B$193,B60,'Pair Results'!$C$2:$C$193,C60,'Pair Results'!$N$2:$N$193,1)/D60</x:f>
        <x:v>1</x:v>
      </x:c>
      <x:c r="P60" s="191" t="n">
        <x:f>COUNTIFS('Pair Results'!$A$2:$A$193,A60,'Pair Results'!$B$2:$B$193,B60,'Pair Results'!$C$2:$C$193,C60,'Pair Results'!$R$2:$R$193,1)/D60</x:f>
        <x:v>1</x:v>
      </x:c>
      <x:c r="Q60" s="30" t="n">
        <x:f>COUNTIFS('Pair Results'!$A$2:$A$193,A60,'Pair Results'!$B$2:$B$193,B60,'Pair Results'!$C$2:$C$193,C60,'Pair Results'!$AB$2:$AB$193,"large_and_invalid")</x:f>
        <x:v>0</x:v>
      </x:c>
    </x:row>
    <x:row r="61">
      <x:c r="A61" s="29" t="str">
        <x:v>ICH</x:v>
      </x:c>
      <x:c r="B61" s="30" t="n">
        <x:v>100</x:v>
      </x:c>
      <x:c r="C61" s="31" t="n">
        <x:v>0.7</x:v>
      </x:c>
      <x:c r="D61" s="30" t="n">
        <x:f>COUNTIFS('Pair Results'!$A$2:$A$193,A61,'Pair Results'!$B$2:$B$193,B61,'Pair Results'!$C$2:$C$193,C61)</x:f>
        <x:v>3</x:v>
      </x:c>
      <x:c r="E61" s="30" t="n">
        <x:f>COUNTIFS('Pair Results'!$A$2:$A$193,A61,'Pair Results'!$B$2:$B$193,B61,'Pair Results'!$C$2:$C$193,C61,'Pair Results'!$S$2:$S$193,1)</x:f>
        <x:v>3</x:v>
      </x:c>
      <x:c r="F61" s="32" t="n">
        <x:f>IF(E61=0,"",AVERAGEIFS('Pair Results'!$L$2:$L$193,'Pair Results'!$A$2:$A$193,A61,'Pair Results'!$B$2:$B$193,B61,'Pair Results'!$C$2:$C$193,C61,'Pair Results'!$S$2:$S$193,1))</x:f>
        <x:v>32.333333333333336</x:v>
      </x:c>
      <x:c r="G61" s="32" t="n">
        <x:f>IF(E61=0,"",AVERAGEIFS('Pair Results'!$P$2:$P$193,'Pair Results'!$A$2:$A$193,A61,'Pair Results'!$B$2:$B$193,B61,'Pair Results'!$C$2:$C$193,C61,'Pair Results'!$S$2:$S$193,1))</x:f>
        <x:v>32.333333333333336</x:v>
      </x:c>
      <x:c r="H61" s="32" t="n">
        <x:f>IF(E61=0,"",G61-F61)</x:f>
        <x:v>0</x:v>
      </x:c>
      <x:c r="I61" s="30" t="n">
        <x:f>COUNTIFS('Pair Results'!$A$2:$A$193,A61,'Pair Results'!$B$2:$B$193,B61,'Pair Results'!$C$2:$C$193,C61,'Pair Results'!$Z$2:$Z$193,"Collision")</x:f>
        <x:v>0</x:v>
      </x:c>
      <x:c r="J61" s="30" t="n">
        <x:f>COUNTIFS('Pair Results'!$A$2:$A$193,A61,'Pair Results'!$B$2:$B$193,B61,'Pair Results'!$C$2:$C$193,C61,'Pair Results'!$Z$2:$Z$193,"Entropy")</x:f>
        <x:v>0</x:v>
      </x:c>
      <x:c r="K61" s="30" t="n">
        <x:f>COUNTIFS('Pair Results'!$A$2:$A$193,A61,'Pair Results'!$B$2:$B$193,B61,'Pair Results'!$C$2:$C$193,C61,'Pair Results'!$Z$2:$Z$193,"Tie")</x:f>
        <x:v>3</x:v>
      </x:c>
      <x:c r="L61" s="33" t="n">
        <x:f>AVERAGEIFS('Pair Results'!$M$2:$M$193,'Pair Results'!$A$2:$A$193,A61,'Pair Results'!$B$2:$B$193,B61,'Pair Results'!$C$2:$C$193,C61)</x:f>
        <x:v>0.2509834000375122</x:v>
      </x:c>
      <x:c r="M61" s="33" t="n">
        <x:f>AVERAGEIFS('Pair Results'!$Q$2:$Q$193,'Pair Results'!$A$2:$A$193,A61,'Pair Results'!$B$2:$B$193,B61,'Pair Results'!$C$2:$C$193,C61)</x:f>
        <x:v>0.22210023327109715</x:v>
      </x:c>
      <x:c r="N61" s="35" t="n">
        <x:f>M61/L61</x:f>
        <x:v>0.8849200115940014</x:v>
      </x:c>
      <x:c r="O61" s="191" t="n">
        <x:f>COUNTIFS('Pair Results'!$A$2:$A$193,A61,'Pair Results'!$B$2:$B$193,B61,'Pair Results'!$C$2:$C$193,C61,'Pair Results'!$N$2:$N$193,1)/D61</x:f>
        <x:v>1</x:v>
      </x:c>
      <x:c r="P61" s="191" t="n">
        <x:f>COUNTIFS('Pair Results'!$A$2:$A$193,A61,'Pair Results'!$B$2:$B$193,B61,'Pair Results'!$C$2:$C$193,C61,'Pair Results'!$R$2:$R$193,1)/D61</x:f>
        <x:v>1</x:v>
      </x:c>
      <x:c r="Q61" s="30" t="n">
        <x:f>COUNTIFS('Pair Results'!$A$2:$A$193,A61,'Pair Results'!$B$2:$B$193,B61,'Pair Results'!$C$2:$C$193,C61,'Pair Results'!$AB$2:$AB$193,"large_and_invalid")</x:f>
        <x:v>0</x:v>
      </x:c>
    </x:row>
    <x:row r="62">
      <x:c r="A62" s="29" t="str">
        <x:v>ICH</x:v>
      </x:c>
      <x:c r="B62" s="30" t="n">
        <x:v>200</x:v>
      </x:c>
      <x:c r="C62" s="31" t="n">
        <x:v>0.1</x:v>
      </x:c>
      <x:c r="D62" s="30" t="n">
        <x:f>COUNTIFS('Pair Results'!$A$2:$A$193,A62,'Pair Results'!$B$2:$B$193,B62,'Pair Results'!$C$2:$C$193,C62)</x:f>
        <x:v>3</x:v>
      </x:c>
      <x:c r="E62" s="30" t="n">
        <x:f>COUNTIFS('Pair Results'!$A$2:$A$193,A62,'Pair Results'!$B$2:$B$193,B62,'Pair Results'!$C$2:$C$193,C62,'Pair Results'!$S$2:$S$193,1)</x:f>
        <x:v>3</x:v>
      </x:c>
      <x:c r="F62" s="32" t="n">
        <x:f>IF(E62=0,"",AVERAGEIFS('Pair Results'!$L$2:$L$193,'Pair Results'!$A$2:$A$193,A62,'Pair Results'!$B$2:$B$193,B62,'Pair Results'!$C$2:$C$193,C62,'Pair Results'!$S$2:$S$193,1))</x:f>
        <x:v>40.666666666666664</x:v>
      </x:c>
      <x:c r="G62" s="32" t="n">
        <x:f>IF(E62=0,"",AVERAGEIFS('Pair Results'!$P$2:$P$193,'Pair Results'!$A$2:$A$193,A62,'Pair Results'!$B$2:$B$193,B62,'Pair Results'!$C$2:$C$193,C62,'Pair Results'!$S$2:$S$193,1))</x:f>
        <x:v>40.666666666666664</x:v>
      </x:c>
      <x:c r="H62" s="32" t="n">
        <x:f>IF(E62=0,"",G62-F62)</x:f>
        <x:v>0</x:v>
      </x:c>
      <x:c r="I62" s="30" t="n">
        <x:f>COUNTIFS('Pair Results'!$A$2:$A$193,A62,'Pair Results'!$B$2:$B$193,B62,'Pair Results'!$C$2:$C$193,C62,'Pair Results'!$Z$2:$Z$193,"Collision")</x:f>
        <x:v>0</x:v>
      </x:c>
      <x:c r="J62" s="30" t="n">
        <x:f>COUNTIFS('Pair Results'!$A$2:$A$193,A62,'Pair Results'!$B$2:$B$193,B62,'Pair Results'!$C$2:$C$193,C62,'Pair Results'!$Z$2:$Z$193,"Entropy")</x:f>
        <x:v>0</x:v>
      </x:c>
      <x:c r="K62" s="30" t="n">
        <x:f>COUNTIFS('Pair Results'!$A$2:$A$193,A62,'Pair Results'!$B$2:$B$193,B62,'Pair Results'!$C$2:$C$193,C62,'Pair Results'!$Z$2:$Z$193,"Tie")</x:f>
        <x:v>3</x:v>
      </x:c>
      <x:c r="L62" s="33" t="n">
        <x:f>AVERAGEIFS('Pair Results'!$M$2:$M$193,'Pair Results'!$A$2:$A$193,A62,'Pair Results'!$B$2:$B$193,B62,'Pair Results'!$C$2:$C$193,C62)</x:f>
        <x:v>1.47432433332627</x:v>
      </x:c>
      <x:c r="M62" s="33" t="n">
        <x:f>AVERAGEIFS('Pair Results'!$Q$2:$Q$193,'Pair Results'!$A$2:$A$193,A62,'Pair Results'!$B$2:$B$193,B62,'Pair Results'!$C$2:$C$193,C62)</x:f>
        <x:v>1.5544422333283971</x:v>
      </x:c>
      <x:c r="N62" s="35" t="n">
        <x:f>M62/L62</x:f>
        <x:v>1.0543421133268354</x:v>
      </x:c>
      <x:c r="O62" s="191" t="n">
        <x:f>COUNTIFS('Pair Results'!$A$2:$A$193,A62,'Pair Results'!$B$2:$B$193,B62,'Pair Results'!$C$2:$C$193,C62,'Pair Results'!$N$2:$N$193,1)/D62</x:f>
        <x:v>1</x:v>
      </x:c>
      <x:c r="P62" s="191" t="n">
        <x:f>COUNTIFS('Pair Results'!$A$2:$A$193,A62,'Pair Results'!$B$2:$B$193,B62,'Pair Results'!$C$2:$C$193,C62,'Pair Results'!$R$2:$R$193,1)/D62</x:f>
        <x:v>1</x:v>
      </x:c>
      <x:c r="Q62" s="30" t="n">
        <x:f>COUNTIFS('Pair Results'!$A$2:$A$193,A62,'Pair Results'!$B$2:$B$193,B62,'Pair Results'!$C$2:$C$193,C62,'Pair Results'!$AB$2:$AB$193,"large_and_invalid")</x:f>
        <x:v>0</x:v>
      </x:c>
    </x:row>
    <x:row r="63">
      <x:c r="A63" s="29" t="str">
        <x:v>ICH</x:v>
      </x:c>
      <x:c r="B63" s="30" t="n">
        <x:v>200</x:v>
      </x:c>
      <x:c r="C63" s="31" t="n">
        <x:v>0.3</x:v>
      </x:c>
      <x:c r="D63" s="30" t="n">
        <x:f>COUNTIFS('Pair Results'!$A$2:$A$193,A63,'Pair Results'!$B$2:$B$193,B63,'Pair Results'!$C$2:$C$193,C63)</x:f>
        <x:v>3</x:v>
      </x:c>
      <x:c r="E63" s="30" t="n">
        <x:f>COUNTIFS('Pair Results'!$A$2:$A$193,A63,'Pair Results'!$B$2:$B$193,B63,'Pair Results'!$C$2:$C$193,C63,'Pair Results'!$S$2:$S$193,1)</x:f>
        <x:v>3</x:v>
      </x:c>
      <x:c r="F63" s="32" t="n">
        <x:f>IF(E63=0,"",AVERAGEIFS('Pair Results'!$L$2:$L$193,'Pair Results'!$A$2:$A$193,A63,'Pair Results'!$B$2:$B$193,B63,'Pair Results'!$C$2:$C$193,C63,'Pair Results'!$S$2:$S$193,1))</x:f>
        <x:v>30.333333333333332</x:v>
      </x:c>
      <x:c r="G63" s="32" t="n">
        <x:f>IF(E63=0,"",AVERAGEIFS('Pair Results'!$P$2:$P$193,'Pair Results'!$A$2:$A$193,A63,'Pair Results'!$B$2:$B$193,B63,'Pair Results'!$C$2:$C$193,C63,'Pair Results'!$S$2:$S$193,1))</x:f>
        <x:v>31</x:v>
      </x:c>
      <x:c r="H63" s="32" t="n">
        <x:f>IF(E63=0,"",G63-F63)</x:f>
        <x:v>0.6666666666666679</x:v>
      </x:c>
      <x:c r="I63" s="30" t="n">
        <x:f>COUNTIFS('Pair Results'!$A$2:$A$193,A63,'Pair Results'!$B$2:$B$193,B63,'Pair Results'!$C$2:$C$193,C63,'Pair Results'!$Z$2:$Z$193,"Collision")</x:f>
        <x:v>1</x:v>
      </x:c>
      <x:c r="J63" s="30" t="n">
        <x:f>COUNTIFS('Pair Results'!$A$2:$A$193,A63,'Pair Results'!$B$2:$B$193,B63,'Pair Results'!$C$2:$C$193,C63,'Pair Results'!$Z$2:$Z$193,"Entropy")</x:f>
        <x:v>2</x:v>
      </x:c>
      <x:c r="K63" s="30" t="n">
        <x:f>COUNTIFS('Pair Results'!$A$2:$A$193,A63,'Pair Results'!$B$2:$B$193,B63,'Pair Results'!$C$2:$C$193,C63,'Pair Results'!$Z$2:$Z$193,"Tie")</x:f>
        <x:v>0</x:v>
      </x:c>
      <x:c r="L63" s="33" t="n">
        <x:f>AVERAGEIFS('Pair Results'!$M$2:$M$193,'Pair Results'!$A$2:$A$193,A63,'Pair Results'!$B$2:$B$193,B63,'Pair Results'!$C$2:$C$193,C63)</x:f>
        <x:v>1.3258460666596268</x:v>
      </x:c>
      <x:c r="M63" s="33" t="n">
        <x:f>AVERAGEIFS('Pair Results'!$Q$2:$Q$193,'Pair Results'!$A$2:$A$193,A63,'Pair Results'!$B$2:$B$193,B63,'Pair Results'!$C$2:$C$193,C63)</x:f>
        <x:v>1.2471957333618775</x:v>
      </x:c>
      <x:c r="N63" s="35" t="n">
        <x:f>M63/L63</x:f>
        <x:v>0.9406791366844697</x:v>
      </x:c>
      <x:c r="O63" s="191" t="n">
        <x:f>COUNTIFS('Pair Results'!$A$2:$A$193,A63,'Pair Results'!$B$2:$B$193,B63,'Pair Results'!$C$2:$C$193,C63,'Pair Results'!$N$2:$N$193,1)/D63</x:f>
        <x:v>1</x:v>
      </x:c>
      <x:c r="P63" s="191" t="n">
        <x:f>COUNTIFS('Pair Results'!$A$2:$A$193,A63,'Pair Results'!$B$2:$B$193,B63,'Pair Results'!$C$2:$C$193,C63,'Pair Results'!$R$2:$R$193,1)/D63</x:f>
        <x:v>1</x:v>
      </x:c>
      <x:c r="Q63" s="30" t="n">
        <x:f>COUNTIFS('Pair Results'!$A$2:$A$193,A63,'Pair Results'!$B$2:$B$193,B63,'Pair Results'!$C$2:$C$193,C63,'Pair Results'!$AB$2:$AB$193,"large_and_invalid")</x:f>
        <x:v>0</x:v>
      </x:c>
    </x:row>
    <x:row r="64">
      <x:c r="A64" s="29" t="str">
        <x:v>ICH</x:v>
      </x:c>
      <x:c r="B64" s="30" t="n">
        <x:v>200</x:v>
      </x:c>
      <x:c r="C64" s="31" t="n">
        <x:v>0.5</x:v>
      </x:c>
      <x:c r="D64" s="30" t="n">
        <x:f>COUNTIFS('Pair Results'!$A$2:$A$193,A64,'Pair Results'!$B$2:$B$193,B64,'Pair Results'!$C$2:$C$193,C64)</x:f>
        <x:v>3</x:v>
      </x:c>
      <x:c r="E64" s="30" t="n">
        <x:f>COUNTIFS('Pair Results'!$A$2:$A$193,A64,'Pair Results'!$B$2:$B$193,B64,'Pair Results'!$C$2:$C$193,C64,'Pair Results'!$S$2:$S$193,1)</x:f>
        <x:v>3</x:v>
      </x:c>
      <x:c r="F64" s="32" t="n">
        <x:f>IF(E64=0,"",AVERAGEIFS('Pair Results'!$L$2:$L$193,'Pair Results'!$A$2:$A$193,A64,'Pair Results'!$B$2:$B$193,B64,'Pair Results'!$C$2:$C$193,C64,'Pair Results'!$S$2:$S$193,1))</x:f>
        <x:v>41</x:v>
      </x:c>
      <x:c r="G64" s="32" t="n">
        <x:f>IF(E64=0,"",AVERAGEIFS('Pair Results'!$P$2:$P$193,'Pair Results'!$A$2:$A$193,A64,'Pair Results'!$B$2:$B$193,B64,'Pair Results'!$C$2:$C$193,C64,'Pair Results'!$S$2:$S$193,1))</x:f>
        <x:v>40.666666666666664</x:v>
      </x:c>
      <x:c r="H64" s="32" t="n">
        <x:f>IF(E64=0,"",G64-F64)</x:f>
        <x:v>-0.3333333333333357</x:v>
      </x:c>
      <x:c r="I64" s="30" t="n">
        <x:f>COUNTIFS('Pair Results'!$A$2:$A$193,A64,'Pair Results'!$B$2:$B$193,B64,'Pair Results'!$C$2:$C$193,C64,'Pair Results'!$Z$2:$Z$193,"Collision")</x:f>
        <x:v>1</x:v>
      </x:c>
      <x:c r="J64" s="30" t="n">
        <x:f>COUNTIFS('Pair Results'!$A$2:$A$193,A64,'Pair Results'!$B$2:$B$193,B64,'Pair Results'!$C$2:$C$193,C64,'Pair Results'!$Z$2:$Z$193,"Entropy")</x:f>
        <x:v>1</x:v>
      </x:c>
      <x:c r="K64" s="30" t="n">
        <x:f>COUNTIFS('Pair Results'!$A$2:$A$193,A64,'Pair Results'!$B$2:$B$193,B64,'Pair Results'!$C$2:$C$193,C64,'Pair Results'!$Z$2:$Z$193,"Tie")</x:f>
        <x:v>1</x:v>
      </x:c>
      <x:c r="L64" s="33" t="n">
        <x:f>AVERAGEIFS('Pair Results'!$M$2:$M$193,'Pair Results'!$A$2:$A$193,A64,'Pair Results'!$B$2:$B$193,B64,'Pair Results'!$C$2:$C$193,C64)</x:f>
        <x:v>1.3800653333310038</x:v>
      </x:c>
      <x:c r="M64" s="33" t="n">
        <x:f>AVERAGEIFS('Pair Results'!$Q$2:$Q$193,'Pair Results'!$A$2:$A$193,A64,'Pair Results'!$B$2:$B$193,B64,'Pair Results'!$C$2:$C$193,C64)</x:f>
        <x:v>1.3301970333171387</x:v>
      </x:c>
      <x:c r="N64" s="35" t="n">
        <x:f>M64/L64</x:f>
        <x:v>0.9638652614412825</x:v>
      </x:c>
      <x:c r="O64" s="191" t="n">
        <x:f>COUNTIFS('Pair Results'!$A$2:$A$193,A64,'Pair Results'!$B$2:$B$193,B64,'Pair Results'!$C$2:$C$193,C64,'Pair Results'!$N$2:$N$193,1)/D64</x:f>
        <x:v>1</x:v>
      </x:c>
      <x:c r="P64" s="191" t="n">
        <x:f>COUNTIFS('Pair Results'!$A$2:$A$193,A64,'Pair Results'!$B$2:$B$193,B64,'Pair Results'!$C$2:$C$193,C64,'Pair Results'!$R$2:$R$193,1)/D64</x:f>
        <x:v>1</x:v>
      </x:c>
      <x:c r="Q64" s="30" t="n">
        <x:f>COUNTIFS('Pair Results'!$A$2:$A$193,A64,'Pair Results'!$B$2:$B$193,B64,'Pair Results'!$C$2:$C$193,C64,'Pair Results'!$AB$2:$AB$193,"large_and_invalid")</x:f>
        <x:v>0</x:v>
      </x:c>
    </x:row>
    <x:row r="65">
      <x:c r="A65" s="29" t="str">
        <x:v>ICH</x:v>
      </x:c>
      <x:c r="B65" s="30" t="n">
        <x:v>200</x:v>
      </x:c>
      <x:c r="C65" s="31" t="n">
        <x:v>0.7</x:v>
      </x:c>
      <x:c r="D65" s="30" t="n">
        <x:f>COUNTIFS('Pair Results'!$A$2:$A$193,A65,'Pair Results'!$B$2:$B$193,B65,'Pair Results'!$C$2:$C$193,C65)</x:f>
        <x:v>3</x:v>
      </x:c>
      <x:c r="E65" s="30" t="n">
        <x:f>COUNTIFS('Pair Results'!$A$2:$A$193,A65,'Pair Results'!$B$2:$B$193,B65,'Pair Results'!$C$2:$C$193,C65,'Pair Results'!$S$2:$S$193,1)</x:f>
        <x:v>3</x:v>
      </x:c>
      <x:c r="F65" s="32" t="n">
        <x:f>IF(E65=0,"",AVERAGEIFS('Pair Results'!$L$2:$L$193,'Pair Results'!$A$2:$A$193,A65,'Pair Results'!$B$2:$B$193,B65,'Pair Results'!$C$2:$C$193,C65,'Pair Results'!$S$2:$S$193,1))</x:f>
        <x:v>56.333333333333336</x:v>
      </x:c>
      <x:c r="G65" s="32" t="n">
        <x:f>IF(E65=0,"",AVERAGEIFS('Pair Results'!$P$2:$P$193,'Pair Results'!$A$2:$A$193,A65,'Pair Results'!$B$2:$B$193,B65,'Pair Results'!$C$2:$C$193,C65,'Pair Results'!$S$2:$S$193,1))</x:f>
        <x:v>57.333333333333336</x:v>
      </x:c>
      <x:c r="H65" s="32" t="n">
        <x:f>IF(E65=0,"",G65-F65)</x:f>
        <x:v>1</x:v>
      </x:c>
      <x:c r="I65" s="30" t="n">
        <x:f>COUNTIFS('Pair Results'!$A$2:$A$193,A65,'Pair Results'!$B$2:$B$193,B65,'Pair Results'!$C$2:$C$193,C65,'Pair Results'!$Z$2:$Z$193,"Collision")</x:f>
        <x:v>1</x:v>
      </x:c>
      <x:c r="J65" s="30" t="n">
        <x:f>COUNTIFS('Pair Results'!$A$2:$A$193,A65,'Pair Results'!$B$2:$B$193,B65,'Pair Results'!$C$2:$C$193,C65,'Pair Results'!$Z$2:$Z$193,"Entropy")</x:f>
        <x:v>2</x:v>
      </x:c>
      <x:c r="K65" s="30" t="n">
        <x:f>COUNTIFS('Pair Results'!$A$2:$A$193,A65,'Pair Results'!$B$2:$B$193,B65,'Pair Results'!$C$2:$C$193,C65,'Pair Results'!$Z$2:$Z$193,"Tie")</x:f>
        <x:v>0</x:v>
      </x:c>
      <x:c r="L65" s="33" t="n">
        <x:f>AVERAGEIFS('Pair Results'!$M$2:$M$193,'Pair Results'!$A$2:$A$193,A65,'Pair Results'!$B$2:$B$193,B65,'Pair Results'!$C$2:$C$193,C65)</x:f>
        <x:v>1.5667756999998044</x:v>
      </x:c>
      <x:c r="M65" s="33" t="n">
        <x:f>AVERAGEIFS('Pair Results'!$Q$2:$Q$193,'Pair Results'!$A$2:$A$193,A65,'Pair Results'!$B$2:$B$193,B65,'Pair Results'!$C$2:$C$193,C65)</x:f>
        <x:v>1.4554242000061397</x:v>
      </x:c>
      <x:c r="N65" s="35" t="n">
        <x:f>M65/L65</x:f>
        <x:v>0.9289295206750535</x:v>
      </x:c>
      <x:c r="O65" s="191" t="n">
        <x:f>COUNTIFS('Pair Results'!$A$2:$A$193,A65,'Pair Results'!$B$2:$B$193,B65,'Pair Results'!$C$2:$C$193,C65,'Pair Results'!$N$2:$N$193,1)/D65</x:f>
        <x:v>1</x:v>
      </x:c>
      <x:c r="P65" s="191" t="n">
        <x:f>COUNTIFS('Pair Results'!$A$2:$A$193,A65,'Pair Results'!$B$2:$B$193,B65,'Pair Results'!$C$2:$C$193,C65,'Pair Results'!$R$2:$R$193,1)/D65</x:f>
        <x:v>1</x:v>
      </x:c>
      <x:c r="Q65" s="30" t="n">
        <x:f>COUNTIFS('Pair Results'!$A$2:$A$193,A65,'Pair Results'!$B$2:$B$193,B65,'Pair Results'!$C$2:$C$193,C65,'Pair Results'!$AB$2:$AB$193,"large_and_invalid")</x:f>
        <x:v>0</x:v>
      </x:c>
    </x:row>
    <x:row r="66">
      <x:c r="A66" s="29" t="str">
        <x:v>ICH</x:v>
      </x:c>
      <x:c r="B66" s="30" t="n">
        <x:v>500</x:v>
      </x:c>
      <x:c r="C66" s="31" t="n">
        <x:v>0.1</x:v>
      </x:c>
      <x:c r="D66" s="30" t="n">
        <x:f>COUNTIFS('Pair Results'!$A$2:$A$193,A66,'Pair Results'!$B$2:$B$193,B66,'Pair Results'!$C$2:$C$193,C66)</x:f>
        <x:v>3</x:v>
      </x:c>
      <x:c r="E66" s="30" t="n">
        <x:f>COUNTIFS('Pair Results'!$A$2:$A$193,A66,'Pair Results'!$B$2:$B$193,B66,'Pair Results'!$C$2:$C$193,C66,'Pair Results'!$S$2:$S$193,1)</x:f>
        <x:v>3</x:v>
      </x:c>
      <x:c r="F66" s="32" t="n">
        <x:f>IF(E66=0,"",AVERAGEIFS('Pair Results'!$L$2:$L$193,'Pair Results'!$A$2:$A$193,A66,'Pair Results'!$B$2:$B$193,B66,'Pair Results'!$C$2:$C$193,C66,'Pair Results'!$S$2:$S$193,1))</x:f>
        <x:v>55.666666666666664</x:v>
      </x:c>
      <x:c r="G66" s="32" t="n">
        <x:f>IF(E66=0,"",AVERAGEIFS('Pair Results'!$P$2:$P$193,'Pair Results'!$A$2:$A$193,A66,'Pair Results'!$B$2:$B$193,B66,'Pair Results'!$C$2:$C$193,C66,'Pair Results'!$S$2:$S$193,1))</x:f>
        <x:v>56.666666666666664</x:v>
      </x:c>
      <x:c r="H66" s="32" t="n">
        <x:f>IF(E66=0,"",G66-F66)</x:f>
        <x:v>1</x:v>
      </x:c>
      <x:c r="I66" s="30" t="n">
        <x:f>COUNTIFS('Pair Results'!$A$2:$A$193,A66,'Pair Results'!$B$2:$B$193,B66,'Pair Results'!$C$2:$C$193,C66,'Pair Results'!$Z$2:$Z$193,"Collision")</x:f>
        <x:v>1</x:v>
      </x:c>
      <x:c r="J66" s="30" t="n">
        <x:f>COUNTIFS('Pair Results'!$A$2:$A$193,A66,'Pair Results'!$B$2:$B$193,B66,'Pair Results'!$C$2:$C$193,C66,'Pair Results'!$Z$2:$Z$193,"Entropy")</x:f>
        <x:v>2</x:v>
      </x:c>
      <x:c r="K66" s="30" t="n">
        <x:f>COUNTIFS('Pair Results'!$A$2:$A$193,A66,'Pair Results'!$B$2:$B$193,B66,'Pair Results'!$C$2:$C$193,C66,'Pair Results'!$Z$2:$Z$193,"Tie")</x:f>
        <x:v>0</x:v>
      </x:c>
      <x:c r="L66" s="33" t="n">
        <x:f>AVERAGEIFS('Pair Results'!$M$2:$M$193,'Pair Results'!$A$2:$A$193,A66,'Pair Results'!$B$2:$B$193,B66,'Pair Results'!$C$2:$C$193,C66)</x:f>
        <x:v>19.426159199986916</x:v>
      </x:c>
      <x:c r="M66" s="33" t="n">
        <x:f>AVERAGEIFS('Pair Results'!$Q$2:$Q$193,'Pair Results'!$A$2:$A$193,A66,'Pair Results'!$B$2:$B$193,B66,'Pair Results'!$C$2:$C$193,C66)</x:f>
        <x:v>19.17458130000159</x:v>
      </x:c>
      <x:c r="N66" s="35" t="n">
        <x:f>M66/L66</x:f>
        <x:v>0.9870495295855758</x:v>
      </x:c>
      <x:c r="O66" s="191" t="n">
        <x:f>COUNTIFS('Pair Results'!$A$2:$A$193,A66,'Pair Results'!$B$2:$B$193,B66,'Pair Results'!$C$2:$C$193,C66,'Pair Results'!$N$2:$N$193,1)/D66</x:f>
        <x:v>1</x:v>
      </x:c>
      <x:c r="P66" s="191" t="n">
        <x:f>COUNTIFS('Pair Results'!$A$2:$A$193,A66,'Pair Results'!$B$2:$B$193,B66,'Pair Results'!$C$2:$C$193,C66,'Pair Results'!$R$2:$R$193,1)/D66</x:f>
        <x:v>1</x:v>
      </x:c>
      <x:c r="Q66" s="30" t="n">
        <x:f>COUNTIFS('Pair Results'!$A$2:$A$193,A66,'Pair Results'!$B$2:$B$193,B66,'Pair Results'!$C$2:$C$193,C66,'Pair Results'!$AB$2:$AB$193,"large_and_invalid")</x:f>
        <x:v>0</x:v>
      </x:c>
    </x:row>
    <x:row r="67">
      <x:c r="A67" s="29" t="str">
        <x:v>ICH</x:v>
      </x:c>
      <x:c r="B67" s="30" t="n">
        <x:v>500</x:v>
      </x:c>
      <x:c r="C67" s="31" t="n">
        <x:v>0.3</x:v>
      </x:c>
      <x:c r="D67" s="30" t="n">
        <x:f>COUNTIFS('Pair Results'!$A$2:$A$193,A67,'Pair Results'!$B$2:$B$193,B67,'Pair Results'!$C$2:$C$193,C67)</x:f>
        <x:v>3</x:v>
      </x:c>
      <x:c r="E67" s="30" t="n">
        <x:f>COUNTIFS('Pair Results'!$A$2:$A$193,A67,'Pair Results'!$B$2:$B$193,B67,'Pair Results'!$C$2:$C$193,C67,'Pair Results'!$S$2:$S$193,1)</x:f>
        <x:v>3</x:v>
      </x:c>
      <x:c r="F67" s="32" t="n">
        <x:f>IF(E67=0,"",AVERAGEIFS('Pair Results'!$L$2:$L$193,'Pair Results'!$A$2:$A$193,A67,'Pair Results'!$B$2:$B$193,B67,'Pair Results'!$C$2:$C$193,C67,'Pair Results'!$S$2:$S$193,1))</x:f>
        <x:v>57.666666666666664</x:v>
      </x:c>
      <x:c r="G67" s="32" t="n">
        <x:f>IF(E67=0,"",AVERAGEIFS('Pair Results'!$P$2:$P$193,'Pair Results'!$A$2:$A$193,A67,'Pair Results'!$B$2:$B$193,B67,'Pair Results'!$C$2:$C$193,C67,'Pair Results'!$S$2:$S$193,1))</x:f>
        <x:v>57.333333333333336</x:v>
      </x:c>
      <x:c r="H67" s="32" t="n">
        <x:f>IF(E67=0,"",G67-F67)</x:f>
        <x:v>-0.3333333333333286</x:v>
      </x:c>
      <x:c r="I67" s="30" t="n">
        <x:f>COUNTIFS('Pair Results'!$A$2:$A$193,A67,'Pair Results'!$B$2:$B$193,B67,'Pair Results'!$C$2:$C$193,C67,'Pair Results'!$Z$2:$Z$193,"Collision")</x:f>
        <x:v>2</x:v>
      </x:c>
      <x:c r="J67" s="30" t="n">
        <x:f>COUNTIFS('Pair Results'!$A$2:$A$193,A67,'Pair Results'!$B$2:$B$193,B67,'Pair Results'!$C$2:$C$193,C67,'Pair Results'!$Z$2:$Z$193,"Entropy")</x:f>
        <x:v>1</x:v>
      </x:c>
      <x:c r="K67" s="30" t="n">
        <x:f>COUNTIFS('Pair Results'!$A$2:$A$193,A67,'Pair Results'!$B$2:$B$193,B67,'Pair Results'!$C$2:$C$193,C67,'Pair Results'!$Z$2:$Z$193,"Tie")</x:f>
        <x:v>0</x:v>
      </x:c>
      <x:c r="L67" s="33" t="n">
        <x:f>AVERAGEIFS('Pair Results'!$M$2:$M$193,'Pair Results'!$A$2:$A$193,A67,'Pair Results'!$B$2:$B$193,B67,'Pair Results'!$C$2:$C$193,C67)</x:f>
        <x:v>18.051121199969202</x:v>
      </x:c>
      <x:c r="M67" s="33" t="n">
        <x:f>AVERAGEIFS('Pair Results'!$Q$2:$Q$193,'Pair Results'!$A$2:$A$193,A67,'Pair Results'!$B$2:$B$193,B67,'Pair Results'!$C$2:$C$193,C67)</x:f>
        <x:v>18.32246459997259</x:v>
      </x:c>
      <x:c r="N67" s="35" t="n">
        <x:f>M67/L67</x:f>
        <x:v>1.0150319416172249</x:v>
      </x:c>
      <x:c r="O67" s="191" t="n">
        <x:f>COUNTIFS('Pair Results'!$A$2:$A$193,A67,'Pair Results'!$B$2:$B$193,B67,'Pair Results'!$C$2:$C$193,C67,'Pair Results'!$N$2:$N$193,1)/D67</x:f>
        <x:v>1</x:v>
      </x:c>
      <x:c r="P67" s="191" t="n">
        <x:f>COUNTIFS('Pair Results'!$A$2:$A$193,A67,'Pair Results'!$B$2:$B$193,B67,'Pair Results'!$C$2:$C$193,C67,'Pair Results'!$R$2:$R$193,1)/D67</x:f>
        <x:v>1</x:v>
      </x:c>
      <x:c r="Q67" s="30" t="n">
        <x:f>COUNTIFS('Pair Results'!$A$2:$A$193,A67,'Pair Results'!$B$2:$B$193,B67,'Pair Results'!$C$2:$C$193,C67,'Pair Results'!$AB$2:$AB$193,"large_and_invalid")</x:f>
        <x:v>0</x:v>
      </x:c>
    </x:row>
    <x:row r="68">
      <x:c r="A68" s="29" t="str">
        <x:v>ICH</x:v>
      </x:c>
      <x:c r="B68" s="30" t="n">
        <x:v>500</x:v>
      </x:c>
      <x:c r="C68" s="31" t="n">
        <x:v>0.5</x:v>
      </x:c>
      <x:c r="D68" s="30" t="n">
        <x:f>COUNTIFS('Pair Results'!$A$2:$A$193,A68,'Pair Results'!$B$2:$B$193,B68,'Pair Results'!$C$2:$C$193,C68)</x:f>
        <x:v>3</x:v>
      </x:c>
      <x:c r="E68" s="30" t="n">
        <x:f>COUNTIFS('Pair Results'!$A$2:$A$193,A68,'Pair Results'!$B$2:$B$193,B68,'Pair Results'!$C$2:$C$193,C68,'Pair Results'!$S$2:$S$193,1)</x:f>
        <x:v>3</x:v>
      </x:c>
      <x:c r="F68" s="32" t="n">
        <x:f>IF(E68=0,"",AVERAGEIFS('Pair Results'!$L$2:$L$193,'Pair Results'!$A$2:$A$193,A68,'Pair Results'!$B$2:$B$193,B68,'Pair Results'!$C$2:$C$193,C68,'Pair Results'!$S$2:$S$193,1))</x:f>
        <x:v>79</x:v>
      </x:c>
      <x:c r="G68" s="32" t="n">
        <x:f>IF(E68=0,"",AVERAGEIFS('Pair Results'!$P$2:$P$193,'Pair Results'!$A$2:$A$193,A68,'Pair Results'!$B$2:$B$193,B68,'Pair Results'!$C$2:$C$193,C68,'Pair Results'!$S$2:$S$193,1))</x:f>
        <x:v>77.66666666666667</x:v>
      </x:c>
      <x:c r="H68" s="32" t="n">
        <x:f>IF(E68=0,"",G68-F68)</x:f>
        <x:v>-1.3333333333333286</x:v>
      </x:c>
      <x:c r="I68" s="30" t="n">
        <x:f>COUNTIFS('Pair Results'!$A$2:$A$193,A68,'Pair Results'!$B$2:$B$193,B68,'Pair Results'!$C$2:$C$193,C68,'Pair Results'!$Z$2:$Z$193,"Collision")</x:f>
        <x:v>2</x:v>
      </x:c>
      <x:c r="J68" s="30" t="n">
        <x:f>COUNTIFS('Pair Results'!$A$2:$A$193,A68,'Pair Results'!$B$2:$B$193,B68,'Pair Results'!$C$2:$C$193,C68,'Pair Results'!$Z$2:$Z$193,"Entropy")</x:f>
        <x:v>0</x:v>
      </x:c>
      <x:c r="K68" s="30" t="n">
        <x:f>COUNTIFS('Pair Results'!$A$2:$A$193,A68,'Pair Results'!$B$2:$B$193,B68,'Pair Results'!$C$2:$C$193,C68,'Pair Results'!$Z$2:$Z$193,"Tie")</x:f>
        <x:v>1</x:v>
      </x:c>
      <x:c r="L68" s="33" t="n">
        <x:f>AVERAGEIFS('Pair Results'!$M$2:$M$193,'Pair Results'!$A$2:$A$193,A68,'Pair Results'!$B$2:$B$193,B68,'Pair Results'!$C$2:$C$193,C68)</x:f>
        <x:v>21.638760366671097</x:v>
      </x:c>
      <x:c r="M68" s="33" t="n">
        <x:f>AVERAGEIFS('Pair Results'!$Q$2:$Q$193,'Pair Results'!$A$2:$A$193,A68,'Pair Results'!$B$2:$B$193,B68,'Pair Results'!$C$2:$C$193,C68)</x:f>
        <x:v>21.147372433372464</x:v>
      </x:c>
      <x:c r="N68" s="35" t="n">
        <x:f>M68/L68</x:f>
        <x:v>0.9772913085143505</x:v>
      </x:c>
      <x:c r="O68" s="191" t="n">
        <x:f>COUNTIFS('Pair Results'!$A$2:$A$193,A68,'Pair Results'!$B$2:$B$193,B68,'Pair Results'!$C$2:$C$193,C68,'Pair Results'!$N$2:$N$193,1)/D68</x:f>
        <x:v>1</x:v>
      </x:c>
      <x:c r="P68" s="191" t="n">
        <x:f>COUNTIFS('Pair Results'!$A$2:$A$193,A68,'Pair Results'!$B$2:$B$193,B68,'Pair Results'!$C$2:$C$193,C68,'Pair Results'!$R$2:$R$193,1)/D68</x:f>
        <x:v>1</x:v>
      </x:c>
      <x:c r="Q68" s="30" t="n">
        <x:f>COUNTIFS('Pair Results'!$A$2:$A$193,A68,'Pair Results'!$B$2:$B$193,B68,'Pair Results'!$C$2:$C$193,C68,'Pair Results'!$AB$2:$AB$193,"large_and_invalid")</x:f>
        <x:v>0</x:v>
      </x:c>
    </x:row>
    <x:row r="69">
      <x:c r="A69" s="36" t="str">
        <x:v>ICH</x:v>
      </x:c>
      <x:c r="B69" s="37" t="n">
        <x:v>500</x:v>
      </x:c>
      <x:c r="C69" s="38" t="n">
        <x:v>0.7</x:v>
      </x:c>
      <x:c r="D69" s="37" t="n">
        <x:f>COUNTIFS('Pair Results'!$A$2:$A$193,A69,'Pair Results'!$B$2:$B$193,B69,'Pair Results'!$C$2:$C$193,C69)</x:f>
        <x:v>3</x:v>
      </x:c>
      <x:c r="E69" s="37" t="n">
        <x:f>COUNTIFS('Pair Results'!$A$2:$A$193,A69,'Pair Results'!$B$2:$B$193,B69,'Pair Results'!$C$2:$C$193,C69,'Pair Results'!$S$2:$S$193,1)</x:f>
        <x:v>3</x:v>
      </x:c>
      <x:c r="F69" s="39" t="n">
        <x:f>IF(E69=0,"",AVERAGEIFS('Pair Results'!$L$2:$L$193,'Pair Results'!$A$2:$A$193,A69,'Pair Results'!$B$2:$B$193,B69,'Pair Results'!$C$2:$C$193,C69,'Pair Results'!$S$2:$S$193,1))</x:f>
        <x:v>97.33333333333333</x:v>
      </x:c>
      <x:c r="G69" s="39" t="n">
        <x:f>IF(E69=0,"",AVERAGEIFS('Pair Results'!$P$2:$P$193,'Pair Results'!$A$2:$A$193,A69,'Pair Results'!$B$2:$B$193,B69,'Pair Results'!$C$2:$C$193,C69,'Pair Results'!$S$2:$S$193,1))</x:f>
        <x:v>96.66666666666667</x:v>
      </x:c>
      <x:c r="H69" s="39" t="n">
        <x:f>IF(E69=0,"",G69-F69)</x:f>
        <x:v>-0.6666666666666572</x:v>
      </x:c>
      <x:c r="I69" s="37" t="n">
        <x:f>COUNTIFS('Pair Results'!$A$2:$A$193,A69,'Pair Results'!$B$2:$B$193,B69,'Pair Results'!$C$2:$C$193,C69,'Pair Results'!$Z$2:$Z$193,"Collision")</x:f>
        <x:v>2</x:v>
      </x:c>
      <x:c r="J69" s="37" t="n">
        <x:f>COUNTIFS('Pair Results'!$A$2:$A$193,A69,'Pair Results'!$B$2:$B$193,B69,'Pair Results'!$C$2:$C$193,C69,'Pair Results'!$Z$2:$Z$193,"Entropy")</x:f>
        <x:v>1</x:v>
      </x:c>
      <x:c r="K69" s="37" t="n">
        <x:f>COUNTIFS('Pair Results'!$A$2:$A$193,A69,'Pair Results'!$B$2:$B$193,B69,'Pair Results'!$C$2:$C$193,C69,'Pair Results'!$Z$2:$Z$193,"Tie")</x:f>
        <x:v>0</x:v>
      </x:c>
      <x:c r="L69" s="40" t="n">
        <x:f>AVERAGEIFS('Pair Results'!$M$2:$M$193,'Pair Results'!$A$2:$A$193,A69,'Pair Results'!$B$2:$B$193,B69,'Pair Results'!$C$2:$C$193,C69)</x:f>
        <x:v>22.286841900049087</x:v>
      </x:c>
      <x:c r="M69" s="40" t="n">
        <x:f>AVERAGEIFS('Pair Results'!$Q$2:$Q$193,'Pair Results'!$A$2:$A$193,A69,'Pair Results'!$B$2:$B$193,B69,'Pair Results'!$C$2:$C$193,C69)</x:f>
        <x:v>20.49229503333724</x:v>
      </x:c>
      <x:c r="N69" s="42" t="n">
        <x:f>M69/L69</x:f>
        <x:v>0.9194795352899284</x:v>
      </x:c>
      <x:c r="O69" s="192" t="n">
        <x:f>COUNTIFS('Pair Results'!$A$2:$A$193,A69,'Pair Results'!$B$2:$B$193,B69,'Pair Results'!$C$2:$C$193,C69,'Pair Results'!$N$2:$N$193,1)/D69</x:f>
        <x:v>1</x:v>
      </x:c>
      <x:c r="P69" s="192" t="n">
        <x:f>COUNTIFS('Pair Results'!$A$2:$A$193,A69,'Pair Results'!$B$2:$B$193,B69,'Pair Results'!$C$2:$C$193,C69,'Pair Results'!$R$2:$R$193,1)/D69</x:f>
        <x:v>1</x:v>
      </x:c>
      <x:c r="Q69" s="37" t="n">
        <x:f>COUNTIFS('Pair Results'!$A$2:$A$193,A69,'Pair Results'!$B$2:$B$193,B69,'Pair Results'!$C$2:$C$193,C69,'Pair Results'!$AB$2:$AB$193,"large_and_invalid")</x:f>
        <x:v>0</x:v>
      </x:c>
    </x:row>
  </x:sheetData>
  <x:mergeCells>
    <x:mergeCell ref="A1:Q1"/>
    <x:mergeCell ref="A2:Q2"/>
  </x:mergeCells>
  <x:conditionalFormatting sqref="H6:H69">
    <x:cfRule type="cellIs" dxfId="4" priority="1" operator="lessThan">
      <x:formula>0</x:formula>
    </x:cfRule>
    <x:cfRule type="cellIs" dxfId="5" priority="2" operator="greaterThan">
      <x:formula>0</x:formula>
    </x:cfRule>
  </x:conditionalFormatting>
  <x:conditionalFormatting sqref="O6:P69">
    <x:cfRule type="cellIs" dxfId="6" priority="3" operator="less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a53865b94a40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7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52" hidden="0" customWidth="1"/>
  </x:cols>
  <x:sheetData>
    <x:row r="1" ht="36" customHeight="1">
      <x:c r="A1" s="186" t="str">
        <x:v>Oversized Collision Results: Exact Reconstruction</x:v>
      </x:c>
      <x:c r="B1" s="186"/>
      <x:c r="C1" s="186"/>
      <x:c r="D1" s="186"/>
      <x:c r="E1" s="186"/>
      <x:c r="F1" s="186"/>
      <x:c r="G1" s="186"/>
      <x:c r="H1" s="186"/>
      <x:c r="I1" s="186"/>
      <x:c r="J1" s="186"/>
      <x:c r="K1" s="186"/>
      <x:c r="L1" s="186"/>
      <x:c r="M1" s="186"/>
      <x:c r="N1" s="186"/>
      <x:c r="O1" s="186"/>
      <x:c r="P1" s="186"/>
      <x:c r="Q1" s="186"/>
    </x:row>
    <x:row r="2">
      <x:c r="A2" s="196" t="str">
        <x:v>Every flagged result was invalid before pruning. Residual node pairs crossed local-group boundaries; adding 1–2 global probes made the set valid and allowed normal pruning.</x:v>
      </x:c>
      <x:c r="B2" s="196"/>
      <x:c r="C2" s="196"/>
      <x:c r="D2" s="196"/>
      <x:c r="E2" s="196"/>
      <x:c r="F2" s="196"/>
      <x:c r="G2" s="196"/>
      <x:c r="H2" s="196"/>
      <x:c r="I2" s="196"/>
      <x:c r="J2" s="196"/>
      <x:c r="K2" s="196"/>
      <x:c r="L2" s="196"/>
      <x:c r="M2" s="196"/>
      <x:c r="N2" s="196"/>
      <x:c r="O2" s="196"/>
      <x:c r="P2" s="196"/>
      <x:c r="Q2" s="196"/>
    </x:row>
    <x:row r="5" ht="40" customHeight="1">
      <x:c r="A5" s="8" t="str">
        <x:v>Family</x:v>
      </x:c>
      <x:c r="B5" s="8" t="str">
        <x:v>n</x:v>
      </x:c>
      <x:c r="C5" s="8" t="str">
        <x:v>radius</x:v>
      </x:c>
      <x:c r="D5" s="8" t="str">
        <x:v>repeat</x:v>
      </x:c>
      <x:c r="E5" s="8" t="str">
        <x:v>graph_seed</x:v>
      </x:c>
      <x:c r="F5" s="8" t="str">
        <x:v>Entropy pre</x:v>
      </x:c>
      <x:c r="G5" s="8" t="str">
        <x:v>Entropy final</x:v>
      </x:c>
      <x:c r="H5" s="8" t="str">
        <x:v>Collision pre</x:v>
      </x:c>
      <x:c r="I5" s="8" t="str">
        <x:v>Collision reported</x:v>
      </x:c>
      <x:c r="J5" s="8" t="str">
        <x:v>Collision valid</x:v>
      </x:c>
      <x:c r="K5" s="8" t="str">
        <x:v>Residual pairs</x:v>
      </x:c>
      <x:c r="L5" s="8" t="str">
        <x:v>Boundary</x:v>
      </x:c>
      <x:c r="M5" s="8" t="str">
        <x:v>Repair probes</x:v>
      </x:c>
      <x:c r="N5" s="8" t="str">
        <x:v>Repaired final</x:v>
      </x:c>
      <x:c r="O5" s="8" t="str">
        <x:v>Repair - Entropy</x:v>
      </x:c>
      <x:c r="P5" s="8" t="str">
        <x:v>Pruned before repair</x:v>
      </x:c>
      <x:c r="Q5" s="8" t="str">
        <x:v>Diagnosis</x:v>
      </x:c>
    </x:row>
    <x:row r="6">
      <x:c r="A6" s="22" t="str">
        <x:v>Grid</x:v>
      </x:c>
      <x:c r="B6" s="23" t="n">
        <x:v>50</x:v>
      </x:c>
      <x:c r="C6" s="24" t="n">
        <x:v>0.3</x:v>
      </x:c>
      <x:c r="D6" s="23" t="n">
        <x:v>2</x:v>
      </x:c>
      <x:c r="E6" s="23" t="n">
        <x:v>3034549</x:v>
      </x:c>
      <x:c r="F6" s="23" t="n">
        <x:v>34</x:v>
      </x:c>
      <x:c r="G6" s="23" t="n">
        <x:v>12</x:v>
      </x:c>
      <x:c r="H6" s="23" t="n">
        <x:v>22</x:v>
      </x:c>
      <x:c r="I6" s="23" t="n">
        <x:v>22</x:v>
      </x:c>
      <x:c r="J6" s="220" t="b">
        <x:v>0</x:v>
      </x:c>
      <x:c r="K6" s="23" t="n">
        <x:v>1</x:v>
      </x:c>
      <x:c r="L6" s="22" t="str">
        <x:v>cross-cell</x:v>
      </x:c>
      <x:c r="M6" s="203" t="n">
        <x:v>1</x:v>
      </x:c>
      <x:c r="N6" s="203" t="n">
        <x:v>13</x:v>
      </x:c>
      <x:c r="O6" s="203" t="n">
        <x:v>1</x:v>
      </x:c>
      <x:c r="P6" s="203" t="n">
        <x:v>0</x:v>
      </x:c>
      <x:c r="Q6" s="22" t="str">
        <x:v>One global pair remained after all cells were consumed.</x:v>
      </x:c>
    </x:row>
    <x:row r="7">
      <x:c r="A7" s="29" t="str">
        <x:v>Grid</x:v>
      </x:c>
      <x:c r="B7" s="30" t="n">
        <x:v>100</x:v>
      </x:c>
      <x:c r="C7" s="31" t="n">
        <x:v>0.3</x:v>
      </x:c>
      <x:c r="D7" s="30" t="n">
        <x:v>2</x:v>
      </x:c>
      <x:c r="E7" s="30" t="n">
        <x:v>1469195711</x:v>
      </x:c>
      <x:c r="F7" s="30" t="n">
        <x:v>75</x:v>
      </x:c>
      <x:c r="G7" s="30" t="n">
        <x:v>22</x:v>
      </x:c>
      <x:c r="H7" s="30" t="n">
        <x:v>41</x:v>
      </x:c>
      <x:c r="I7" s="30" t="n">
        <x:v>41</x:v>
      </x:c>
      <x:c r="J7" s="221" t="b">
        <x:v>0</x:v>
      </x:c>
      <x:c r="K7" s="30" t="n">
        <x:v>1</x:v>
      </x:c>
      <x:c r="L7" s="29" t="str">
        <x:v>cross-cell</x:v>
      </x:c>
      <x:c r="M7" s="205" t="n">
        <x:v>1</x:v>
      </x:c>
      <x:c r="N7" s="205" t="n">
        <x:v>19</x:v>
      </x:c>
      <x:c r="O7" s="205" t="n">
        <x:v>-3</x:v>
      </x:c>
      <x:c r="P7" s="205" t="n">
        <x:v>0</x:v>
      </x:c>
      <x:c r="Q7" s="29" t="str">
        <x:v>One global pair remained after all cells were consumed.</x:v>
      </x:c>
    </x:row>
    <x:row r="8">
      <x:c r="A8" s="29" t="str">
        <x:v>Grid</x:v>
      </x:c>
      <x:c r="B8" s="30" t="n">
        <x:v>200</x:v>
      </x:c>
      <x:c r="C8" s="31" t="n">
        <x:v>0.1</x:v>
      </x:c>
      <x:c r="D8" s="30" t="n">
        <x:v>2</x:v>
      </x:c>
      <x:c r="E8" s="30" t="n">
        <x:v>1039340281</x:v>
      </x:c>
      <x:c r="F8" s="30" t="n">
        <x:v>122</x:v>
      </x:c>
      <x:c r="G8" s="30" t="n">
        <x:v>44</x:v>
      </x:c>
      <x:c r="H8" s="30" t="n">
        <x:v>87</x:v>
      </x:c>
      <x:c r="I8" s="30" t="n">
        <x:v>87</x:v>
      </x:c>
      <x:c r="J8" s="221" t="b">
        <x:v>0</x:v>
      </x:c>
      <x:c r="K8" s="30" t="n">
        <x:v>2</x:v>
      </x:c>
      <x:c r="L8" s="29" t="str">
        <x:v>cross-cell</x:v>
      </x:c>
      <x:c r="M8" s="205" t="n">
        <x:v>2</x:v>
      </x:c>
      <x:c r="N8" s="205" t="n">
        <x:v>44</x:v>
      </x:c>
      <x:c r="O8" s="205" t="n">
        <x:v>0</x:v>
      </x:c>
      <x:c r="P8" s="205" t="n">
        <x:v>0</x:v>
      </x:c>
      <x:c r="Q8" s="29" t="str">
        <x:v>Two cross-cell pairs required two global repair probes.</x:v>
      </x:c>
    </x:row>
    <x:row r="9">
      <x:c r="A9" s="29" t="str">
        <x:v>Grid</x:v>
      </x:c>
      <x:c r="B9" s="30" t="n">
        <x:v>200</x:v>
      </x:c>
      <x:c r="C9" s="31" t="n">
        <x:v>0.3</x:v>
      </x:c>
      <x:c r="D9" s="30" t="n">
        <x:v>3</x:v>
      </x:c>
      <x:c r="E9" s="30" t="n">
        <x:v>1876551989</x:v>
      </x:c>
      <x:c r="F9" s="30" t="n">
        <x:v>141</x:v>
      </x:c>
      <x:c r="G9" s="30" t="n">
        <x:v>32</x:v>
      </x:c>
      <x:c r="H9" s="30" t="n">
        <x:v>66</x:v>
      </x:c>
      <x:c r="I9" s="30" t="n">
        <x:v>66</x:v>
      </x:c>
      <x:c r="J9" s="221" t="b">
        <x:v>0</x:v>
      </x:c>
      <x:c r="K9" s="30" t="n">
        <x:v>1</x:v>
      </x:c>
      <x:c r="L9" s="29" t="str">
        <x:v>cross-cell</x:v>
      </x:c>
      <x:c r="M9" s="205" t="n">
        <x:v>1</x:v>
      </x:c>
      <x:c r="N9" s="205" t="n">
        <x:v>31</x:v>
      </x:c>
      <x:c r="O9" s="205" t="n">
        <x:v>-1</x:v>
      </x:c>
      <x:c r="P9" s="205" t="n">
        <x:v>0</x:v>
      </x:c>
      <x:c r="Q9" s="29" t="str">
        <x:v>One global pair remained after all cells were consumed.</x:v>
      </x:c>
    </x:row>
    <x:row r="10">
      <x:c r="A10" s="36" t="str">
        <x:v>Zoomed Square</x:v>
      </x:c>
      <x:c r="B10" s="37" t="n">
        <x:v>500</x:v>
      </x:c>
      <x:c r="C10" s="38" t="n">
        <x:v>0.7</x:v>
      </x:c>
      <x:c r="D10" s="37" t="n">
        <x:v>1</x:v>
      </x:c>
      <x:c r="E10" s="37" t="n">
        <x:v>4260616327</x:v>
      </x:c>
      <x:c r="F10" s="37" t="n">
        <x:v>470</x:v>
      </x:c>
      <x:c r="G10" s="37" t="n">
        <x:v>126</x:v>
      </x:c>
      <x:c r="H10" s="37" t="n">
        <x:v>246</x:v>
      </x:c>
      <x:c r="I10" s="37" t="n">
        <x:v>246</x:v>
      </x:c>
      <x:c r="J10" s="222" t="b">
        <x:v>0</x:v>
      </x:c>
      <x:c r="K10" s="37" t="n">
        <x:v>1</x:v>
      </x:c>
      <x:c r="L10" s="36" t="str">
        <x:v>cross-neighborhood</x:v>
      </x:c>
      <x:c r="M10" s="207" t="n">
        <x:v>1</x:v>
      </x:c>
      <x:c r="N10" s="207" t="n">
        <x:v>108</x:v>
      </x:c>
      <x:c r="O10" s="207" t="n">
        <x:v>-18</x:v>
      </x:c>
      <x:c r="P10" s="207" t="n">
        <x:v>0</x:v>
      </x:c>
      <x:c r="Q10" s="36" t="str">
        <x:v>One global pair remained across two neighborhoods.</x:v>
      </x:c>
    </x:row>
    <x:row r="13" ht="40" customHeight="1">
      <x:c r="A13" s="8" t="str">
        <x:v>Evidence</x:v>
      </x:c>
      <x:c r="B13" s="8" t="str">
        <x:v>Interpretation</x:v>
      </x:c>
    </x:row>
    <x:row r="14" ht="34" customHeight="1">
      <x:c r="A14" s="228" t="str">
        <x:v>Collision pre-prune was smaller in every flagged row</x:v>
      </x:c>
      <x:c r="B14" s="232" t="str">
        <x:v>Collision did not initially select more landmarks than Entropy.</x:v>
      </x:c>
    </x:row>
    <x:row r="15" ht="34" customHeight="1">
      <x:c r="A15" s="228" t="str">
        <x:v>Collision final equaled pre-prune; zero landmarks removed</x:v>
      </x:c>
      <x:c r="B15" s="232" t="str">
        <x:v>The global set was invalid, so deleting landmarks could not repair it.</x:v>
      </x:c>
    </x:row>
    <x:row r="16" ht="34" customHeight="1">
      <x:c r="A16" s="228" t="str">
        <x:v>All residual pairs crossed cells/neighborhoods</x:v>
      </x:c>
      <x:c r="B16" s="232" t="str">
        <x:v>Local uniqueness did not imply global uniqueness.</x:v>
      </x:c>
    </x:row>
    <x:row r="17" ht="34" customHeight="1">
      <x:c r="A17" s="228" t="str">
        <x:v>One or two repair probes restored validity</x:v>
      </x:c>
      <x:c r="B17" s="232" t="str">
        <x:v>The extreme reported sizes were repairable artifacts, not intrinsic metric dimension.</x:v>
      </x:c>
    </x:row>
    <x:row r="18" ht="34" customHeight="1">
      <x:c r="A18" s="228" t="str">
        <x:v>Circle and ICH were valid in all 48 pairs</x:v>
      </x:c>
      <x:c r="B18" s="232" t="str">
        <x:v>The problem is tied to local grouping, not the collision objective itself.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519383bb5784b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19" hidden="0" customWidth="1"/>
    <x:col min="27" max="27" width="19" hidden="0" customWidth="1"/>
    <x:col min="28" max="28" width="19" hidden="0" customWidth="1"/>
  </x:cols>
  <x:sheetData>
    <x:row r="1" ht="40" customHeight="1">
      <x:c r="A1" s="8" t="str">
        <x:v>family</x:v>
      </x:c>
      <x:c r="B1" s="8" t="str">
        <x:v>n</x:v>
      </x:c>
      <x:c r="C1" s="8" t="str">
        <x:v>radius</x:v>
      </x:c>
      <x:c r="D1" s="8" t="str">
        <x:v>repeat</x:v>
      </x:c>
      <x:c r="E1" s="8" t="str">
        <x:v>graph_seed</x:v>
      </x:c>
      <x:c r="F1" s="8" t="str">
        <x:v>edges</x:v>
      </x:c>
      <x:c r="G1" s="8" t="str">
        <x:v>components</x:v>
      </x:c>
      <x:c r="H1" s="8" t="str">
        <x:v>largest_component_size</x:v>
      </x:c>
      <x:c r="I1" s="8" t="str">
        <x:v>average_degree</x:v>
      </x:c>
      <x:c r="J1" s="8" t="str">
        <x:v>edge_density</x:v>
      </x:c>
      <x:c r="K1" s="8" t="str">
        <x:v>entropy_pre_prune</x:v>
      </x:c>
      <x:c r="L1" s="8" t="str">
        <x:v>entropy_size</x:v>
      </x:c>
      <x:c r="M1" s="8" t="str">
        <x:v>entropy_time_s</x:v>
      </x:c>
      <x:c r="N1" s="8" t="str">
        <x:v>entropy_valid</x:v>
      </x:c>
      <x:c r="O1" s="8" t="str">
        <x:v>collision_pre_prune</x:v>
      </x:c>
      <x:c r="P1" s="8" t="str">
        <x:v>collision_size</x:v>
      </x:c>
      <x:c r="Q1" s="8" t="str">
        <x:v>collision_time_s</x:v>
      </x:c>
      <x:c r="R1" s="8" t="str">
        <x:v>collision_valid</x:v>
      </x:c>
      <x:c r="S1" s="8" t="str">
        <x:v>both_valid</x:v>
      </x:c>
      <x:c r="T1" s="8" t="str">
        <x:v>collision_minus_entropy_size</x:v>
      </x:c>
      <x:c r="U1" s="8" t="str">
        <x:v>collision_minus_entropy_pre_prune</x:v>
      </x:c>
      <x:c r="V1" s="8" t="str">
        <x:v>collision_minus_entropy_time_s</x:v>
      </x:c>
      <x:c r="W1" s="8" t="str">
        <x:v>collision_entropy_size_ratio</x:v>
      </x:c>
      <x:c r="X1" s="8" t="str">
        <x:v>entropy_pruned</x:v>
      </x:c>
      <x:c r="Y1" s="8" t="str">
        <x:v>collision_pruned</x:v>
      </x:c>
      <x:c r="Z1" s="8" t="str">
        <x:v>valid_size_winner</x:v>
      </x:c>
      <x:c r="AA1" s="8" t="str">
        <x:v>faster_method</x:v>
      </x:c>
      <x:c r="AB1" s="8" t="str">
        <x:v>outlier_type</x:v>
      </x:c>
    </x:row>
    <x:row r="2">
      <x:c r="A2" s="22" t="str">
        <x:v>Grid</x:v>
      </x:c>
      <x:c r="B2" s="23" t="str">
        <x:f>'Raw Results'!A2</x:f>
        <x:v>50</x:v>
      </x:c>
      <x:c r="C2" s="24" t="str">
        <x:f>'Raw Results'!B2</x:f>
        <x:v>0.1</x:v>
      </x:c>
      <x:c r="D2" s="23" t="str">
        <x:f>'Raw Results'!C2</x:f>
        <x:v>1</x:v>
      </x:c>
      <x:c r="E2" s="23" t="str">
        <x:f>'Raw Results'!D2</x:f>
        <x:v>209009057</x:v>
      </x:c>
      <x:c r="F2" s="23" t="str">
        <x:f>'Raw Results'!E2</x:f>
        <x:v>34</x:v>
      </x:c>
      <x:c r="G2" s="23" t="str">
        <x:f>'Raw Results'!F2</x:f>
        <x:v>24</x:v>
      </x:c>
      <x:c r="H2" s="23" t="str">
        <x:f>'Raw Results'!G2</x:f>
        <x:v>12</x:v>
      </x:c>
      <x:c r="I2" s="25" t="str">
        <x:f>'Raw Results'!H2</x:f>
        <x:v>1.36</x:v>
      </x:c>
      <x:c r="J2" s="26" t="str">
        <x:f>'Raw Results'!I2</x:f>
        <x:v>0.027755102040816326</x:v>
      </x:c>
      <x:c r="K2" s="23" t="str">
        <x:f>'Raw Results'!L2</x:f>
        <x:v>28</x:v>
      </x:c>
      <x:c r="L2" s="23" t="str">
        <x:f>'Raw Results'!M2</x:f>
        <x:v>28</x:v>
      </x:c>
      <x:c r="M2" s="26" t="str">
        <x:f>'Raw Results'!N2</x:f>
        <x:v>0.0030211000703275204</x:v>
      </x:c>
      <x:c r="N2" s="23" t="n">
        <x:f>IF('Raw Results'!O2="True",1,0)</x:f>
        <x:v>0</x:v>
      </x:c>
      <x:c r="O2" s="23" t="str">
        <x:f>'Raw Results'!P2</x:f>
        <x:v>27</x:v>
      </x:c>
      <x:c r="P2" s="23" t="str">
        <x:f>'Raw Results'!Q2</x:f>
        <x:v>27</x:v>
      </x:c>
      <x:c r="Q2" s="26" t="str">
        <x:f>'Raw Results'!R2</x:f>
        <x:v>0.0017275999998673797</x:v>
      </x:c>
      <x:c r="R2" s="23" t="n">
        <x:f>IF('Raw Results'!S2="True",1,0)</x:f>
        <x:v>0</x:v>
      </x:c>
      <x:c r="S2" s="23" t="n">
        <x:f>N2*R2</x:f>
        <x:v>0</x:v>
      </x:c>
      <x:c r="T2" s="23" t="n">
        <x:f>P2-L2</x:f>
        <x:v>-1</x:v>
      </x:c>
      <x:c r="U2" s="23" t="n">
        <x:f>O2-K2</x:f>
        <x:v>-1</x:v>
      </x:c>
      <x:c r="V2" s="27" t="n">
        <x:f>Q2-M2</x:f>
        <x:v>-0.0012935000704601407</x:v>
      </x:c>
      <x:c r="W2" s="28" t="n">
        <x:f>IF(L2=0,"",P2/L2)</x:f>
        <x:v>0.9642857142857143</x:v>
      </x:c>
      <x:c r="X2" s="23" t="n">
        <x:f>K2-L2</x:f>
        <x:v>0</x:v>
      </x:c>
      <x:c r="Y2" s="23" t="n">
        <x:f>O2-P2</x:f>
        <x:v>0</x:v>
      </x:c>
      <x:c r="Z2" s="22" t="str">
        <x:f>IF(S2=0,"Excluded",IF(T2&lt;0,"Collision",IF(T2&gt;0,"Entropy","Tie")))</x:f>
        <x:v>Excluded</x:v>
      </x:c>
      <x:c r="AA2" s="22" t="str">
        <x:f>IF(V2&lt;0,"Collision",IF(V2&gt;0,"Entropy","Tie"))</x:f>
        <x:v>Collision</x:v>
      </x:c>
      <x:c r="AB2" s="22" t="str">
        <x:f>'Raw Results'!AC2</x:f>
        <x:v>none</x:v>
      </x:c>
    </x:row>
    <x:row r="3">
      <x:c r="A3" s="29" t="str">
        <x:v>Circle</x:v>
      </x:c>
      <x:c r="B3" s="30" t="str">
        <x:f>'Raw Results'!A2</x:f>
        <x:v>50</x:v>
      </x:c>
      <x:c r="C3" s="31" t="str">
        <x:f>'Raw Results'!B2</x:f>
        <x:v>0.1</x:v>
      </x:c>
      <x:c r="D3" s="30" t="str">
        <x:f>'Raw Results'!C2</x:f>
        <x:v>1</x:v>
      </x:c>
      <x:c r="E3" s="30" t="str">
        <x:f>'Raw Results'!D2</x:f>
        <x:v>209009057</x:v>
      </x:c>
      <x:c r="F3" s="30" t="str">
        <x:f>'Raw Results'!E2</x:f>
        <x:v>34</x:v>
      </x:c>
      <x:c r="G3" s="30" t="str">
        <x:f>'Raw Results'!F2</x:f>
        <x:v>24</x:v>
      </x:c>
      <x:c r="H3" s="30" t="str">
        <x:f>'Raw Results'!G2</x:f>
        <x:v>12</x:v>
      </x:c>
      <x:c r="I3" s="32" t="str">
        <x:f>'Raw Results'!H2</x:f>
        <x:v>1.36</x:v>
      </x:c>
      <x:c r="J3" s="33" t="str">
        <x:f>'Raw Results'!I2</x:f>
        <x:v>0.027755102040816326</x:v>
      </x:c>
      <x:c r="K3" s="30" t="str">
        <x:f>'Raw Results'!AD2</x:f>
        <x:v>34</x:v>
      </x:c>
      <x:c r="L3" s="30" t="str">
        <x:f>'Raw Results'!AE2</x:f>
        <x:v>28</x:v>
      </x:c>
      <x:c r="M3" s="33" t="str">
        <x:f>'Raw Results'!AF2</x:f>
        <x:v>0.0028360000578686595</x:v>
      </x:c>
      <x:c r="N3" s="30" t="n">
        <x:f>IF('Raw Results'!AG2="True",1,0)</x:f>
        <x:v>1</x:v>
      </x:c>
      <x:c r="O3" s="30" t="str">
        <x:f>'Raw Results'!AH2</x:f>
        <x:v>33</x:v>
      </x:c>
      <x:c r="P3" s="30" t="str">
        <x:f>'Raw Results'!AI2</x:f>
        <x:v>28</x:v>
      </x:c>
      <x:c r="Q3" s="33" t="str">
        <x:f>'Raw Results'!AJ2</x:f>
        <x:v>0.003015300026163459</x:v>
      </x:c>
      <x:c r="R3" s="30" t="n">
        <x:f>IF('Raw Results'!AK2="True",1,0)</x:f>
        <x:v>1</x:v>
      </x:c>
      <x:c r="S3" s="30" t="n">
        <x:f>N3*R3</x:f>
        <x:v>1</x:v>
      </x:c>
      <x:c r="T3" s="30" t="n">
        <x:f>P3-L3</x:f>
        <x:v>0</x:v>
      </x:c>
      <x:c r="U3" s="30" t="n">
        <x:f>O3-K3</x:f>
        <x:v>-1</x:v>
      </x:c>
      <x:c r="V3" s="34" t="n">
        <x:f>Q3-M3</x:f>
        <x:v>0.00017929996829479933</x:v>
      </x:c>
      <x:c r="W3" s="35" t="n">
        <x:f>IF(L3=0,"",P3/L3)</x:f>
        <x:v>1</x:v>
      </x:c>
      <x:c r="X3" s="30" t="n">
        <x:f>K3-L3</x:f>
        <x:v>6</x:v>
      </x:c>
      <x:c r="Y3" s="30" t="n">
        <x:f>O3-P3</x:f>
        <x:v>5</x:v>
      </x:c>
      <x:c r="Z3" s="29" t="str">
        <x:f>IF(S3=0,"Excluded",IF(T3&lt;0,"Collision",IF(T3&gt;0,"Entropy","Tie")))</x:f>
        <x:v>Tie</x:v>
      </x:c>
      <x:c r="AA3" s="29" t="str">
        <x:f>IF(V3&lt;0,"Collision",IF(V3&gt;0,"Entropy","Tie"))</x:f>
        <x:v>Entropy</x:v>
      </x:c>
      <x:c r="AB3" s="29" t="str">
        <x:f>'Raw Results'!AU2</x:f>
        <x:v>none</x:v>
      </x:c>
    </x:row>
    <x:row r="4">
      <x:c r="A4" s="29" t="str">
        <x:v>Zoomed Square</x:v>
      </x:c>
      <x:c r="B4" s="30" t="str">
        <x:f>'Raw Results'!A2</x:f>
        <x:v>50</x:v>
      </x:c>
      <x:c r="C4" s="31" t="str">
        <x:f>'Raw Results'!B2</x:f>
        <x:v>0.1</x:v>
      </x:c>
      <x:c r="D4" s="30" t="str">
        <x:f>'Raw Results'!C2</x:f>
        <x:v>1</x:v>
      </x:c>
      <x:c r="E4" s="30" t="str">
        <x:f>'Raw Results'!D2</x:f>
        <x:v>209009057</x:v>
      </x:c>
      <x:c r="F4" s="30" t="str">
        <x:f>'Raw Results'!E2</x:f>
        <x:v>34</x:v>
      </x:c>
      <x:c r="G4" s="30" t="str">
        <x:f>'Raw Results'!F2</x:f>
        <x:v>24</x:v>
      </x:c>
      <x:c r="H4" s="30" t="str">
        <x:f>'Raw Results'!G2</x:f>
        <x:v>12</x:v>
      </x:c>
      <x:c r="I4" s="32" t="str">
        <x:f>'Raw Results'!H2</x:f>
        <x:v>1.36</x:v>
      </x:c>
      <x:c r="J4" s="33" t="str">
        <x:f>'Raw Results'!I2</x:f>
        <x:v>0.027755102040816326</x:v>
      </x:c>
      <x:c r="K4" s="30" t="str">
        <x:f>'Raw Results'!AV2</x:f>
        <x:v>36</x:v>
      </x:c>
      <x:c r="L4" s="30" t="str">
        <x:f>'Raw Results'!AW2</x:f>
        <x:v>28</x:v>
      </x:c>
      <x:c r="M4" s="33" t="str">
        <x:f>'Raw Results'!AX2</x:f>
        <x:v>0.00331579998601228</x:v>
      </x:c>
      <x:c r="N4" s="30" t="n">
        <x:f>IF('Raw Results'!AY2="True",1,0)</x:f>
        <x:v>1</x:v>
      </x:c>
      <x:c r="O4" s="30" t="str">
        <x:f>'Raw Results'!AZ2</x:f>
        <x:v>35</x:v>
      </x:c>
      <x:c r="P4" s="30" t="str">
        <x:f>'Raw Results'!BA2</x:f>
        <x:v>28</x:v>
      </x:c>
      <x:c r="Q4" s="33" t="str">
        <x:f>'Raw Results'!BB2</x:f>
        <x:v>0.0030246999813243747</x:v>
      </x:c>
      <x:c r="R4" s="30" t="n">
        <x:f>IF('Raw Results'!BC2="True",1,0)</x:f>
        <x:v>1</x:v>
      </x:c>
      <x:c r="S4" s="30" t="n">
        <x:f>N4*R4</x:f>
        <x:v>1</x:v>
      </x:c>
      <x:c r="T4" s="30" t="n">
        <x:f>P4-L4</x:f>
        <x:v>0</x:v>
      </x:c>
      <x:c r="U4" s="30" t="n">
        <x:f>O4-K4</x:f>
        <x:v>-1</x:v>
      </x:c>
      <x:c r="V4" s="34" t="n">
        <x:f>Q4-M4</x:f>
        <x:v>-0.0002911000046879053</x:v>
      </x:c>
      <x:c r="W4" s="35" t="n">
        <x:f>IF(L4=0,"",P4/L4)</x:f>
        <x:v>1</x:v>
      </x:c>
      <x:c r="X4" s="30" t="n">
        <x:f>K4-L4</x:f>
        <x:v>8</x:v>
      </x:c>
      <x:c r="Y4" s="30" t="n">
        <x:f>O4-P4</x:f>
        <x:v>7</x:v>
      </x:c>
      <x:c r="Z4" s="29" t="str">
        <x:f>IF(S4=0,"Excluded",IF(T4&lt;0,"Collision",IF(T4&gt;0,"Entropy","Tie")))</x:f>
        <x:v>Tie</x:v>
      </x:c>
      <x:c r="AA4" s="29" t="str">
        <x:f>IF(V4&lt;0,"Collision",IF(V4&gt;0,"Entropy","Tie"))</x:f>
        <x:v>Collision</x:v>
      </x:c>
      <x:c r="AB4" s="29" t="str">
        <x:f>'Raw Results'!BM2</x:f>
        <x:v>none</x:v>
      </x:c>
    </x:row>
    <x:row r="5">
      <x:c r="A5" s="29" t="str">
        <x:v>ICH</x:v>
      </x:c>
      <x:c r="B5" s="30" t="str">
        <x:f>'Raw Results'!A2</x:f>
        <x:v>50</x:v>
      </x:c>
      <x:c r="C5" s="31" t="str">
        <x:f>'Raw Results'!B2</x:f>
        <x:v>0.1</x:v>
      </x:c>
      <x:c r="D5" s="30" t="str">
        <x:f>'Raw Results'!C2</x:f>
        <x:v>1</x:v>
      </x:c>
      <x:c r="E5" s="30" t="str">
        <x:f>'Raw Results'!D2</x:f>
        <x:v>209009057</x:v>
      </x:c>
      <x:c r="F5" s="30" t="str">
        <x:f>'Raw Results'!E2</x:f>
        <x:v>34</x:v>
      </x:c>
      <x:c r="G5" s="30" t="str">
        <x:f>'Raw Results'!F2</x:f>
        <x:v>24</x:v>
      </x:c>
      <x:c r="H5" s="30" t="str">
        <x:f>'Raw Results'!G2</x:f>
        <x:v>12</x:v>
      </x:c>
      <x:c r="I5" s="32" t="str">
        <x:f>'Raw Results'!H2</x:f>
        <x:v>1.36</x:v>
      </x:c>
      <x:c r="J5" s="33" t="str">
        <x:f>'Raw Results'!I2</x:f>
        <x:v>0.027755102040816326</x:v>
      </x:c>
      <x:c r="K5" s="30" t="str">
        <x:f>'Raw Results'!BN2</x:f>
        <x:v>28</x:v>
      </x:c>
      <x:c r="L5" s="30" t="str">
        <x:f>'Raw Results'!BO2</x:f>
        <x:v>28</x:v>
      </x:c>
      <x:c r="M5" s="33" t="str">
        <x:f>'Raw Results'!BP2</x:f>
        <x:v>0.035803799983114004</x:v>
      </x:c>
      <x:c r="N5" s="30" t="n">
        <x:f>IF('Raw Results'!BQ2="True",1,0)</x:f>
        <x:v>1</x:v>
      </x:c>
      <x:c r="O5" s="30" t="str">
        <x:f>'Raw Results'!BR2</x:f>
        <x:v>28</x:v>
      </x:c>
      <x:c r="P5" s="30" t="str">
        <x:f>'Raw Results'!BS2</x:f>
        <x:v>28</x:v>
      </x:c>
      <x:c r="Q5" s="33" t="str">
        <x:f>'Raw Results'!BT2</x:f>
        <x:v>0.034192000050097704</x:v>
      </x:c>
      <x:c r="R5" s="30" t="n">
        <x:f>IF('Raw Results'!BU2="True",1,0)</x:f>
        <x:v>1</x:v>
      </x:c>
      <x:c r="S5" s="30" t="n">
        <x:f>N5*R5</x:f>
        <x:v>1</x:v>
      </x:c>
      <x:c r="T5" s="30" t="n">
        <x:f>P5-L5</x:f>
        <x:v>0</x:v>
      </x:c>
      <x:c r="U5" s="30" t="n">
        <x:f>O5-K5</x:f>
        <x:v>0</x:v>
      </x:c>
      <x:c r="V5" s="34" t="n">
        <x:f>Q5-M5</x:f>
        <x:v>-0.0016117999330163002</x:v>
      </x:c>
      <x:c r="W5" s="35" t="n">
        <x:f>IF(L5=0,"",P5/L5)</x:f>
        <x:v>1</x:v>
      </x:c>
      <x:c r="X5" s="30" t="n">
        <x:f>K5-L5</x:f>
        <x:v>0</x:v>
      </x:c>
      <x:c r="Y5" s="30" t="n">
        <x:f>O5-P5</x:f>
        <x:v>0</x:v>
      </x:c>
      <x:c r="Z5" s="29" t="str">
        <x:f>IF(S5=0,"Excluded",IF(T5&lt;0,"Collision",IF(T5&gt;0,"Entropy","Tie")))</x:f>
        <x:v>Tie</x:v>
      </x:c>
      <x:c r="AA5" s="29" t="str">
        <x:f>IF(V5&lt;0,"Collision",IF(V5&gt;0,"Entropy","Tie"))</x:f>
        <x:v>Collision</x:v>
      </x:c>
      <x:c r="AB5" s="29" t="str">
        <x:f>'Raw Results'!CE2</x:f>
        <x:v>none</x:v>
      </x:c>
    </x:row>
    <x:row r="6">
      <x:c r="A6" s="29" t="str">
        <x:v>Grid</x:v>
      </x:c>
      <x:c r="B6" s="30" t="str">
        <x:f>'Raw Results'!A3</x:f>
        <x:v>50</x:v>
      </x:c>
      <x:c r="C6" s="31" t="str">
        <x:f>'Raw Results'!B3</x:f>
        <x:v>0.1</x:v>
      </x:c>
      <x:c r="D6" s="30" t="str">
        <x:f>'Raw Results'!C3</x:f>
        <x:v>2</x:v>
      </x:c>
      <x:c r="E6" s="30" t="str">
        <x:f>'Raw Results'!D3</x:f>
        <x:v>19468622</x:v>
      </x:c>
      <x:c r="F6" s="30" t="str">
        <x:f>'Raw Results'!E3</x:f>
        <x:v>37</x:v>
      </x:c>
      <x:c r="G6" s="30" t="str">
        <x:f>'Raw Results'!F3</x:f>
        <x:v>23</x:v>
      </x:c>
      <x:c r="H6" s="30" t="str">
        <x:f>'Raw Results'!G3</x:f>
        <x:v>10</x:v>
      </x:c>
      <x:c r="I6" s="32" t="str">
        <x:f>'Raw Results'!H3</x:f>
        <x:v>1.48</x:v>
      </x:c>
      <x:c r="J6" s="33" t="str">
        <x:f>'Raw Results'!I3</x:f>
        <x:v>0.030204081632653063</x:v>
      </x:c>
      <x:c r="K6" s="30" t="str">
        <x:f>'Raw Results'!L3</x:f>
        <x:v>32</x:v>
      </x:c>
      <x:c r="L6" s="30" t="str">
        <x:f>'Raw Results'!M3</x:f>
        <x:v>32</x:v>
      </x:c>
      <x:c r="M6" s="33" t="str">
        <x:f>'Raw Results'!N3</x:f>
        <x:v>0.001999200088903308</x:v>
      </x:c>
      <x:c r="N6" s="30" t="n">
        <x:f>IF('Raw Results'!O3="True",1,0)</x:f>
        <x:v>0</x:v>
      </x:c>
      <x:c r="O6" s="30" t="str">
        <x:f>'Raw Results'!P3</x:f>
        <x:v>29</x:v>
      </x:c>
      <x:c r="P6" s="30" t="str">
        <x:f>'Raw Results'!Q3</x:f>
        <x:v>29</x:v>
      </x:c>
      <x:c r="Q6" s="33" t="str">
        <x:f>'Raw Results'!R3</x:f>
        <x:v>0.0019987000850960612</x:v>
      </x:c>
      <x:c r="R6" s="30" t="n">
        <x:f>IF('Raw Results'!S3="True",1,0)</x:f>
        <x:v>0</x:v>
      </x:c>
      <x:c r="S6" s="30" t="n">
        <x:f>N6*R6</x:f>
        <x:v>0</x:v>
      </x:c>
      <x:c r="T6" s="30" t="n">
        <x:f>P6-L6</x:f>
        <x:v>-3</x:v>
      </x:c>
      <x:c r="U6" s="30" t="n">
        <x:f>O6-K6</x:f>
        <x:v>-3</x:v>
      </x:c>
      <x:c r="V6" s="34" t="n">
        <x:f>Q6-M6</x:f>
        <x:v>-5.00003807246685e-7</x:v>
      </x:c>
      <x:c r="W6" s="35" t="n">
        <x:f>IF(L6=0,"",P6/L6)</x:f>
        <x:v>0.90625</x:v>
      </x:c>
      <x:c r="X6" s="30" t="n">
        <x:f>K6-L6</x:f>
        <x:v>0</x:v>
      </x:c>
      <x:c r="Y6" s="30" t="n">
        <x:f>O6-P6</x:f>
        <x:v>0</x:v>
      </x:c>
      <x:c r="Z6" s="29" t="str">
        <x:f>IF(S6=0,"Excluded",IF(T6&lt;0,"Collision",IF(T6&gt;0,"Entropy","Tie")))</x:f>
        <x:v>Excluded</x:v>
      </x:c>
      <x:c r="AA6" s="29" t="str">
        <x:f>IF(V6&lt;0,"Collision",IF(V6&gt;0,"Entropy","Tie"))</x:f>
        <x:v>Collision</x:v>
      </x:c>
      <x:c r="AB6" s="29" t="str">
        <x:f>'Raw Results'!AC3</x:f>
        <x:v>none</x:v>
      </x:c>
    </x:row>
    <x:row r="7">
      <x:c r="A7" s="29" t="str">
        <x:v>Circle</x:v>
      </x:c>
      <x:c r="B7" s="30" t="str">
        <x:f>'Raw Results'!A3</x:f>
        <x:v>50</x:v>
      </x:c>
      <x:c r="C7" s="31" t="str">
        <x:f>'Raw Results'!B3</x:f>
        <x:v>0.1</x:v>
      </x:c>
      <x:c r="D7" s="30" t="str">
        <x:f>'Raw Results'!C3</x:f>
        <x:v>2</x:v>
      </x:c>
      <x:c r="E7" s="30" t="str">
        <x:f>'Raw Results'!D3</x:f>
        <x:v>19468622</x:v>
      </x:c>
      <x:c r="F7" s="30" t="str">
        <x:f>'Raw Results'!E3</x:f>
        <x:v>37</x:v>
      </x:c>
      <x:c r="G7" s="30" t="str">
        <x:f>'Raw Results'!F3</x:f>
        <x:v>23</x:v>
      </x:c>
      <x:c r="H7" s="30" t="str">
        <x:f>'Raw Results'!G3</x:f>
        <x:v>10</x:v>
      </x:c>
      <x:c r="I7" s="32" t="str">
        <x:f>'Raw Results'!H3</x:f>
        <x:v>1.48</x:v>
      </x:c>
      <x:c r="J7" s="33" t="str">
        <x:f>'Raw Results'!I3</x:f>
        <x:v>0.030204081632653063</x:v>
      </x:c>
      <x:c r="K7" s="30" t="str">
        <x:f>'Raw Results'!AD3</x:f>
        <x:v>32</x:v>
      </x:c>
      <x:c r="L7" s="30" t="str">
        <x:f>'Raw Results'!AE3</x:f>
        <x:v>27</x:v>
      </x:c>
      <x:c r="M7" s="33" t="str">
        <x:f>'Raw Results'!AF3</x:f>
        <x:v>0.00282260007224977</x:v>
      </x:c>
      <x:c r="N7" s="30" t="n">
        <x:f>IF('Raw Results'!AG3="True",1,0)</x:f>
        <x:v>1</x:v>
      </x:c>
      <x:c r="O7" s="30" t="str">
        <x:f>'Raw Results'!AH3</x:f>
        <x:v>32</x:v>
      </x:c>
      <x:c r="P7" s="30" t="str">
        <x:f>'Raw Results'!AI3</x:f>
        <x:v>27</x:v>
      </x:c>
      <x:c r="Q7" s="33" t="str">
        <x:f>'Raw Results'!AJ3</x:f>
        <x:v>0.0034866000059992075</x:v>
      </x:c>
      <x:c r="R7" s="30" t="n">
        <x:f>IF('Raw Results'!AK3="True",1,0)</x:f>
        <x:v>1</x:v>
      </x:c>
      <x:c r="S7" s="30" t="n">
        <x:f>N7*R7</x:f>
        <x:v>1</x:v>
      </x:c>
      <x:c r="T7" s="30" t="n">
        <x:f>P7-L7</x:f>
        <x:v>0</x:v>
      </x:c>
      <x:c r="U7" s="30" t="n">
        <x:f>O7-K7</x:f>
        <x:v>0</x:v>
      </x:c>
      <x:c r="V7" s="34" t="n">
        <x:f>Q7-M7</x:f>
        <x:v>0.0006639999337494373</x:v>
      </x:c>
      <x:c r="W7" s="35" t="n">
        <x:f>IF(L7=0,"",P7/L7)</x:f>
        <x:v>1</x:v>
      </x:c>
      <x:c r="X7" s="30" t="n">
        <x:f>K7-L7</x:f>
        <x:v>5</x:v>
      </x:c>
      <x:c r="Y7" s="30" t="n">
        <x:f>O7-P7</x:f>
        <x:v>5</x:v>
      </x:c>
      <x:c r="Z7" s="29" t="str">
        <x:f>IF(S7=0,"Excluded",IF(T7&lt;0,"Collision",IF(T7&gt;0,"Entropy","Tie")))</x:f>
        <x:v>Tie</x:v>
      </x:c>
      <x:c r="AA7" s="29" t="str">
        <x:f>IF(V7&lt;0,"Collision",IF(V7&gt;0,"Entropy","Tie"))</x:f>
        <x:v>Entropy</x:v>
      </x:c>
      <x:c r="AB7" s="29" t="str">
        <x:f>'Raw Results'!AU3</x:f>
        <x:v>none</x:v>
      </x:c>
    </x:row>
    <x:row r="8">
      <x:c r="A8" s="29" t="str">
        <x:v>Zoomed Square</x:v>
      </x:c>
      <x:c r="B8" s="30" t="str">
        <x:f>'Raw Results'!A3</x:f>
        <x:v>50</x:v>
      </x:c>
      <x:c r="C8" s="31" t="str">
        <x:f>'Raw Results'!B3</x:f>
        <x:v>0.1</x:v>
      </x:c>
      <x:c r="D8" s="30" t="str">
        <x:f>'Raw Results'!C3</x:f>
        <x:v>2</x:v>
      </x:c>
      <x:c r="E8" s="30" t="str">
        <x:f>'Raw Results'!D3</x:f>
        <x:v>19468622</x:v>
      </x:c>
      <x:c r="F8" s="30" t="str">
        <x:f>'Raw Results'!E3</x:f>
        <x:v>37</x:v>
      </x:c>
      <x:c r="G8" s="30" t="str">
        <x:f>'Raw Results'!F3</x:f>
        <x:v>23</x:v>
      </x:c>
      <x:c r="H8" s="30" t="str">
        <x:f>'Raw Results'!G3</x:f>
        <x:v>10</x:v>
      </x:c>
      <x:c r="I8" s="32" t="str">
        <x:f>'Raw Results'!H3</x:f>
        <x:v>1.48</x:v>
      </x:c>
      <x:c r="J8" s="33" t="str">
        <x:f>'Raw Results'!I3</x:f>
        <x:v>0.030204081632653063</x:v>
      </x:c>
      <x:c r="K8" s="30" t="str">
        <x:f>'Raw Results'!AV3</x:f>
        <x:v>35</x:v>
      </x:c>
      <x:c r="L8" s="30" t="str">
        <x:f>'Raw Results'!AW3</x:f>
        <x:v>27</x:v>
      </x:c>
      <x:c r="M8" s="33" t="str">
        <x:f>'Raw Results'!AX3</x:f>
        <x:v>0.002898000064305961</x:v>
      </x:c>
      <x:c r="N8" s="30" t="n">
        <x:f>IF('Raw Results'!AY3="True",1,0)</x:f>
        <x:v>1</x:v>
      </x:c>
      <x:c r="O8" s="30" t="str">
        <x:f>'Raw Results'!AZ3</x:f>
        <x:v>35</x:v>
      </x:c>
      <x:c r="P8" s="30" t="str">
        <x:f>'Raw Results'!BA3</x:f>
        <x:v>27</x:v>
      </x:c>
      <x:c r="Q8" s="33" t="str">
        <x:f>'Raw Results'!BB3</x:f>
        <x:v>0.0026942999102175236</x:v>
      </x:c>
      <x:c r="R8" s="30" t="n">
        <x:f>IF('Raw Results'!BC3="True",1,0)</x:f>
        <x:v>1</x:v>
      </x:c>
      <x:c r="S8" s="30" t="n">
        <x:f>N8*R8</x:f>
        <x:v>1</x:v>
      </x:c>
      <x:c r="T8" s="30" t="n">
        <x:f>P8-L8</x:f>
        <x:v>0</x:v>
      </x:c>
      <x:c r="U8" s="30" t="n">
        <x:f>O8-K8</x:f>
        <x:v>0</x:v>
      </x:c>
      <x:c r="V8" s="34" t="n">
        <x:f>Q8-M8</x:f>
        <x:v>-0.00020370015408843756</x:v>
      </x:c>
      <x:c r="W8" s="35" t="n">
        <x:f>IF(L8=0,"",P8/L8)</x:f>
        <x:v>1</x:v>
      </x:c>
      <x:c r="X8" s="30" t="n">
        <x:f>K8-L8</x:f>
        <x:v>8</x:v>
      </x:c>
      <x:c r="Y8" s="30" t="n">
        <x:f>O8-P8</x:f>
        <x:v>8</x:v>
      </x:c>
      <x:c r="Z8" s="29" t="str">
        <x:f>IF(S8=0,"Excluded",IF(T8&lt;0,"Collision",IF(T8&gt;0,"Entropy","Tie")))</x:f>
        <x:v>Tie</x:v>
      </x:c>
      <x:c r="AA8" s="29" t="str">
        <x:f>IF(V8&lt;0,"Collision",IF(V8&gt;0,"Entropy","Tie"))</x:f>
        <x:v>Collision</x:v>
      </x:c>
      <x:c r="AB8" s="29" t="str">
        <x:f>'Raw Results'!BM3</x:f>
        <x:v>none</x:v>
      </x:c>
    </x:row>
    <x:row r="9">
      <x:c r="A9" s="29" t="str">
        <x:v>ICH</x:v>
      </x:c>
      <x:c r="B9" s="30" t="str">
        <x:f>'Raw Results'!A3</x:f>
        <x:v>50</x:v>
      </x:c>
      <x:c r="C9" s="31" t="str">
        <x:f>'Raw Results'!B3</x:f>
        <x:v>0.1</x:v>
      </x:c>
      <x:c r="D9" s="30" t="str">
        <x:f>'Raw Results'!C3</x:f>
        <x:v>2</x:v>
      </x:c>
      <x:c r="E9" s="30" t="str">
        <x:f>'Raw Results'!D3</x:f>
        <x:v>19468622</x:v>
      </x:c>
      <x:c r="F9" s="30" t="str">
        <x:f>'Raw Results'!E3</x:f>
        <x:v>37</x:v>
      </x:c>
      <x:c r="G9" s="30" t="str">
        <x:f>'Raw Results'!F3</x:f>
        <x:v>23</x:v>
      </x:c>
      <x:c r="H9" s="30" t="str">
        <x:f>'Raw Results'!G3</x:f>
        <x:v>10</x:v>
      </x:c>
      <x:c r="I9" s="32" t="str">
        <x:f>'Raw Results'!H3</x:f>
        <x:v>1.48</x:v>
      </x:c>
      <x:c r="J9" s="33" t="str">
        <x:f>'Raw Results'!I3</x:f>
        <x:v>0.030204081632653063</x:v>
      </x:c>
      <x:c r="K9" s="30" t="str">
        <x:f>'Raw Results'!BN3</x:f>
        <x:v>27</x:v>
      </x:c>
      <x:c r="L9" s="30" t="str">
        <x:f>'Raw Results'!BO3</x:f>
        <x:v>27</x:v>
      </x:c>
      <x:c r="M9" s="33" t="str">
        <x:f>'Raw Results'!BP3</x:f>
        <x:v>0.034058399964123964</x:v>
      </x:c>
      <x:c r="N9" s="30" t="n">
        <x:f>IF('Raw Results'!BQ3="True",1,0)</x:f>
        <x:v>1</x:v>
      </x:c>
      <x:c r="O9" s="30" t="str">
        <x:f>'Raw Results'!BR3</x:f>
        <x:v>27</x:v>
      </x:c>
      <x:c r="P9" s="30" t="str">
        <x:f>'Raw Results'!BS3</x:f>
        <x:v>27</x:v>
      </x:c>
      <x:c r="Q9" s="33" t="str">
        <x:f>'Raw Results'!BT3</x:f>
        <x:v>0.033850800013169646</x:v>
      </x:c>
      <x:c r="R9" s="30" t="n">
        <x:f>IF('Raw Results'!BU3="True",1,0)</x:f>
        <x:v>1</x:v>
      </x:c>
      <x:c r="S9" s="30" t="n">
        <x:f>N9*R9</x:f>
        <x:v>1</x:v>
      </x:c>
      <x:c r="T9" s="30" t="n">
        <x:f>P9-L9</x:f>
        <x:v>0</x:v>
      </x:c>
      <x:c r="U9" s="30" t="n">
        <x:f>O9-K9</x:f>
        <x:v>0</x:v>
      </x:c>
      <x:c r="V9" s="34" t="n">
        <x:f>Q9-M9</x:f>
        <x:v>-0.00020759995095431805</x:v>
      </x:c>
      <x:c r="W9" s="35" t="n">
        <x:f>IF(L9=0,"",P9/L9)</x:f>
        <x:v>1</x:v>
      </x:c>
      <x:c r="X9" s="30" t="n">
        <x:f>K9-L9</x:f>
        <x:v>0</x:v>
      </x:c>
      <x:c r="Y9" s="30" t="n">
        <x:f>O9-P9</x:f>
        <x:v>0</x:v>
      </x:c>
      <x:c r="Z9" s="29" t="str">
        <x:f>IF(S9=0,"Excluded",IF(T9&lt;0,"Collision",IF(T9&gt;0,"Entropy","Tie")))</x:f>
        <x:v>Tie</x:v>
      </x:c>
      <x:c r="AA9" s="29" t="str">
        <x:f>IF(V9&lt;0,"Collision",IF(V9&gt;0,"Entropy","Tie"))</x:f>
        <x:v>Collision</x:v>
      </x:c>
      <x:c r="AB9" s="29" t="str">
        <x:f>'Raw Results'!CE3</x:f>
        <x:v>none</x:v>
      </x:c>
    </x:row>
    <x:row r="10">
      <x:c r="A10" s="29" t="str">
        <x:v>Grid</x:v>
      </x:c>
      <x:c r="B10" s="30" t="str">
        <x:f>'Raw Results'!A4</x:f>
        <x:v>50</x:v>
      </x:c>
      <x:c r="C10" s="31" t="str">
        <x:f>'Raw Results'!B4</x:f>
        <x:v>0.1</x:v>
      </x:c>
      <x:c r="D10" s="30" t="str">
        <x:f>'Raw Results'!C4</x:f>
        <x:v>3</x:v>
      </x:c>
      <x:c r="E10" s="30" t="str">
        <x:f>'Raw Results'!D4</x:f>
        <x:v>2553414308</x:v>
      </x:c>
      <x:c r="F10" s="30" t="str">
        <x:f>'Raw Results'!E4</x:f>
        <x:v>29</x:v>
      </x:c>
      <x:c r="G10" s="30" t="str">
        <x:f>'Raw Results'!F4</x:f>
        <x:v>27</x:v>
      </x:c>
      <x:c r="H10" s="30" t="str">
        <x:f>'Raw Results'!G4</x:f>
        <x:v>6</x:v>
      </x:c>
      <x:c r="I10" s="32" t="str">
        <x:f>'Raw Results'!H4</x:f>
        <x:v>1.16</x:v>
      </x:c>
      <x:c r="J10" s="33" t="str">
        <x:f>'Raw Results'!I4</x:f>
        <x:v>0.0236734693877551</x:v>
      </x:c>
      <x:c r="K10" s="30" t="str">
        <x:f>'Raw Results'!L4</x:f>
        <x:v>28</x:v>
      </x:c>
      <x:c r="L10" s="30" t="str">
        <x:f>'Raw Results'!M4</x:f>
        <x:v>28</x:v>
      </x:c>
      <x:c r="M10" s="33" t="str">
        <x:f>'Raw Results'!N4</x:f>
        <x:v>0.0019138000207021832</x:v>
      </x:c>
      <x:c r="N10" s="30" t="n">
        <x:f>IF('Raw Results'!O4="True",1,0)</x:f>
        <x:v>0</x:v>
      </x:c>
      <x:c r="O10" s="30" t="str">
        <x:f>'Raw Results'!P4</x:f>
        <x:v>28</x:v>
      </x:c>
      <x:c r="P10" s="30" t="str">
        <x:f>'Raw Results'!Q4</x:f>
        <x:v>28</x:v>
      </x:c>
      <x:c r="Q10" s="33" t="str">
        <x:f>'Raw Results'!R4</x:f>
        <x:v>0.0018563000485301018</x:v>
      </x:c>
      <x:c r="R10" s="30" t="n">
        <x:f>IF('Raw Results'!S4="True",1,0)</x:f>
        <x:v>0</x:v>
      </x:c>
      <x:c r="S10" s="30" t="n">
        <x:f>N10*R10</x:f>
        <x:v>0</x:v>
      </x:c>
      <x:c r="T10" s="30" t="n">
        <x:f>P10-L10</x:f>
        <x:v>0</x:v>
      </x:c>
      <x:c r="U10" s="30" t="n">
        <x:f>O10-K10</x:f>
        <x:v>0</x:v>
      </x:c>
      <x:c r="V10" s="34" t="n">
        <x:f>Q10-M10</x:f>
        <x:v>-0.00005749997217208147</x:v>
      </x:c>
      <x:c r="W10" s="35" t="n">
        <x:f>IF(L10=0,"",P10/L10)</x:f>
        <x:v>1</x:v>
      </x:c>
      <x:c r="X10" s="30" t="n">
        <x:f>K10-L10</x:f>
        <x:v>0</x:v>
      </x:c>
      <x:c r="Y10" s="30" t="n">
        <x:f>O10-P10</x:f>
        <x:v>0</x:v>
      </x:c>
      <x:c r="Z10" s="29" t="str">
        <x:f>IF(S10=0,"Excluded",IF(T10&lt;0,"Collision",IF(T10&gt;0,"Entropy","Tie")))</x:f>
        <x:v>Excluded</x:v>
      </x:c>
      <x:c r="AA10" s="29" t="str">
        <x:f>IF(V10&lt;0,"Collision",IF(V10&gt;0,"Entropy","Tie"))</x:f>
        <x:v>Collision</x:v>
      </x:c>
      <x:c r="AB10" s="29" t="str">
        <x:f>'Raw Results'!AC4</x:f>
        <x:v>none</x:v>
      </x:c>
    </x:row>
    <x:row r="11">
      <x:c r="A11" s="29" t="str">
        <x:v>Circle</x:v>
      </x:c>
      <x:c r="B11" s="30" t="str">
        <x:f>'Raw Results'!A4</x:f>
        <x:v>50</x:v>
      </x:c>
      <x:c r="C11" s="31" t="str">
        <x:f>'Raw Results'!B4</x:f>
        <x:v>0.1</x:v>
      </x:c>
      <x:c r="D11" s="30" t="str">
        <x:f>'Raw Results'!C4</x:f>
        <x:v>3</x:v>
      </x:c>
      <x:c r="E11" s="30" t="str">
        <x:f>'Raw Results'!D4</x:f>
        <x:v>2553414308</x:v>
      </x:c>
      <x:c r="F11" s="30" t="str">
        <x:f>'Raw Results'!E4</x:f>
        <x:v>29</x:v>
      </x:c>
      <x:c r="G11" s="30" t="str">
        <x:f>'Raw Results'!F4</x:f>
        <x:v>27</x:v>
      </x:c>
      <x:c r="H11" s="30" t="str">
        <x:f>'Raw Results'!G4</x:f>
        <x:v>6</x:v>
      </x:c>
      <x:c r="I11" s="32" t="str">
        <x:f>'Raw Results'!H4</x:f>
        <x:v>1.16</x:v>
      </x:c>
      <x:c r="J11" s="33" t="str">
        <x:f>'Raw Results'!I4</x:f>
        <x:v>0.0236734693877551</x:v>
      </x:c>
      <x:c r="K11" s="30" t="str">
        <x:f>'Raw Results'!AD4</x:f>
        <x:v>36</x:v>
      </x:c>
      <x:c r="L11" s="30" t="str">
        <x:f>'Raw Results'!AE4</x:f>
        <x:v>30</x:v>
      </x:c>
      <x:c r="M11" s="33" t="str">
        <x:f>'Raw Results'!AF4</x:f>
        <x:v>0.003739599953405559</x:v>
      </x:c>
      <x:c r="N11" s="30" t="n">
        <x:f>IF('Raw Results'!AG4="True",1,0)</x:f>
        <x:v>1</x:v>
      </x:c>
      <x:c r="O11" s="30" t="str">
        <x:f>'Raw Results'!AH4</x:f>
        <x:v>35</x:v>
      </x:c>
      <x:c r="P11" s="30" t="str">
        <x:f>'Raw Results'!AI4</x:f>
        <x:v>30</x:v>
      </x:c>
      <x:c r="Q11" s="33" t="str">
        <x:f>'Raw Results'!AJ4</x:f>
        <x:v>0.00322089996188879</x:v>
      </x:c>
      <x:c r="R11" s="30" t="n">
        <x:f>IF('Raw Results'!AK4="True",1,0)</x:f>
        <x:v>1</x:v>
      </x:c>
      <x:c r="S11" s="30" t="n">
        <x:f>N11*R11</x:f>
        <x:v>1</x:v>
      </x:c>
      <x:c r="T11" s="30" t="n">
        <x:f>P11-L11</x:f>
        <x:v>0</x:v>
      </x:c>
      <x:c r="U11" s="30" t="n">
        <x:f>O11-K11</x:f>
        <x:v>-1</x:v>
      </x:c>
      <x:c r="V11" s="34" t="n">
        <x:f>Q11-M11</x:f>
        <x:v>-0.0005186999915167689</x:v>
      </x:c>
      <x:c r="W11" s="35" t="n">
        <x:f>IF(L11=0,"",P11/L11)</x:f>
        <x:v>1</x:v>
      </x:c>
      <x:c r="X11" s="30" t="n">
        <x:f>K11-L11</x:f>
        <x:v>6</x:v>
      </x:c>
      <x:c r="Y11" s="30" t="n">
        <x:f>O11-P11</x:f>
        <x:v>5</x:v>
      </x:c>
      <x:c r="Z11" s="29" t="str">
        <x:f>IF(S11=0,"Excluded",IF(T11&lt;0,"Collision",IF(T11&gt;0,"Entropy","Tie")))</x:f>
        <x:v>Tie</x:v>
      </x:c>
      <x:c r="AA11" s="29" t="str">
        <x:f>IF(V11&lt;0,"Collision",IF(V11&gt;0,"Entropy","Tie"))</x:f>
        <x:v>Collision</x:v>
      </x:c>
      <x:c r="AB11" s="29" t="str">
        <x:f>'Raw Results'!AU4</x:f>
        <x:v>none</x:v>
      </x:c>
    </x:row>
    <x:row r="12">
      <x:c r="A12" s="29" t="str">
        <x:v>Zoomed Square</x:v>
      </x:c>
      <x:c r="B12" s="30" t="str">
        <x:f>'Raw Results'!A4</x:f>
        <x:v>50</x:v>
      </x:c>
      <x:c r="C12" s="31" t="str">
        <x:f>'Raw Results'!B4</x:f>
        <x:v>0.1</x:v>
      </x:c>
      <x:c r="D12" s="30" t="str">
        <x:f>'Raw Results'!C4</x:f>
        <x:v>3</x:v>
      </x:c>
      <x:c r="E12" s="30" t="str">
        <x:f>'Raw Results'!D4</x:f>
        <x:v>2553414308</x:v>
      </x:c>
      <x:c r="F12" s="30" t="str">
        <x:f>'Raw Results'!E4</x:f>
        <x:v>29</x:v>
      </x:c>
      <x:c r="G12" s="30" t="str">
        <x:f>'Raw Results'!F4</x:f>
        <x:v>27</x:v>
      </x:c>
      <x:c r="H12" s="30" t="str">
        <x:f>'Raw Results'!G4</x:f>
        <x:v>6</x:v>
      </x:c>
      <x:c r="I12" s="32" t="str">
        <x:f>'Raw Results'!H4</x:f>
        <x:v>1.16</x:v>
      </x:c>
      <x:c r="J12" s="33" t="str">
        <x:f>'Raw Results'!I4</x:f>
        <x:v>0.0236734693877551</x:v>
      </x:c>
      <x:c r="K12" s="30" t="str">
        <x:f>'Raw Results'!AV4</x:f>
        <x:v>34</x:v>
      </x:c>
      <x:c r="L12" s="30" t="str">
        <x:f>'Raw Results'!AW4</x:f>
        <x:v>30</x:v>
      </x:c>
      <x:c r="M12" s="33" t="str">
        <x:f>'Raw Results'!AX4</x:f>
        <x:v>0.003042900003492832</x:v>
      </x:c>
      <x:c r="N12" s="30" t="n">
        <x:f>IF('Raw Results'!AY4="True",1,0)</x:f>
        <x:v>1</x:v>
      </x:c>
      <x:c r="O12" s="30" t="str">
        <x:f>'Raw Results'!AZ4</x:f>
        <x:v>34</x:v>
      </x:c>
      <x:c r="P12" s="30" t="str">
        <x:f>'Raw Results'!BA4</x:f>
        <x:v>30</x:v>
      </x:c>
      <x:c r="Q12" s="33" t="str">
        <x:f>'Raw Results'!BB4</x:f>
        <x:v>0.0030397999798879027</x:v>
      </x:c>
      <x:c r="R12" s="30" t="n">
        <x:f>IF('Raw Results'!BC4="True",1,0)</x:f>
        <x:v>1</x:v>
      </x:c>
      <x:c r="S12" s="30" t="n">
        <x:f>N12*R12</x:f>
        <x:v>1</x:v>
      </x:c>
      <x:c r="T12" s="30" t="n">
        <x:f>P12-L12</x:f>
        <x:v>0</x:v>
      </x:c>
      <x:c r="U12" s="30" t="n">
        <x:f>O12-K12</x:f>
        <x:v>0</x:v>
      </x:c>
      <x:c r="V12" s="34" t="n">
        <x:f>Q12-M12</x:f>
        <x:v>-0.000003100023604929447</x:v>
      </x:c>
      <x:c r="W12" s="35" t="n">
        <x:f>IF(L12=0,"",P12/L12)</x:f>
        <x:v>1</x:v>
      </x:c>
      <x:c r="X12" s="30" t="n">
        <x:f>K12-L12</x:f>
        <x:v>4</x:v>
      </x:c>
      <x:c r="Y12" s="30" t="n">
        <x:f>O12-P12</x:f>
        <x:v>4</x:v>
      </x:c>
      <x:c r="Z12" s="29" t="str">
        <x:f>IF(S12=0,"Excluded",IF(T12&lt;0,"Collision",IF(T12&gt;0,"Entropy","Tie")))</x:f>
        <x:v>Tie</x:v>
      </x:c>
      <x:c r="AA12" s="29" t="str">
        <x:f>IF(V12&lt;0,"Collision",IF(V12&gt;0,"Entropy","Tie"))</x:f>
        <x:v>Collision</x:v>
      </x:c>
      <x:c r="AB12" s="29" t="str">
        <x:f>'Raw Results'!BM4</x:f>
        <x:v>none</x:v>
      </x:c>
    </x:row>
    <x:row r="13">
      <x:c r="A13" s="29" t="str">
        <x:v>ICH</x:v>
      </x:c>
      <x:c r="B13" s="30" t="str">
        <x:f>'Raw Results'!A4</x:f>
        <x:v>50</x:v>
      </x:c>
      <x:c r="C13" s="31" t="str">
        <x:f>'Raw Results'!B4</x:f>
        <x:v>0.1</x:v>
      </x:c>
      <x:c r="D13" s="30" t="str">
        <x:f>'Raw Results'!C4</x:f>
        <x:v>3</x:v>
      </x:c>
      <x:c r="E13" s="30" t="str">
        <x:f>'Raw Results'!D4</x:f>
        <x:v>2553414308</x:v>
      </x:c>
      <x:c r="F13" s="30" t="str">
        <x:f>'Raw Results'!E4</x:f>
        <x:v>29</x:v>
      </x:c>
      <x:c r="G13" s="30" t="str">
        <x:f>'Raw Results'!F4</x:f>
        <x:v>27</x:v>
      </x:c>
      <x:c r="H13" s="30" t="str">
        <x:f>'Raw Results'!G4</x:f>
        <x:v>6</x:v>
      </x:c>
      <x:c r="I13" s="32" t="str">
        <x:f>'Raw Results'!H4</x:f>
        <x:v>1.16</x:v>
      </x:c>
      <x:c r="J13" s="33" t="str">
        <x:f>'Raw Results'!I4</x:f>
        <x:v>0.0236734693877551</x:v>
      </x:c>
      <x:c r="K13" s="30" t="str">
        <x:f>'Raw Results'!BN4</x:f>
        <x:v>30</x:v>
      </x:c>
      <x:c r="L13" s="30" t="str">
        <x:f>'Raw Results'!BO4</x:f>
        <x:v>30</x:v>
      </x:c>
      <x:c r="M13" s="33" t="str">
        <x:f>'Raw Results'!BP4</x:f>
        <x:v>0.03721380000934005</x:v>
      </x:c>
      <x:c r="N13" s="30" t="n">
        <x:f>IF('Raw Results'!BQ4="True",1,0)</x:f>
        <x:v>1</x:v>
      </x:c>
      <x:c r="O13" s="30" t="str">
        <x:f>'Raw Results'!BR4</x:f>
        <x:v>30</x:v>
      </x:c>
      <x:c r="P13" s="30" t="str">
        <x:f>'Raw Results'!BS4</x:f>
        <x:v>30</x:v>
      </x:c>
      <x:c r="Q13" s="33" t="str">
        <x:f>'Raw Results'!BT4</x:f>
        <x:v>0.03497169993352145</x:v>
      </x:c>
      <x:c r="R13" s="30" t="n">
        <x:f>IF('Raw Results'!BU4="True",1,0)</x:f>
        <x:v>1</x:v>
      </x:c>
      <x:c r="S13" s="30" t="n">
        <x:f>N13*R13</x:f>
        <x:v>1</x:v>
      </x:c>
      <x:c r="T13" s="30" t="n">
        <x:f>P13-L13</x:f>
        <x:v>0</x:v>
      </x:c>
      <x:c r="U13" s="30" t="n">
        <x:f>O13-K13</x:f>
        <x:v>0</x:v>
      </x:c>
      <x:c r="V13" s="34" t="n">
        <x:f>Q13-M13</x:f>
        <x:v>-0.0022421000758185983</x:v>
      </x:c>
      <x:c r="W13" s="35" t="n">
        <x:f>IF(L13=0,"",P13/L13)</x:f>
        <x:v>1</x:v>
      </x:c>
      <x:c r="X13" s="30" t="n">
        <x:f>K13-L13</x:f>
        <x:v>0</x:v>
      </x:c>
      <x:c r="Y13" s="30" t="n">
        <x:f>O13-P13</x:f>
        <x:v>0</x:v>
      </x:c>
      <x:c r="Z13" s="29" t="str">
        <x:f>IF(S13=0,"Excluded",IF(T13&lt;0,"Collision",IF(T13&gt;0,"Entropy","Tie")))</x:f>
        <x:v>Tie</x:v>
      </x:c>
      <x:c r="AA13" s="29" t="str">
        <x:f>IF(V13&lt;0,"Collision",IF(V13&gt;0,"Entropy","Tie"))</x:f>
        <x:v>Collision</x:v>
      </x:c>
      <x:c r="AB13" s="29" t="str">
        <x:f>'Raw Results'!CE4</x:f>
        <x:v>none</x:v>
      </x:c>
    </x:row>
    <x:row r="14">
      <x:c r="A14" s="29" t="str">
        <x:v>Grid</x:v>
      </x:c>
      <x:c r="B14" s="30" t="str">
        <x:f>'Raw Results'!A5</x:f>
        <x:v>50</x:v>
      </x:c>
      <x:c r="C14" s="31" t="str">
        <x:f>'Raw Results'!B5</x:f>
        <x:v>0.3</x:v>
      </x:c>
      <x:c r="D14" s="30" t="str">
        <x:f>'Raw Results'!C5</x:f>
        <x:v>1</x:v>
      </x:c>
      <x:c r="E14" s="30" t="str">
        <x:f>'Raw Results'!D5</x:f>
        <x:v>4165256226</x:v>
      </x:c>
      <x:c r="F14" s="30" t="str">
        <x:f>'Raw Results'!E5</x:f>
        <x:v>272</x:v>
      </x:c>
      <x:c r="G14" s="30" t="str">
        <x:f>'Raw Results'!F5</x:f>
        <x:v>1</x:v>
      </x:c>
      <x:c r="H14" s="30" t="str">
        <x:f>'Raw Results'!G5</x:f>
        <x:v>50</x:v>
      </x:c>
      <x:c r="I14" s="32" t="str">
        <x:f>'Raw Results'!H5</x:f>
        <x:v>10.88</x:v>
      </x:c>
      <x:c r="J14" s="33" t="str">
        <x:f>'Raw Results'!I5</x:f>
        <x:v>0.2220408163265306</x:v>
      </x:c>
      <x:c r="K14" s="30" t="str">
        <x:f>'Raw Results'!L5</x:f>
        <x:v>35</x:v>
      </x:c>
      <x:c r="L14" s="30" t="str">
        <x:f>'Raw Results'!M5</x:f>
        <x:v>12</x:v>
      </x:c>
      <x:c r="M14" s="33" t="str">
        <x:f>'Raw Results'!N5</x:f>
        <x:v>0.005136599997058511</x:v>
      </x:c>
      <x:c r="N14" s="30" t="n">
        <x:f>IF('Raw Results'!O5="True",1,0)</x:f>
        <x:v>1</x:v>
      </x:c>
      <x:c r="O14" s="30" t="str">
        <x:f>'Raw Results'!P5</x:f>
        <x:v>24</x:v>
      </x:c>
      <x:c r="P14" s="30" t="str">
        <x:f>'Raw Results'!Q5</x:f>
        <x:v>12</x:v>
      </x:c>
      <x:c r="Q14" s="33" t="str">
        <x:f>'Raw Results'!R5</x:f>
        <x:v>0.00434109999332577</x:v>
      </x:c>
      <x:c r="R14" s="30" t="n">
        <x:f>IF('Raw Results'!S5="True",1,0)</x:f>
        <x:v>1</x:v>
      </x:c>
      <x:c r="S14" s="30" t="n">
        <x:f>N14*R14</x:f>
        <x:v>1</x:v>
      </x:c>
      <x:c r="T14" s="30" t="n">
        <x:f>P14-L14</x:f>
        <x:v>0</x:v>
      </x:c>
      <x:c r="U14" s="30" t="n">
        <x:f>O14-K14</x:f>
        <x:v>-11</x:v>
      </x:c>
      <x:c r="V14" s="34" t="n">
        <x:f>Q14-M14</x:f>
        <x:v>-0.0007955000037327409</x:v>
      </x:c>
      <x:c r="W14" s="35" t="n">
        <x:f>IF(L14=0,"",P14/L14)</x:f>
        <x:v>1</x:v>
      </x:c>
      <x:c r="X14" s="30" t="n">
        <x:f>K14-L14</x:f>
        <x:v>23</x:v>
      </x:c>
      <x:c r="Y14" s="30" t="n">
        <x:f>O14-P14</x:f>
        <x:v>12</x:v>
      </x:c>
      <x:c r="Z14" s="29" t="str">
        <x:f>IF(S14=0,"Excluded",IF(T14&lt;0,"Collision",IF(T14&gt;0,"Entropy","Tie")))</x:f>
        <x:v>Tie</x:v>
      </x:c>
      <x:c r="AA14" s="29" t="str">
        <x:f>IF(V14&lt;0,"Collision",IF(V14&gt;0,"Entropy","Tie"))</x:f>
        <x:v>Collision</x:v>
      </x:c>
      <x:c r="AB14" s="29" t="str">
        <x:f>'Raw Results'!AC5</x:f>
        <x:v>none</x:v>
      </x:c>
    </x:row>
    <x:row r="15">
      <x:c r="A15" s="29" t="str">
        <x:v>Circle</x:v>
      </x:c>
      <x:c r="B15" s="30" t="str">
        <x:f>'Raw Results'!A5</x:f>
        <x:v>50</x:v>
      </x:c>
      <x:c r="C15" s="31" t="str">
        <x:f>'Raw Results'!B5</x:f>
        <x:v>0.3</x:v>
      </x:c>
      <x:c r="D15" s="30" t="str">
        <x:f>'Raw Results'!C5</x:f>
        <x:v>1</x:v>
      </x:c>
      <x:c r="E15" s="30" t="str">
        <x:f>'Raw Results'!D5</x:f>
        <x:v>4165256226</x:v>
      </x:c>
      <x:c r="F15" s="30" t="str">
        <x:f>'Raw Results'!E5</x:f>
        <x:v>272</x:v>
      </x:c>
      <x:c r="G15" s="30" t="str">
        <x:f>'Raw Results'!F5</x:f>
        <x:v>1</x:v>
      </x:c>
      <x:c r="H15" s="30" t="str">
        <x:f>'Raw Results'!G5</x:f>
        <x:v>50</x:v>
      </x:c>
      <x:c r="I15" s="32" t="str">
        <x:f>'Raw Results'!H5</x:f>
        <x:v>10.88</x:v>
      </x:c>
      <x:c r="J15" s="33" t="str">
        <x:f>'Raw Results'!I5</x:f>
        <x:v>0.2220408163265306</x:v>
      </x:c>
      <x:c r="K15" s="30" t="str">
        <x:f>'Raw Results'!AD5</x:f>
        <x:v>33</x:v>
      </x:c>
      <x:c r="L15" s="30" t="str">
        <x:f>'Raw Results'!AE5</x:f>
        <x:v>12</x:v>
      </x:c>
      <x:c r="M15" s="33" t="str">
        <x:f>'Raw Results'!AF5</x:f>
        <x:v>0.004573900019749999</x:v>
      </x:c>
      <x:c r="N15" s="30" t="n">
        <x:f>IF('Raw Results'!AG5="True",1,0)</x:f>
        <x:v>1</x:v>
      </x:c>
      <x:c r="O15" s="30" t="str">
        <x:f>'Raw Results'!AH5</x:f>
        <x:v>27</x:v>
      </x:c>
      <x:c r="P15" s="30" t="str">
        <x:f>'Raw Results'!AI5</x:f>
        <x:v>13</x:v>
      </x:c>
      <x:c r="Q15" s="33" t="str">
        <x:f>'Raw Results'!AJ5</x:f>
        <x:v>0.0040281000547111034</x:v>
      </x:c>
      <x:c r="R15" s="30" t="n">
        <x:f>IF('Raw Results'!AK5="True",1,0)</x:f>
        <x:v>1</x:v>
      </x:c>
      <x:c r="S15" s="30" t="n">
        <x:f>N15*R15</x:f>
        <x:v>1</x:v>
      </x:c>
      <x:c r="T15" s="30" t="n">
        <x:f>P15-L15</x:f>
        <x:v>1</x:v>
      </x:c>
      <x:c r="U15" s="30" t="n">
        <x:f>O15-K15</x:f>
        <x:v>-6</x:v>
      </x:c>
      <x:c r="V15" s="34" t="n">
        <x:f>Q15-M15</x:f>
        <x:v>-0.0005457999650388956</x:v>
      </x:c>
      <x:c r="W15" s="35" t="n">
        <x:f>IF(L15=0,"",P15/L15)</x:f>
        <x:v>1.0833333333333333</x:v>
      </x:c>
      <x:c r="X15" s="30" t="n">
        <x:f>K15-L15</x:f>
        <x:v>21</x:v>
      </x:c>
      <x:c r="Y15" s="30" t="n">
        <x:f>O15-P15</x:f>
        <x:v>14</x:v>
      </x:c>
      <x:c r="Z15" s="29" t="str">
        <x:f>IF(S15=0,"Excluded",IF(T15&lt;0,"Collision",IF(T15&gt;0,"Entropy","Tie")))</x:f>
        <x:v>Entropy</x:v>
      </x:c>
      <x:c r="AA15" s="29" t="str">
        <x:f>IF(V15&lt;0,"Collision",IF(V15&gt;0,"Entropy","Tie"))</x:f>
        <x:v>Collision</x:v>
      </x:c>
      <x:c r="AB15" s="29" t="str">
        <x:f>'Raw Results'!AU5</x:f>
        <x:v>none</x:v>
      </x:c>
    </x:row>
    <x:row r="16">
      <x:c r="A16" s="29" t="str">
        <x:v>Zoomed Square</x:v>
      </x:c>
      <x:c r="B16" s="30" t="str">
        <x:f>'Raw Results'!A5</x:f>
        <x:v>50</x:v>
      </x:c>
      <x:c r="C16" s="31" t="str">
        <x:f>'Raw Results'!B5</x:f>
        <x:v>0.3</x:v>
      </x:c>
      <x:c r="D16" s="30" t="str">
        <x:f>'Raw Results'!C5</x:f>
        <x:v>1</x:v>
      </x:c>
      <x:c r="E16" s="30" t="str">
        <x:f>'Raw Results'!D5</x:f>
        <x:v>4165256226</x:v>
      </x:c>
      <x:c r="F16" s="30" t="str">
        <x:f>'Raw Results'!E5</x:f>
        <x:v>272</x:v>
      </x:c>
      <x:c r="G16" s="30" t="str">
        <x:f>'Raw Results'!F5</x:f>
        <x:v>1</x:v>
      </x:c>
      <x:c r="H16" s="30" t="str">
        <x:f>'Raw Results'!G5</x:f>
        <x:v>50</x:v>
      </x:c>
      <x:c r="I16" s="32" t="str">
        <x:f>'Raw Results'!H5</x:f>
        <x:v>10.88</x:v>
      </x:c>
      <x:c r="J16" s="33" t="str">
        <x:f>'Raw Results'!I5</x:f>
        <x:v>0.2220408163265306</x:v>
      </x:c>
      <x:c r="K16" s="30" t="str">
        <x:f>'Raw Results'!AV5</x:f>
        <x:v>36</x:v>
      </x:c>
      <x:c r="L16" s="30" t="str">
        <x:f>'Raw Results'!AW5</x:f>
        <x:v>13</x:v>
      </x:c>
      <x:c r="M16" s="33" t="str">
        <x:f>'Raw Results'!AX5</x:f>
        <x:v>0.0042421999387443066</x:v>
      </x:c>
      <x:c r="N16" s="30" t="n">
        <x:f>IF('Raw Results'!AY5="True",1,0)</x:f>
        <x:v>1</x:v>
      </x:c>
      <x:c r="O16" s="30" t="str">
        <x:f>'Raw Results'!AZ5</x:f>
        <x:v>30</x:v>
      </x:c>
      <x:c r="P16" s="30" t="str">
        <x:f>'Raw Results'!BA5</x:f>
        <x:v>13</x:v>
      </x:c>
      <x:c r="Q16" s="33" t="str">
        <x:f>'Raw Results'!BB5</x:f>
        <x:v>0.004242900060489774</x:v>
      </x:c>
      <x:c r="R16" s="30" t="n">
        <x:f>IF('Raw Results'!BC5="True",1,0)</x:f>
        <x:v>1</x:v>
      </x:c>
      <x:c r="S16" s="30" t="n">
        <x:f>N16*R16</x:f>
        <x:v>1</x:v>
      </x:c>
      <x:c r="T16" s="30" t="n">
        <x:f>P16-L16</x:f>
        <x:v>0</x:v>
      </x:c>
      <x:c r="U16" s="30" t="n">
        <x:f>O16-K16</x:f>
        <x:v>-6</x:v>
      </x:c>
      <x:c r="V16" s="34" t="n">
        <x:f>Q16-M16</x:f>
        <x:v>7.00121745467186e-7</x:v>
      </x:c>
      <x:c r="W16" s="35" t="n">
        <x:f>IF(L16=0,"",P16/L16)</x:f>
        <x:v>1</x:v>
      </x:c>
      <x:c r="X16" s="30" t="n">
        <x:f>K16-L16</x:f>
        <x:v>23</x:v>
      </x:c>
      <x:c r="Y16" s="30" t="n">
        <x:f>O16-P16</x:f>
        <x:v>17</x:v>
      </x:c>
      <x:c r="Z16" s="29" t="str">
        <x:f>IF(S16=0,"Excluded",IF(T16&lt;0,"Collision",IF(T16&gt;0,"Entropy","Tie")))</x:f>
        <x:v>Tie</x:v>
      </x:c>
      <x:c r="AA16" s="29" t="str">
        <x:f>IF(V16&lt;0,"Collision",IF(V16&gt;0,"Entropy","Tie"))</x:f>
        <x:v>Entropy</x:v>
      </x:c>
      <x:c r="AB16" s="29" t="str">
        <x:f>'Raw Results'!BM5</x:f>
        <x:v>none</x:v>
      </x:c>
    </x:row>
    <x:row r="17">
      <x:c r="A17" s="29" t="str">
        <x:v>ICH</x:v>
      </x:c>
      <x:c r="B17" s="30" t="str">
        <x:f>'Raw Results'!A5</x:f>
        <x:v>50</x:v>
      </x:c>
      <x:c r="C17" s="31" t="str">
        <x:f>'Raw Results'!B5</x:f>
        <x:v>0.3</x:v>
      </x:c>
      <x:c r="D17" s="30" t="str">
        <x:f>'Raw Results'!C5</x:f>
        <x:v>1</x:v>
      </x:c>
      <x:c r="E17" s="30" t="str">
        <x:f>'Raw Results'!D5</x:f>
        <x:v>4165256226</x:v>
      </x:c>
      <x:c r="F17" s="30" t="str">
        <x:f>'Raw Results'!E5</x:f>
        <x:v>272</x:v>
      </x:c>
      <x:c r="G17" s="30" t="str">
        <x:f>'Raw Results'!F5</x:f>
        <x:v>1</x:v>
      </x:c>
      <x:c r="H17" s="30" t="str">
        <x:f>'Raw Results'!G5</x:f>
        <x:v>50</x:v>
      </x:c>
      <x:c r="I17" s="32" t="str">
        <x:f>'Raw Results'!H5</x:f>
        <x:v>10.88</x:v>
      </x:c>
      <x:c r="J17" s="33" t="str">
        <x:f>'Raw Results'!I5</x:f>
        <x:v>0.2220408163265306</x:v>
      </x:c>
      <x:c r="K17" s="30" t="str">
        <x:f>'Raw Results'!BN5</x:f>
        <x:v>13</x:v>
      </x:c>
      <x:c r="L17" s="30" t="str">
        <x:f>'Raw Results'!BO5</x:f>
        <x:v>13</x:v>
      </x:c>
      <x:c r="M17" s="33" t="str">
        <x:f>'Raw Results'!BP5</x:f>
        <x:v>0.026735799969173968</x:v>
      </x:c>
      <x:c r="N17" s="30" t="n">
        <x:f>IF('Raw Results'!BQ5="True",1,0)</x:f>
        <x:v>1</x:v>
      </x:c>
      <x:c r="O17" s="30" t="str">
        <x:f>'Raw Results'!BR5</x:f>
        <x:v>12</x:v>
      </x:c>
      <x:c r="P17" s="30" t="str">
        <x:f>'Raw Results'!BS5</x:f>
        <x:v>12</x:v>
      </x:c>
      <x:c r="Q17" s="33" t="str">
        <x:f>'Raw Results'!BT5</x:f>
        <x:v>0.023687400040216744</x:v>
      </x:c>
      <x:c r="R17" s="30" t="n">
        <x:f>IF('Raw Results'!BU5="True",1,0)</x:f>
        <x:v>1</x:v>
      </x:c>
      <x:c r="S17" s="30" t="n">
        <x:f>N17*R17</x:f>
        <x:v>1</x:v>
      </x:c>
      <x:c r="T17" s="30" t="n">
        <x:f>P17-L17</x:f>
        <x:v>-1</x:v>
      </x:c>
      <x:c r="U17" s="30" t="n">
        <x:f>O17-K17</x:f>
        <x:v>-1</x:v>
      </x:c>
      <x:c r="V17" s="34" t="n">
        <x:f>Q17-M17</x:f>
        <x:v>-0.003048399928957224</x:v>
      </x:c>
      <x:c r="W17" s="35" t="n">
        <x:f>IF(L17=0,"",P17/L17)</x:f>
        <x:v>0.9230769230769231</x:v>
      </x:c>
      <x:c r="X17" s="30" t="n">
        <x:f>K17-L17</x:f>
        <x:v>0</x:v>
      </x:c>
      <x:c r="Y17" s="30" t="n">
        <x:f>O17-P17</x:f>
        <x:v>0</x:v>
      </x:c>
      <x:c r="Z17" s="29" t="str">
        <x:f>IF(S17=0,"Excluded",IF(T17&lt;0,"Collision",IF(T17&gt;0,"Entropy","Tie")))</x:f>
        <x:v>Collision</x:v>
      </x:c>
      <x:c r="AA17" s="29" t="str">
        <x:f>IF(V17&lt;0,"Collision",IF(V17&gt;0,"Entropy","Tie"))</x:f>
        <x:v>Collision</x:v>
      </x:c>
      <x:c r="AB17" s="29" t="str">
        <x:f>'Raw Results'!CE5</x:f>
        <x:v>none</x:v>
      </x:c>
    </x:row>
    <x:row r="18">
      <x:c r="A18" s="29" t="str">
        <x:v>Grid</x:v>
      </x:c>
      <x:c r="B18" s="30" t="str">
        <x:f>'Raw Results'!A6</x:f>
        <x:v>50</x:v>
      </x:c>
      <x:c r="C18" s="31" t="str">
        <x:f>'Raw Results'!B6</x:f>
        <x:v>0.3</x:v>
      </x:c>
      <x:c r="D18" s="30" t="str">
        <x:f>'Raw Results'!C6</x:f>
        <x:v>2</x:v>
      </x:c>
      <x:c r="E18" s="30" t="str">
        <x:f>'Raw Results'!D6</x:f>
        <x:v>3034549</x:v>
      </x:c>
      <x:c r="F18" s="30" t="str">
        <x:f>'Raw Results'!E6</x:f>
        <x:v>243</x:v>
      </x:c>
      <x:c r="G18" s="30" t="str">
        <x:f>'Raw Results'!F6</x:f>
        <x:v>1</x:v>
      </x:c>
      <x:c r="H18" s="30" t="str">
        <x:f>'Raw Results'!G6</x:f>
        <x:v>50</x:v>
      </x:c>
      <x:c r="I18" s="32" t="str">
        <x:f>'Raw Results'!H6</x:f>
        <x:v>9.72</x:v>
      </x:c>
      <x:c r="J18" s="33" t="str">
        <x:f>'Raw Results'!I6</x:f>
        <x:v>0.1983673469387755</x:v>
      </x:c>
      <x:c r="K18" s="30" t="str">
        <x:f>'Raw Results'!L6</x:f>
        <x:v>34</x:v>
      </x:c>
      <x:c r="L18" s="30" t="str">
        <x:f>'Raw Results'!M6</x:f>
        <x:v>12</x:v>
      </x:c>
      <x:c r="M18" s="33" t="str">
        <x:f>'Raw Results'!N6</x:f>
        <x:v>0.003982699941843748</x:v>
      </x:c>
      <x:c r="N18" s="30" t="n">
        <x:f>IF('Raw Results'!O6="True",1,0)</x:f>
        <x:v>1</x:v>
      </x:c>
      <x:c r="O18" s="30" t="str">
        <x:f>'Raw Results'!P6</x:f>
        <x:v>22</x:v>
      </x:c>
      <x:c r="P18" s="30" t="str">
        <x:f>'Raw Results'!Q6</x:f>
        <x:v>22</x:v>
      </x:c>
      <x:c r="Q18" s="33" t="str">
        <x:f>'Raw Results'!R6</x:f>
        <x:v>0.0028989999555051327</x:v>
      </x:c>
      <x:c r="R18" s="30" t="n">
        <x:f>IF('Raw Results'!S6="True",1,0)</x:f>
        <x:v>0</x:v>
      </x:c>
      <x:c r="S18" s="30" t="n">
        <x:f>N18*R18</x:f>
        <x:v>0</x:v>
      </x:c>
      <x:c r="T18" s="30" t="n">
        <x:f>P18-L18</x:f>
        <x:v>10</x:v>
      </x:c>
      <x:c r="U18" s="30" t="n">
        <x:f>O18-K18</x:f>
        <x:v>-12</x:v>
      </x:c>
      <x:c r="V18" s="34" t="n">
        <x:f>Q18-M18</x:f>
        <x:v>-0.0010836999863386154</x:v>
      </x:c>
      <x:c r="W18" s="35" t="n">
        <x:f>IF(L18=0,"",P18/L18)</x:f>
        <x:v>1.8333333333333333</x:v>
      </x:c>
      <x:c r="X18" s="30" t="n">
        <x:f>K18-L18</x:f>
        <x:v>22</x:v>
      </x:c>
      <x:c r="Y18" s="30" t="n">
        <x:f>O18-P18</x:f>
        <x:v>0</x:v>
      </x:c>
      <x:c r="Z18" s="29" t="str">
        <x:f>IF(S18=0,"Excluded",IF(T18&lt;0,"Collision",IF(T18&gt;0,"Entropy","Tie")))</x:f>
        <x:v>Excluded</x:v>
      </x:c>
      <x:c r="AA18" s="29" t="str">
        <x:f>IF(V18&lt;0,"Collision",IF(V18&gt;0,"Entropy","Tie"))</x:f>
        <x:v>Collision</x:v>
      </x:c>
      <x:c r="AB18" s="29" t="str">
        <x:f>'Raw Results'!AC6</x:f>
        <x:v>large_and_invalid</x:v>
      </x:c>
    </x:row>
    <x:row r="19">
      <x:c r="A19" s="29" t="str">
        <x:v>Circle</x:v>
      </x:c>
      <x:c r="B19" s="30" t="str">
        <x:f>'Raw Results'!A6</x:f>
        <x:v>50</x:v>
      </x:c>
      <x:c r="C19" s="31" t="str">
        <x:f>'Raw Results'!B6</x:f>
        <x:v>0.3</x:v>
      </x:c>
      <x:c r="D19" s="30" t="str">
        <x:f>'Raw Results'!C6</x:f>
        <x:v>2</x:v>
      </x:c>
      <x:c r="E19" s="30" t="str">
        <x:f>'Raw Results'!D6</x:f>
        <x:v>3034549</x:v>
      </x:c>
      <x:c r="F19" s="30" t="str">
        <x:f>'Raw Results'!E6</x:f>
        <x:v>243</x:v>
      </x:c>
      <x:c r="G19" s="30" t="str">
        <x:f>'Raw Results'!F6</x:f>
        <x:v>1</x:v>
      </x:c>
      <x:c r="H19" s="30" t="str">
        <x:f>'Raw Results'!G6</x:f>
        <x:v>50</x:v>
      </x:c>
      <x:c r="I19" s="32" t="str">
        <x:f>'Raw Results'!H6</x:f>
        <x:v>9.72</x:v>
      </x:c>
      <x:c r="J19" s="33" t="str">
        <x:f>'Raw Results'!I6</x:f>
        <x:v>0.1983673469387755</x:v>
      </x:c>
      <x:c r="K19" s="30" t="str">
        <x:f>'Raw Results'!AD6</x:f>
        <x:v>32</x:v>
      </x:c>
      <x:c r="L19" s="30" t="str">
        <x:f>'Raw Results'!AE6</x:f>
        <x:v>11</x:v>
      </x:c>
      <x:c r="M19" s="33" t="str">
        <x:f>'Raw Results'!AF6</x:f>
        <x:v>0.004142799996770918</x:v>
      </x:c>
      <x:c r="N19" s="30" t="n">
        <x:f>IF('Raw Results'!AG6="True",1,0)</x:f>
        <x:v>1</x:v>
      </x:c>
      <x:c r="O19" s="30" t="str">
        <x:f>'Raw Results'!AH6</x:f>
        <x:v>30</x:v>
      </x:c>
      <x:c r="P19" s="30" t="str">
        <x:f>'Raw Results'!AI6</x:f>
        <x:v>11</x:v>
      </x:c>
      <x:c r="Q19" s="33" t="str">
        <x:f>'Raw Results'!AJ6</x:f>
        <x:v>0.0042397999204695225</x:v>
      </x:c>
      <x:c r="R19" s="30" t="n">
        <x:f>IF('Raw Results'!AK6="True",1,0)</x:f>
        <x:v>1</x:v>
      </x:c>
      <x:c r="S19" s="30" t="n">
        <x:f>N19*R19</x:f>
        <x:v>1</x:v>
      </x:c>
      <x:c r="T19" s="30" t="n">
        <x:f>P19-L19</x:f>
        <x:v>0</x:v>
      </x:c>
      <x:c r="U19" s="30" t="n">
        <x:f>O19-K19</x:f>
        <x:v>-2</x:v>
      </x:c>
      <x:c r="V19" s="34" t="n">
        <x:f>Q19-M19</x:f>
        <x:v>0.00009699992369860411</x:v>
      </x:c>
      <x:c r="W19" s="35" t="n">
        <x:f>IF(L19=0,"",P19/L19)</x:f>
        <x:v>1</x:v>
      </x:c>
      <x:c r="X19" s="30" t="n">
        <x:f>K19-L19</x:f>
        <x:v>21</x:v>
      </x:c>
      <x:c r="Y19" s="30" t="n">
        <x:f>O19-P19</x:f>
        <x:v>19</x:v>
      </x:c>
      <x:c r="Z19" s="29" t="str">
        <x:f>IF(S19=0,"Excluded",IF(T19&lt;0,"Collision",IF(T19&gt;0,"Entropy","Tie")))</x:f>
        <x:v>Tie</x:v>
      </x:c>
      <x:c r="AA19" s="29" t="str">
        <x:f>IF(V19&lt;0,"Collision",IF(V19&gt;0,"Entropy","Tie"))</x:f>
        <x:v>Entropy</x:v>
      </x:c>
      <x:c r="AB19" s="29" t="str">
        <x:f>'Raw Results'!AU6</x:f>
        <x:v>none</x:v>
      </x:c>
    </x:row>
    <x:row r="20">
      <x:c r="A20" s="29" t="str">
        <x:v>Zoomed Square</x:v>
      </x:c>
      <x:c r="B20" s="30" t="str">
        <x:f>'Raw Results'!A6</x:f>
        <x:v>50</x:v>
      </x:c>
      <x:c r="C20" s="31" t="str">
        <x:f>'Raw Results'!B6</x:f>
        <x:v>0.3</x:v>
      </x:c>
      <x:c r="D20" s="30" t="str">
        <x:f>'Raw Results'!C6</x:f>
        <x:v>2</x:v>
      </x:c>
      <x:c r="E20" s="30" t="str">
        <x:f>'Raw Results'!D6</x:f>
        <x:v>3034549</x:v>
      </x:c>
      <x:c r="F20" s="30" t="str">
        <x:f>'Raw Results'!E6</x:f>
        <x:v>243</x:v>
      </x:c>
      <x:c r="G20" s="30" t="str">
        <x:f>'Raw Results'!F6</x:f>
        <x:v>1</x:v>
      </x:c>
      <x:c r="H20" s="30" t="str">
        <x:f>'Raw Results'!G6</x:f>
        <x:v>50</x:v>
      </x:c>
      <x:c r="I20" s="32" t="str">
        <x:f>'Raw Results'!H6</x:f>
        <x:v>9.72</x:v>
      </x:c>
      <x:c r="J20" s="33" t="str">
        <x:f>'Raw Results'!I6</x:f>
        <x:v>0.1983673469387755</x:v>
      </x:c>
      <x:c r="K20" s="30" t="str">
        <x:f>'Raw Results'!AV6</x:f>
        <x:v>30</x:v>
      </x:c>
      <x:c r="L20" s="30" t="str">
        <x:f>'Raw Results'!AW6</x:f>
        <x:v>11</x:v>
      </x:c>
      <x:c r="M20" s="33" t="str">
        <x:f>'Raw Results'!AX6</x:f>
        <x:v>0.0036935999523848295</x:v>
      </x:c>
      <x:c r="N20" s="30" t="n">
        <x:f>IF('Raw Results'!AY6="True",1,0)</x:f>
        <x:v>1</x:v>
      </x:c>
      <x:c r="O20" s="30" t="str">
        <x:f>'Raw Results'!AZ6</x:f>
        <x:v>24</x:v>
      </x:c>
      <x:c r="P20" s="30" t="str">
        <x:f>'Raw Results'!BA6</x:f>
        <x:v>11</x:v>
      </x:c>
      <x:c r="Q20" s="33" t="str">
        <x:f>'Raw Results'!BB6</x:f>
        <x:v>0.00374399998690933</x:v>
      </x:c>
      <x:c r="R20" s="30" t="n">
        <x:f>IF('Raw Results'!BC6="True",1,0)</x:f>
        <x:v>1</x:v>
      </x:c>
      <x:c r="S20" s="30" t="n">
        <x:f>N20*R20</x:f>
        <x:v>1</x:v>
      </x:c>
      <x:c r="T20" s="30" t="n">
        <x:f>P20-L20</x:f>
        <x:v>0</x:v>
      </x:c>
      <x:c r="U20" s="30" t="n">
        <x:f>O20-K20</x:f>
        <x:v>-6</x:v>
      </x:c>
      <x:c r="V20" s="34" t="n">
        <x:f>Q20-M20</x:f>
        <x:v>0.00005040003452450037</x:v>
      </x:c>
      <x:c r="W20" s="35" t="n">
        <x:f>IF(L20=0,"",P20/L20)</x:f>
        <x:v>1</x:v>
      </x:c>
      <x:c r="X20" s="30" t="n">
        <x:f>K20-L20</x:f>
        <x:v>19</x:v>
      </x:c>
      <x:c r="Y20" s="30" t="n">
        <x:f>O20-P20</x:f>
        <x:v>13</x:v>
      </x:c>
      <x:c r="Z20" s="29" t="str">
        <x:f>IF(S20=0,"Excluded",IF(T20&lt;0,"Collision",IF(T20&gt;0,"Entropy","Tie")))</x:f>
        <x:v>Tie</x:v>
      </x:c>
      <x:c r="AA20" s="29" t="str">
        <x:f>IF(V20&lt;0,"Collision",IF(V20&gt;0,"Entropy","Tie"))</x:f>
        <x:v>Entropy</x:v>
      </x:c>
      <x:c r="AB20" s="29" t="str">
        <x:f>'Raw Results'!BM6</x:f>
        <x:v>none</x:v>
      </x:c>
    </x:row>
    <x:row r="21">
      <x:c r="A21" s="29" t="str">
        <x:v>ICH</x:v>
      </x:c>
      <x:c r="B21" s="30" t="str">
        <x:f>'Raw Results'!A6</x:f>
        <x:v>50</x:v>
      </x:c>
      <x:c r="C21" s="31" t="str">
        <x:f>'Raw Results'!B6</x:f>
        <x:v>0.3</x:v>
      </x:c>
      <x:c r="D21" s="30" t="str">
        <x:f>'Raw Results'!C6</x:f>
        <x:v>2</x:v>
      </x:c>
      <x:c r="E21" s="30" t="str">
        <x:f>'Raw Results'!D6</x:f>
        <x:v>3034549</x:v>
      </x:c>
      <x:c r="F21" s="30" t="str">
        <x:f>'Raw Results'!E6</x:f>
        <x:v>243</x:v>
      </x:c>
      <x:c r="G21" s="30" t="str">
        <x:f>'Raw Results'!F6</x:f>
        <x:v>1</x:v>
      </x:c>
      <x:c r="H21" s="30" t="str">
        <x:f>'Raw Results'!G6</x:f>
        <x:v>50</x:v>
      </x:c>
      <x:c r="I21" s="32" t="str">
        <x:f>'Raw Results'!H6</x:f>
        <x:v>9.72</x:v>
      </x:c>
      <x:c r="J21" s="33" t="str">
        <x:f>'Raw Results'!I6</x:f>
        <x:v>0.1983673469387755</x:v>
      </x:c>
      <x:c r="K21" s="30" t="str">
        <x:f>'Raw Results'!BN6</x:f>
        <x:v>13</x:v>
      </x:c>
      <x:c r="L21" s="30" t="str">
        <x:f>'Raw Results'!BO6</x:f>
        <x:v>13</x:v>
      </x:c>
      <x:c r="M21" s="33" t="str">
        <x:f>'Raw Results'!BP6</x:f>
        <x:v>0.02866299997549504</x:v>
      </x:c>
      <x:c r="N21" s="30" t="n">
        <x:f>IF('Raw Results'!BQ6="True",1,0)</x:f>
        <x:v>1</x:v>
      </x:c>
      <x:c r="O21" s="30" t="str">
        <x:f>'Raw Results'!BR6</x:f>
        <x:v>13</x:v>
      </x:c>
      <x:c r="P21" s="30" t="str">
        <x:f>'Raw Results'!BS6</x:f>
        <x:v>13</x:v>
      </x:c>
      <x:c r="Q21" s="33" t="str">
        <x:f>'Raw Results'!BT6</x:f>
        <x:v>0.02392179996240884</x:v>
      </x:c>
      <x:c r="R21" s="30" t="n">
        <x:f>IF('Raw Results'!BU6="True",1,0)</x:f>
        <x:v>1</x:v>
      </x:c>
      <x:c r="S21" s="30" t="n">
        <x:f>N21*R21</x:f>
        <x:v>1</x:v>
      </x:c>
      <x:c r="T21" s="30" t="n">
        <x:f>P21-L21</x:f>
        <x:v>0</x:v>
      </x:c>
      <x:c r="U21" s="30" t="n">
        <x:f>O21-K21</x:f>
        <x:v>0</x:v>
      </x:c>
      <x:c r="V21" s="34" t="n">
        <x:f>Q21-M21</x:f>
        <x:v>-0.0047412000130862</x:v>
      </x:c>
      <x:c r="W21" s="35" t="n">
        <x:f>IF(L21=0,"",P21/L21)</x:f>
        <x:v>1</x:v>
      </x:c>
      <x:c r="X21" s="30" t="n">
        <x:f>K21-L21</x:f>
        <x:v>0</x:v>
      </x:c>
      <x:c r="Y21" s="30" t="n">
        <x:f>O21-P21</x:f>
        <x:v>0</x:v>
      </x:c>
      <x:c r="Z21" s="29" t="str">
        <x:f>IF(S21=0,"Excluded",IF(T21&lt;0,"Collision",IF(T21&gt;0,"Entropy","Tie")))</x:f>
        <x:v>Tie</x:v>
      </x:c>
      <x:c r="AA21" s="29" t="str">
        <x:f>IF(V21&lt;0,"Collision",IF(V21&gt;0,"Entropy","Tie"))</x:f>
        <x:v>Collision</x:v>
      </x:c>
      <x:c r="AB21" s="29" t="str">
        <x:f>'Raw Results'!CE6</x:f>
        <x:v>none</x:v>
      </x:c>
    </x:row>
    <x:row r="22">
      <x:c r="A22" s="29" t="str">
        <x:v>Grid</x:v>
      </x:c>
      <x:c r="B22" s="30" t="str">
        <x:f>'Raw Results'!A7</x:f>
        <x:v>50</x:v>
      </x:c>
      <x:c r="C22" s="31" t="str">
        <x:f>'Raw Results'!B7</x:f>
        <x:v>0.3</x:v>
      </x:c>
      <x:c r="D22" s="30" t="str">
        <x:f>'Raw Results'!C7</x:f>
        <x:v>3</x:v>
      </x:c>
      <x:c r="E22" s="30" t="str">
        <x:f>'Raw Results'!D7</x:f>
        <x:v>469876426</x:v>
      </x:c>
      <x:c r="F22" s="30" t="str">
        <x:f>'Raw Results'!E7</x:f>
        <x:v>259</x:v>
      </x:c>
      <x:c r="G22" s="30" t="str">
        <x:f>'Raw Results'!F7</x:f>
        <x:v>1</x:v>
      </x:c>
      <x:c r="H22" s="30" t="str">
        <x:f>'Raw Results'!G7</x:f>
        <x:v>50</x:v>
      </x:c>
      <x:c r="I22" s="32" t="str">
        <x:f>'Raw Results'!H7</x:f>
        <x:v>10.36</x:v>
      </x:c>
      <x:c r="J22" s="33" t="str">
        <x:f>'Raw Results'!I7</x:f>
        <x:v>0.21142857142857144</x:v>
      </x:c>
      <x:c r="K22" s="30" t="str">
        <x:f>'Raw Results'!L7</x:f>
        <x:v>33</x:v>
      </x:c>
      <x:c r="L22" s="30" t="str">
        <x:f>'Raw Results'!M7</x:f>
        <x:v>10</x:v>
      </x:c>
      <x:c r="M22" s="33" t="str">
        <x:f>'Raw Results'!N7</x:f>
        <x:v>0.004351300070993602</x:v>
      </x:c>
      <x:c r="N22" s="30" t="n">
        <x:f>IF('Raw Results'!O7="True",1,0)</x:f>
        <x:v>1</x:v>
      </x:c>
      <x:c r="O22" s="30" t="str">
        <x:f>'Raw Results'!P7</x:f>
        <x:v>23</x:v>
      </x:c>
      <x:c r="P22" s="30" t="str">
        <x:f>'Raw Results'!Q7</x:f>
        <x:v>11</x:v>
      </x:c>
      <x:c r="Q22" s="33" t="str">
        <x:f>'Raw Results'!R7</x:f>
        <x:v>0.0038855000166222453</x:v>
      </x:c>
      <x:c r="R22" s="30" t="n">
        <x:f>IF('Raw Results'!S7="True",1,0)</x:f>
        <x:v>1</x:v>
      </x:c>
      <x:c r="S22" s="30" t="n">
        <x:f>N22*R22</x:f>
        <x:v>1</x:v>
      </x:c>
      <x:c r="T22" s="30" t="n">
        <x:f>P22-L22</x:f>
        <x:v>1</x:v>
      </x:c>
      <x:c r="U22" s="30" t="n">
        <x:f>O22-K22</x:f>
        <x:v>-10</x:v>
      </x:c>
      <x:c r="V22" s="34" t="n">
        <x:f>Q22-M22</x:f>
        <x:v>-0.00046580005437135696</x:v>
      </x:c>
      <x:c r="W22" s="35" t="n">
        <x:f>IF(L22=0,"",P22/L22)</x:f>
        <x:v>1.1</x:v>
      </x:c>
      <x:c r="X22" s="30" t="n">
        <x:f>K22-L22</x:f>
        <x:v>23</x:v>
      </x:c>
      <x:c r="Y22" s="30" t="n">
        <x:f>O22-P22</x:f>
        <x:v>12</x:v>
      </x:c>
      <x:c r="Z22" s="29" t="str">
        <x:f>IF(S22=0,"Excluded",IF(T22&lt;0,"Collision",IF(T22&gt;0,"Entropy","Tie")))</x:f>
        <x:v>Entropy</x:v>
      </x:c>
      <x:c r="AA22" s="29" t="str">
        <x:f>IF(V22&lt;0,"Collision",IF(V22&gt;0,"Entropy","Tie"))</x:f>
        <x:v>Collision</x:v>
      </x:c>
      <x:c r="AB22" s="29" t="str">
        <x:f>'Raw Results'!AC7</x:f>
        <x:v>none</x:v>
      </x:c>
    </x:row>
    <x:row r="23">
      <x:c r="A23" s="29" t="str">
        <x:v>Circle</x:v>
      </x:c>
      <x:c r="B23" s="30" t="str">
        <x:f>'Raw Results'!A7</x:f>
        <x:v>50</x:v>
      </x:c>
      <x:c r="C23" s="31" t="str">
        <x:f>'Raw Results'!B7</x:f>
        <x:v>0.3</x:v>
      </x:c>
      <x:c r="D23" s="30" t="str">
        <x:f>'Raw Results'!C7</x:f>
        <x:v>3</x:v>
      </x:c>
      <x:c r="E23" s="30" t="str">
        <x:f>'Raw Results'!D7</x:f>
        <x:v>469876426</x:v>
      </x:c>
      <x:c r="F23" s="30" t="str">
        <x:f>'Raw Results'!E7</x:f>
        <x:v>259</x:v>
      </x:c>
      <x:c r="G23" s="30" t="str">
        <x:f>'Raw Results'!F7</x:f>
        <x:v>1</x:v>
      </x:c>
      <x:c r="H23" s="30" t="str">
        <x:f>'Raw Results'!G7</x:f>
        <x:v>50</x:v>
      </x:c>
      <x:c r="I23" s="32" t="str">
        <x:f>'Raw Results'!H7</x:f>
        <x:v>10.36</x:v>
      </x:c>
      <x:c r="J23" s="33" t="str">
        <x:f>'Raw Results'!I7</x:f>
        <x:v>0.21142857142857144</x:v>
      </x:c>
      <x:c r="K23" s="30" t="str">
        <x:f>'Raw Results'!AD7</x:f>
        <x:v>35</x:v>
      </x:c>
      <x:c r="L23" s="30" t="str">
        <x:f>'Raw Results'!AE7</x:f>
        <x:v>7</x:v>
      </x:c>
      <x:c r="M23" s="33" t="str">
        <x:f>'Raw Results'!AF7</x:f>
        <x:v>0.004796899971552193</x:v>
      </x:c>
      <x:c r="N23" s="30" t="n">
        <x:f>IF('Raw Results'!AG7="True",1,0)</x:f>
        <x:v>1</x:v>
      </x:c>
      <x:c r="O23" s="30" t="str">
        <x:f>'Raw Results'!AH7</x:f>
        <x:v>29</x:v>
      </x:c>
      <x:c r="P23" s="30" t="str">
        <x:f>'Raw Results'!AI7</x:f>
        <x:v>7</x:v>
      </x:c>
      <x:c r="Q23" s="33" t="str">
        <x:f>'Raw Results'!AJ7</x:f>
        <x:v>0.004025700036436319</x:v>
      </x:c>
      <x:c r="R23" s="30" t="n">
        <x:f>IF('Raw Results'!AK7="True",1,0)</x:f>
        <x:v>1</x:v>
      </x:c>
      <x:c r="S23" s="30" t="n">
        <x:f>N23*R23</x:f>
        <x:v>1</x:v>
      </x:c>
      <x:c r="T23" s="30" t="n">
        <x:f>P23-L23</x:f>
        <x:v>0</x:v>
      </x:c>
      <x:c r="U23" s="30" t="n">
        <x:f>O23-K23</x:f>
        <x:v>-6</x:v>
      </x:c>
      <x:c r="V23" s="34" t="n">
        <x:f>Q23-M23</x:f>
        <x:v>-0.0007711999351158738</x:v>
      </x:c>
      <x:c r="W23" s="35" t="n">
        <x:f>IF(L23=0,"",P23/L23)</x:f>
        <x:v>1</x:v>
      </x:c>
      <x:c r="X23" s="30" t="n">
        <x:f>K23-L23</x:f>
        <x:v>28</x:v>
      </x:c>
      <x:c r="Y23" s="30" t="n">
        <x:f>O23-P23</x:f>
        <x:v>22</x:v>
      </x:c>
      <x:c r="Z23" s="29" t="str">
        <x:f>IF(S23=0,"Excluded",IF(T23&lt;0,"Collision",IF(T23&gt;0,"Entropy","Tie")))</x:f>
        <x:v>Tie</x:v>
      </x:c>
      <x:c r="AA23" s="29" t="str">
        <x:f>IF(V23&lt;0,"Collision",IF(V23&gt;0,"Entropy","Tie"))</x:f>
        <x:v>Collision</x:v>
      </x:c>
      <x:c r="AB23" s="29" t="str">
        <x:f>'Raw Results'!AU7</x:f>
        <x:v>none</x:v>
      </x:c>
    </x:row>
    <x:row r="24">
      <x:c r="A24" s="29" t="str">
        <x:v>Zoomed Square</x:v>
      </x:c>
      <x:c r="B24" s="30" t="str">
        <x:f>'Raw Results'!A7</x:f>
        <x:v>50</x:v>
      </x:c>
      <x:c r="C24" s="31" t="str">
        <x:f>'Raw Results'!B7</x:f>
        <x:v>0.3</x:v>
      </x:c>
      <x:c r="D24" s="30" t="str">
        <x:f>'Raw Results'!C7</x:f>
        <x:v>3</x:v>
      </x:c>
      <x:c r="E24" s="30" t="str">
        <x:f>'Raw Results'!D7</x:f>
        <x:v>469876426</x:v>
      </x:c>
      <x:c r="F24" s="30" t="str">
        <x:f>'Raw Results'!E7</x:f>
        <x:v>259</x:v>
      </x:c>
      <x:c r="G24" s="30" t="str">
        <x:f>'Raw Results'!F7</x:f>
        <x:v>1</x:v>
      </x:c>
      <x:c r="H24" s="30" t="str">
        <x:f>'Raw Results'!G7</x:f>
        <x:v>50</x:v>
      </x:c>
      <x:c r="I24" s="32" t="str">
        <x:f>'Raw Results'!H7</x:f>
        <x:v>10.36</x:v>
      </x:c>
      <x:c r="J24" s="33" t="str">
        <x:f>'Raw Results'!I7</x:f>
        <x:v>0.21142857142857144</x:v>
      </x:c>
      <x:c r="K24" s="30" t="str">
        <x:f>'Raw Results'!AV7</x:f>
        <x:v>31</x:v>
      </x:c>
      <x:c r="L24" s="30" t="str">
        <x:f>'Raw Results'!AW7</x:f>
        <x:v>10</x:v>
      </x:c>
      <x:c r="M24" s="33" t="str">
        <x:f>'Raw Results'!AX7</x:f>
        <x:v>0.0032191999489441514</x:v>
      </x:c>
      <x:c r="N24" s="30" t="n">
        <x:f>IF('Raw Results'!AY7="True",1,0)</x:f>
        <x:v>1</x:v>
      </x:c>
      <x:c r="O24" s="30" t="str">
        <x:f>'Raw Results'!AZ7</x:f>
        <x:v>24</x:v>
      </x:c>
      <x:c r="P24" s="30" t="str">
        <x:f>'Raw Results'!BA7</x:f>
        <x:v>11</x:v>
      </x:c>
      <x:c r="Q24" s="33" t="str">
        <x:f>'Raw Results'!BB7</x:f>
        <x:v>0.0030622000340372324</x:v>
      </x:c>
      <x:c r="R24" s="30" t="n">
        <x:f>IF('Raw Results'!BC7="True",1,0)</x:f>
        <x:v>1</x:v>
      </x:c>
      <x:c r="S24" s="30" t="n">
        <x:f>N24*R24</x:f>
        <x:v>1</x:v>
      </x:c>
      <x:c r="T24" s="30" t="n">
        <x:f>P24-L24</x:f>
        <x:v>1</x:v>
      </x:c>
      <x:c r="U24" s="30" t="n">
        <x:f>O24-K24</x:f>
        <x:v>-7</x:v>
      </x:c>
      <x:c r="V24" s="34" t="n">
        <x:f>Q24-M24</x:f>
        <x:v>-0.000156999914906919</x:v>
      </x:c>
      <x:c r="W24" s="35" t="n">
        <x:f>IF(L24=0,"",P24/L24)</x:f>
        <x:v>1.1</x:v>
      </x:c>
      <x:c r="X24" s="30" t="n">
        <x:f>K24-L24</x:f>
        <x:v>21</x:v>
      </x:c>
      <x:c r="Y24" s="30" t="n">
        <x:f>O24-P24</x:f>
        <x:v>13</x:v>
      </x:c>
      <x:c r="Z24" s="29" t="str">
        <x:f>IF(S24=0,"Excluded",IF(T24&lt;0,"Collision",IF(T24&gt;0,"Entropy","Tie")))</x:f>
        <x:v>Entropy</x:v>
      </x:c>
      <x:c r="AA24" s="29" t="str">
        <x:f>IF(V24&lt;0,"Collision",IF(V24&gt;0,"Entropy","Tie"))</x:f>
        <x:v>Collision</x:v>
      </x:c>
      <x:c r="AB24" s="29" t="str">
        <x:f>'Raw Results'!BM7</x:f>
        <x:v>none</x:v>
      </x:c>
    </x:row>
    <x:row r="25">
      <x:c r="A25" s="29" t="str">
        <x:v>ICH</x:v>
      </x:c>
      <x:c r="B25" s="30" t="str">
        <x:f>'Raw Results'!A7</x:f>
        <x:v>50</x:v>
      </x:c>
      <x:c r="C25" s="31" t="str">
        <x:f>'Raw Results'!B7</x:f>
        <x:v>0.3</x:v>
      </x:c>
      <x:c r="D25" s="30" t="str">
        <x:f>'Raw Results'!C7</x:f>
        <x:v>3</x:v>
      </x:c>
      <x:c r="E25" s="30" t="str">
        <x:f>'Raw Results'!D7</x:f>
        <x:v>469876426</x:v>
      </x:c>
      <x:c r="F25" s="30" t="str">
        <x:f>'Raw Results'!E7</x:f>
        <x:v>259</x:v>
      </x:c>
      <x:c r="G25" s="30" t="str">
        <x:f>'Raw Results'!F7</x:f>
        <x:v>1</x:v>
      </x:c>
      <x:c r="H25" s="30" t="str">
        <x:f>'Raw Results'!G7</x:f>
        <x:v>50</x:v>
      </x:c>
      <x:c r="I25" s="32" t="str">
        <x:f>'Raw Results'!H7</x:f>
        <x:v>10.36</x:v>
      </x:c>
      <x:c r="J25" s="33" t="str">
        <x:f>'Raw Results'!I7</x:f>
        <x:v>0.21142857142857144</x:v>
      </x:c>
      <x:c r="K25" s="30" t="str">
        <x:f>'Raw Results'!BN7</x:f>
        <x:v>7</x:v>
      </x:c>
      <x:c r="L25" s="30" t="str">
        <x:f>'Raw Results'!BO7</x:f>
        <x:v>7</x:v>
      </x:c>
      <x:c r="M25" s="33" t="str">
        <x:f>'Raw Results'!BP7</x:f>
        <x:v>0.019005200010724366</x:v>
      </x:c>
      <x:c r="N25" s="30" t="n">
        <x:f>IF('Raw Results'!BQ7="True",1,0)</x:f>
        <x:v>1</x:v>
      </x:c>
      <x:c r="O25" s="30" t="str">
        <x:f>'Raw Results'!BR7</x:f>
        <x:v>8</x:v>
      </x:c>
      <x:c r="P25" s="30" t="str">
        <x:f>'Raw Results'!BS7</x:f>
        <x:v>8</x:v>
      </x:c>
      <x:c r="Q25" s="33" t="str">
        <x:f>'Raw Results'!BT7</x:f>
        <x:v>0.02069779997691512</x:v>
      </x:c>
      <x:c r="R25" s="30" t="n">
        <x:f>IF('Raw Results'!BU7="True",1,0)</x:f>
        <x:v>1</x:v>
      </x:c>
      <x:c r="S25" s="30" t="n">
        <x:f>N25*R25</x:f>
        <x:v>1</x:v>
      </x:c>
      <x:c r="T25" s="30" t="n">
        <x:f>P25-L25</x:f>
        <x:v>1</x:v>
      </x:c>
      <x:c r="U25" s="30" t="n">
        <x:f>O25-K25</x:f>
        <x:v>1</x:v>
      </x:c>
      <x:c r="V25" s="34" t="n">
        <x:f>Q25-M25</x:f>
        <x:v>0.0016925999661907554</x:v>
      </x:c>
      <x:c r="W25" s="35" t="n">
        <x:f>IF(L25=0,"",P25/L25)</x:f>
        <x:v>1.1428571428571428</x:v>
      </x:c>
      <x:c r="X25" s="30" t="n">
        <x:f>K25-L25</x:f>
        <x:v>0</x:v>
      </x:c>
      <x:c r="Y25" s="30" t="n">
        <x:f>O25-P25</x:f>
        <x:v>0</x:v>
      </x:c>
      <x:c r="Z25" s="29" t="str">
        <x:f>IF(S25=0,"Excluded",IF(T25&lt;0,"Collision",IF(T25&gt;0,"Entropy","Tie")))</x:f>
        <x:v>Entropy</x:v>
      </x:c>
      <x:c r="AA25" s="29" t="str">
        <x:f>IF(V25&lt;0,"Collision",IF(V25&gt;0,"Entropy","Tie"))</x:f>
        <x:v>Entropy</x:v>
      </x:c>
      <x:c r="AB25" s="29" t="str">
        <x:f>'Raw Results'!CE7</x:f>
        <x:v>none</x:v>
      </x:c>
    </x:row>
    <x:row r="26">
      <x:c r="A26" s="29" t="str">
        <x:v>Grid</x:v>
      </x:c>
      <x:c r="B26" s="30" t="str">
        <x:f>'Raw Results'!A8</x:f>
        <x:v>50</x:v>
      </x:c>
      <x:c r="C26" s="31" t="str">
        <x:f>'Raw Results'!B8</x:f>
        <x:v>0.5</x:v>
      </x:c>
      <x:c r="D26" s="30" t="str">
        <x:f>'Raw Results'!C8</x:f>
        <x:v>1</x:v>
      </x:c>
      <x:c r="E26" s="30" t="str">
        <x:f>'Raw Results'!D8</x:f>
        <x:v>3564035587</x:v>
      </x:c>
      <x:c r="F26" s="30" t="str">
        <x:f>'Raw Results'!E8</x:f>
        <x:v>576</x:v>
      </x:c>
      <x:c r="G26" s="30" t="str">
        <x:f>'Raw Results'!F8</x:f>
        <x:v>1</x:v>
      </x:c>
      <x:c r="H26" s="30" t="str">
        <x:f>'Raw Results'!G8</x:f>
        <x:v>50</x:v>
      </x:c>
      <x:c r="I26" s="32" t="str">
        <x:f>'Raw Results'!H8</x:f>
        <x:v>23.04</x:v>
      </x:c>
      <x:c r="J26" s="33" t="str">
        <x:f>'Raw Results'!I8</x:f>
        <x:v>0.47020408163265304</x:v>
      </x:c>
      <x:c r="K26" s="30" t="str">
        <x:f>'Raw Results'!L8</x:f>
        <x:v>35</x:v>
      </x:c>
      <x:c r="L26" s="30" t="str">
        <x:f>'Raw Results'!M8</x:f>
        <x:v>15</x:v>
      </x:c>
      <x:c r="M26" s="33" t="str">
        <x:f>'Raw Results'!N8</x:f>
        <x:v>0.016175700002349913</x:v>
      </x:c>
      <x:c r="N26" s="30" t="n">
        <x:f>IF('Raw Results'!O8="True",1,0)</x:f>
        <x:v>1</x:v>
      </x:c>
      <x:c r="O26" s="30" t="str">
        <x:f>'Raw Results'!P8</x:f>
        <x:v>17</x:v>
      </x:c>
      <x:c r="P26" s="30" t="str">
        <x:f>'Raw Results'!Q8</x:f>
        <x:v>15</x:v>
      </x:c>
      <x:c r="Q26" s="33" t="str">
        <x:f>'Raw Results'!R8</x:f>
        <x:v>0.014653899939730763</x:v>
      </x:c>
      <x:c r="R26" s="30" t="n">
        <x:f>IF('Raw Results'!S8="True",1,0)</x:f>
        <x:v>1</x:v>
      </x:c>
      <x:c r="S26" s="30" t="n">
        <x:f>N26*R26</x:f>
        <x:v>1</x:v>
      </x:c>
      <x:c r="T26" s="30" t="n">
        <x:f>P26-L26</x:f>
        <x:v>0</x:v>
      </x:c>
      <x:c r="U26" s="30" t="n">
        <x:f>O26-K26</x:f>
        <x:v>-18</x:v>
      </x:c>
      <x:c r="V26" s="34" t="n">
        <x:f>Q26-M26</x:f>
        <x:v>-0.0015218000626191497</x:v>
      </x:c>
      <x:c r="W26" s="35" t="n">
        <x:f>IF(L26=0,"",P26/L26)</x:f>
        <x:v>1</x:v>
      </x:c>
      <x:c r="X26" s="30" t="n">
        <x:f>K26-L26</x:f>
        <x:v>20</x:v>
      </x:c>
      <x:c r="Y26" s="30" t="n">
        <x:f>O26-P26</x:f>
        <x:v>2</x:v>
      </x:c>
      <x:c r="Z26" s="29" t="str">
        <x:f>IF(S26=0,"Excluded",IF(T26&lt;0,"Collision",IF(T26&gt;0,"Entropy","Tie")))</x:f>
        <x:v>Tie</x:v>
      </x:c>
      <x:c r="AA26" s="29" t="str">
        <x:f>IF(V26&lt;0,"Collision",IF(V26&gt;0,"Entropy","Tie"))</x:f>
        <x:v>Collision</x:v>
      </x:c>
      <x:c r="AB26" s="29" t="str">
        <x:f>'Raw Results'!AC8</x:f>
        <x:v>none</x:v>
      </x:c>
    </x:row>
    <x:row r="27">
      <x:c r="A27" s="29" t="str">
        <x:v>Circle</x:v>
      </x:c>
      <x:c r="B27" s="30" t="str">
        <x:f>'Raw Results'!A8</x:f>
        <x:v>50</x:v>
      </x:c>
      <x:c r="C27" s="31" t="str">
        <x:f>'Raw Results'!B8</x:f>
        <x:v>0.5</x:v>
      </x:c>
      <x:c r="D27" s="30" t="str">
        <x:f>'Raw Results'!C8</x:f>
        <x:v>1</x:v>
      </x:c>
      <x:c r="E27" s="30" t="str">
        <x:f>'Raw Results'!D8</x:f>
        <x:v>3564035587</x:v>
      </x:c>
      <x:c r="F27" s="30" t="str">
        <x:f>'Raw Results'!E8</x:f>
        <x:v>576</x:v>
      </x:c>
      <x:c r="G27" s="30" t="str">
        <x:f>'Raw Results'!F8</x:f>
        <x:v>1</x:v>
      </x:c>
      <x:c r="H27" s="30" t="str">
        <x:f>'Raw Results'!G8</x:f>
        <x:v>50</x:v>
      </x:c>
      <x:c r="I27" s="32" t="str">
        <x:f>'Raw Results'!H8</x:f>
        <x:v>23.04</x:v>
      </x:c>
      <x:c r="J27" s="33" t="str">
        <x:f>'Raw Results'!I8</x:f>
        <x:v>0.47020408163265304</x:v>
      </x:c>
      <x:c r="K27" s="30" t="str">
        <x:f>'Raw Results'!AD8</x:f>
        <x:v>39</x:v>
      </x:c>
      <x:c r="L27" s="30" t="str">
        <x:f>'Raw Results'!AE8</x:f>
        <x:v>17</x:v>
      </x:c>
      <x:c r="M27" s="33" t="str">
        <x:f>'Raw Results'!AF8</x:f>
        <x:v>0.00524189998395741</x:v>
      </x:c>
      <x:c r="N27" s="30" t="n">
        <x:f>IF('Raw Results'!AG8="True",1,0)</x:f>
        <x:v>1</x:v>
      </x:c>
      <x:c r="O27" s="30" t="str">
        <x:f>'Raw Results'!AH8</x:f>
        <x:v>32</x:v>
      </x:c>
      <x:c r="P27" s="30" t="str">
        <x:f>'Raw Results'!AI8</x:f>
        <x:v>16</x:v>
      </x:c>
      <x:c r="Q27" s="33" t="str">
        <x:f>'Raw Results'!AJ8</x:f>
        <x:v>0.005189799936488271</x:v>
      </x:c>
      <x:c r="R27" s="30" t="n">
        <x:f>IF('Raw Results'!AK8="True",1,0)</x:f>
        <x:v>1</x:v>
      </x:c>
      <x:c r="S27" s="30" t="n">
        <x:f>N27*R27</x:f>
        <x:v>1</x:v>
      </x:c>
      <x:c r="T27" s="30" t="n">
        <x:f>P27-L27</x:f>
        <x:v>-1</x:v>
      </x:c>
      <x:c r="U27" s="30" t="n">
        <x:f>O27-K27</x:f>
        <x:v>-7</x:v>
      </x:c>
      <x:c r="V27" s="34" t="n">
        <x:f>Q27-M27</x:f>
        <x:v>-0.0000521000474691391</x:v>
      </x:c>
      <x:c r="W27" s="35" t="n">
        <x:f>IF(L27=0,"",P27/L27)</x:f>
        <x:v>0.9411764705882353</x:v>
      </x:c>
      <x:c r="X27" s="30" t="n">
        <x:f>K27-L27</x:f>
        <x:v>22</x:v>
      </x:c>
      <x:c r="Y27" s="30" t="n">
        <x:f>O27-P27</x:f>
        <x:v>16</x:v>
      </x:c>
      <x:c r="Z27" s="29" t="str">
        <x:f>IF(S27=0,"Excluded",IF(T27&lt;0,"Collision",IF(T27&gt;0,"Entropy","Tie")))</x:f>
        <x:v>Collision</x:v>
      </x:c>
      <x:c r="AA27" s="29" t="str">
        <x:f>IF(V27&lt;0,"Collision",IF(V27&gt;0,"Entropy","Tie"))</x:f>
        <x:v>Collision</x:v>
      </x:c>
      <x:c r="AB27" s="29" t="str">
        <x:f>'Raw Results'!AU8</x:f>
        <x:v>none</x:v>
      </x:c>
    </x:row>
    <x:row r="28">
      <x:c r="A28" s="29" t="str">
        <x:v>Zoomed Square</x:v>
      </x:c>
      <x:c r="B28" s="30" t="str">
        <x:f>'Raw Results'!A8</x:f>
        <x:v>50</x:v>
      </x:c>
      <x:c r="C28" s="31" t="str">
        <x:f>'Raw Results'!B8</x:f>
        <x:v>0.5</x:v>
      </x:c>
      <x:c r="D28" s="30" t="str">
        <x:f>'Raw Results'!C8</x:f>
        <x:v>1</x:v>
      </x:c>
      <x:c r="E28" s="30" t="str">
        <x:f>'Raw Results'!D8</x:f>
        <x:v>3564035587</x:v>
      </x:c>
      <x:c r="F28" s="30" t="str">
        <x:f>'Raw Results'!E8</x:f>
        <x:v>576</x:v>
      </x:c>
      <x:c r="G28" s="30" t="str">
        <x:f>'Raw Results'!F8</x:f>
        <x:v>1</x:v>
      </x:c>
      <x:c r="H28" s="30" t="str">
        <x:f>'Raw Results'!G8</x:f>
        <x:v>50</x:v>
      </x:c>
      <x:c r="I28" s="32" t="str">
        <x:f>'Raw Results'!H8</x:f>
        <x:v>23.04</x:v>
      </x:c>
      <x:c r="J28" s="33" t="str">
        <x:f>'Raw Results'!I8</x:f>
        <x:v>0.47020408163265304</x:v>
      </x:c>
      <x:c r="K28" s="30" t="str">
        <x:f>'Raw Results'!AV8</x:f>
        <x:v>37</x:v>
      </x:c>
      <x:c r="L28" s="30" t="str">
        <x:f>'Raw Results'!AW8</x:f>
        <x:v>16</x:v>
      </x:c>
      <x:c r="M28" s="33" t="str">
        <x:f>'Raw Results'!AX8</x:f>
        <x:v>0.006327300099655986</x:v>
      </x:c>
      <x:c r="N28" s="30" t="n">
        <x:f>IF('Raw Results'!AY8="True",1,0)</x:f>
        <x:v>1</x:v>
      </x:c>
      <x:c r="O28" s="30" t="str">
        <x:f>'Raw Results'!AZ8</x:f>
        <x:v>26</x:v>
      </x:c>
      <x:c r="P28" s="30" t="str">
        <x:f>'Raw Results'!BA8</x:f>
        <x:v>15</x:v>
      </x:c>
      <x:c r="Q28" s="33" t="str">
        <x:f>'Raw Results'!BB8</x:f>
        <x:v>0.006566800060681999</x:v>
      </x:c>
      <x:c r="R28" s="30" t="n">
        <x:f>IF('Raw Results'!BC8="True",1,0)</x:f>
        <x:v>1</x:v>
      </x:c>
      <x:c r="S28" s="30" t="n">
        <x:f>N28*R28</x:f>
        <x:v>1</x:v>
      </x:c>
      <x:c r="T28" s="30" t="n">
        <x:f>P28-L28</x:f>
        <x:v>-1</x:v>
      </x:c>
      <x:c r="U28" s="30" t="n">
        <x:f>O28-K28</x:f>
        <x:v>-11</x:v>
      </x:c>
      <x:c r="V28" s="34" t="n">
        <x:f>Q28-M28</x:f>
        <x:v>0.0002394999610260129</x:v>
      </x:c>
      <x:c r="W28" s="35" t="n">
        <x:f>IF(L28=0,"",P28/L28)</x:f>
        <x:v>0.9375</x:v>
      </x:c>
      <x:c r="X28" s="30" t="n">
        <x:f>K28-L28</x:f>
        <x:v>21</x:v>
      </x:c>
      <x:c r="Y28" s="30" t="n">
        <x:f>O28-P28</x:f>
        <x:v>11</x:v>
      </x:c>
      <x:c r="Z28" s="29" t="str">
        <x:f>IF(S28=0,"Excluded",IF(T28&lt;0,"Collision",IF(T28&gt;0,"Entropy","Tie")))</x:f>
        <x:v>Collision</x:v>
      </x:c>
      <x:c r="AA28" s="29" t="str">
        <x:f>IF(V28&lt;0,"Collision",IF(V28&gt;0,"Entropy","Tie"))</x:f>
        <x:v>Entropy</x:v>
      </x:c>
      <x:c r="AB28" s="29" t="str">
        <x:f>'Raw Results'!BM8</x:f>
        <x:v>none</x:v>
      </x:c>
    </x:row>
    <x:row r="29">
      <x:c r="A29" s="29" t="str">
        <x:v>ICH</x:v>
      </x:c>
      <x:c r="B29" s="30" t="str">
        <x:f>'Raw Results'!A8</x:f>
        <x:v>50</x:v>
      </x:c>
      <x:c r="C29" s="31" t="str">
        <x:f>'Raw Results'!B8</x:f>
        <x:v>0.5</x:v>
      </x:c>
      <x:c r="D29" s="30" t="str">
        <x:f>'Raw Results'!C8</x:f>
        <x:v>1</x:v>
      </x:c>
      <x:c r="E29" s="30" t="str">
        <x:f>'Raw Results'!D8</x:f>
        <x:v>3564035587</x:v>
      </x:c>
      <x:c r="F29" s="30" t="str">
        <x:f>'Raw Results'!E8</x:f>
        <x:v>576</x:v>
      </x:c>
      <x:c r="G29" s="30" t="str">
        <x:f>'Raw Results'!F8</x:f>
        <x:v>1</x:v>
      </x:c>
      <x:c r="H29" s="30" t="str">
        <x:f>'Raw Results'!G8</x:f>
        <x:v>50</x:v>
      </x:c>
      <x:c r="I29" s="32" t="str">
        <x:f>'Raw Results'!H8</x:f>
        <x:v>23.04</x:v>
      </x:c>
      <x:c r="J29" s="33" t="str">
        <x:f>'Raw Results'!I8</x:f>
        <x:v>0.47020408163265304</x:v>
      </x:c>
      <x:c r="K29" s="30" t="str">
        <x:f>'Raw Results'!BN8</x:f>
        <x:v>16</x:v>
      </x:c>
      <x:c r="L29" s="30" t="str">
        <x:f>'Raw Results'!BO8</x:f>
        <x:v>16</x:v>
      </x:c>
      <x:c r="M29" s="33" t="str">
        <x:f>'Raw Results'!BP8</x:f>
        <x:v>0.028796899947337806</x:v>
      </x:c>
      <x:c r="N29" s="30" t="n">
        <x:f>IF('Raw Results'!BQ8="True",1,0)</x:f>
        <x:v>1</x:v>
      </x:c>
      <x:c r="O29" s="30" t="str">
        <x:f>'Raw Results'!BR8</x:f>
        <x:v>16</x:v>
      </x:c>
      <x:c r="P29" s="30" t="str">
        <x:f>'Raw Results'!BS8</x:f>
        <x:v>16</x:v>
      </x:c>
      <x:c r="Q29" s="33" t="str">
        <x:f>'Raw Results'!BT8</x:f>
        <x:v>0.02640240010805428</x:v>
      </x:c>
      <x:c r="R29" s="30" t="n">
        <x:f>IF('Raw Results'!BU8="True",1,0)</x:f>
        <x:v>1</x:v>
      </x:c>
      <x:c r="S29" s="30" t="n">
        <x:f>N29*R29</x:f>
        <x:v>1</x:v>
      </x:c>
      <x:c r="T29" s="30" t="n">
        <x:f>P29-L29</x:f>
        <x:v>0</x:v>
      </x:c>
      <x:c r="U29" s="30" t="n">
        <x:f>O29-K29</x:f>
        <x:v>0</x:v>
      </x:c>
      <x:c r="V29" s="34" t="n">
        <x:f>Q29-M29</x:f>
        <x:v>-0.002394499839283526</x:v>
      </x:c>
      <x:c r="W29" s="35" t="n">
        <x:f>IF(L29=0,"",P29/L29)</x:f>
        <x:v>1</x:v>
      </x:c>
      <x:c r="X29" s="30" t="n">
        <x:f>K29-L29</x:f>
        <x:v>0</x:v>
      </x:c>
      <x:c r="Y29" s="30" t="n">
        <x:f>O29-P29</x:f>
        <x:v>0</x:v>
      </x:c>
      <x:c r="Z29" s="29" t="str">
        <x:f>IF(S29=0,"Excluded",IF(T29&lt;0,"Collision",IF(T29&gt;0,"Entropy","Tie")))</x:f>
        <x:v>Tie</x:v>
      </x:c>
      <x:c r="AA29" s="29" t="str">
        <x:f>IF(V29&lt;0,"Collision",IF(V29&gt;0,"Entropy","Tie"))</x:f>
        <x:v>Collision</x:v>
      </x:c>
      <x:c r="AB29" s="29" t="str">
        <x:f>'Raw Results'!CE8</x:f>
        <x:v>none</x:v>
      </x:c>
    </x:row>
    <x:row r="30">
      <x:c r="A30" s="29" t="str">
        <x:v>Grid</x:v>
      </x:c>
      <x:c r="B30" s="30" t="str">
        <x:f>'Raw Results'!A9</x:f>
        <x:v>50</x:v>
      </x:c>
      <x:c r="C30" s="31" t="str">
        <x:f>'Raw Results'!B9</x:f>
        <x:v>0.5</x:v>
      </x:c>
      <x:c r="D30" s="30" t="str">
        <x:f>'Raw Results'!C9</x:f>
        <x:v>2</x:v>
      </x:c>
      <x:c r="E30" s="30" t="str">
        <x:f>'Raw Results'!D9</x:f>
        <x:v>3396175580</x:v>
      </x:c>
      <x:c r="F30" s="30" t="str">
        <x:f>'Raw Results'!E9</x:f>
        <x:v>642</x:v>
      </x:c>
      <x:c r="G30" s="30" t="str">
        <x:f>'Raw Results'!F9</x:f>
        <x:v>1</x:v>
      </x:c>
      <x:c r="H30" s="30" t="str">
        <x:f>'Raw Results'!G9</x:f>
        <x:v>50</x:v>
      </x:c>
      <x:c r="I30" s="32" t="str">
        <x:f>'Raw Results'!H9</x:f>
        <x:v>25.68</x:v>
      </x:c>
      <x:c r="J30" s="33" t="str">
        <x:f>'Raw Results'!I9</x:f>
        <x:v>0.5240816326530612</x:v>
      </x:c>
      <x:c r="K30" s="30" t="str">
        <x:f>'Raw Results'!L9</x:f>
        <x:v>44</x:v>
      </x:c>
      <x:c r="L30" s="30" t="str">
        <x:f>'Raw Results'!M9</x:f>
        <x:v>17</x:v>
      </x:c>
      <x:c r="M30" s="33" t="str">
        <x:f>'Raw Results'!N9</x:f>
        <x:v>0.01872769999317825</x:v>
      </x:c>
      <x:c r="N30" s="30" t="n">
        <x:f>IF('Raw Results'!O9="True",1,0)</x:f>
        <x:v>1</x:v>
      </x:c>
      <x:c r="O30" s="30" t="str">
        <x:f>'Raw Results'!P9</x:f>
        <x:v>15</x:v>
      </x:c>
      <x:c r="P30" s="30" t="str">
        <x:f>'Raw Results'!Q9</x:f>
        <x:v>15</x:v>
      </x:c>
      <x:c r="Q30" s="33" t="str">
        <x:f>'Raw Results'!R9</x:f>
        <x:v>0.016957199899479747</x:v>
      </x:c>
      <x:c r="R30" s="30" t="n">
        <x:f>IF('Raw Results'!S9="True",1,0)</x:f>
        <x:v>1</x:v>
      </x:c>
      <x:c r="S30" s="30" t="n">
        <x:f>N30*R30</x:f>
        <x:v>1</x:v>
      </x:c>
      <x:c r="T30" s="30" t="n">
        <x:f>P30-L30</x:f>
        <x:v>-2</x:v>
      </x:c>
      <x:c r="U30" s="30" t="n">
        <x:f>O30-K30</x:f>
        <x:v>-29</x:v>
      </x:c>
      <x:c r="V30" s="34" t="n">
        <x:f>Q30-M30</x:f>
        <x:v>-0.0017705000936985016</x:v>
      </x:c>
      <x:c r="W30" s="35" t="n">
        <x:f>IF(L30=0,"",P30/L30)</x:f>
        <x:v>0.8823529411764706</x:v>
      </x:c>
      <x:c r="X30" s="30" t="n">
        <x:f>K30-L30</x:f>
        <x:v>27</x:v>
      </x:c>
      <x:c r="Y30" s="30" t="n">
        <x:f>O30-P30</x:f>
        <x:v>0</x:v>
      </x:c>
      <x:c r="Z30" s="29" t="str">
        <x:f>IF(S30=0,"Excluded",IF(T30&lt;0,"Collision",IF(T30&gt;0,"Entropy","Tie")))</x:f>
        <x:v>Collision</x:v>
      </x:c>
      <x:c r="AA30" s="29" t="str">
        <x:f>IF(V30&lt;0,"Collision",IF(V30&gt;0,"Entropy","Tie"))</x:f>
        <x:v>Collision</x:v>
      </x:c>
      <x:c r="AB30" s="29" t="str">
        <x:f>'Raw Results'!AC9</x:f>
        <x:v>none</x:v>
      </x:c>
    </x:row>
    <x:row r="31">
      <x:c r="A31" s="29" t="str">
        <x:v>Circle</x:v>
      </x:c>
      <x:c r="B31" s="30" t="str">
        <x:f>'Raw Results'!A9</x:f>
        <x:v>50</x:v>
      </x:c>
      <x:c r="C31" s="31" t="str">
        <x:f>'Raw Results'!B9</x:f>
        <x:v>0.5</x:v>
      </x:c>
      <x:c r="D31" s="30" t="str">
        <x:f>'Raw Results'!C9</x:f>
        <x:v>2</x:v>
      </x:c>
      <x:c r="E31" s="30" t="str">
        <x:f>'Raw Results'!D9</x:f>
        <x:v>3396175580</x:v>
      </x:c>
      <x:c r="F31" s="30" t="str">
        <x:f>'Raw Results'!E9</x:f>
        <x:v>642</x:v>
      </x:c>
      <x:c r="G31" s="30" t="str">
        <x:f>'Raw Results'!F9</x:f>
        <x:v>1</x:v>
      </x:c>
      <x:c r="H31" s="30" t="str">
        <x:f>'Raw Results'!G9</x:f>
        <x:v>50</x:v>
      </x:c>
      <x:c r="I31" s="32" t="str">
        <x:f>'Raw Results'!H9</x:f>
        <x:v>25.68</x:v>
      </x:c>
      <x:c r="J31" s="33" t="str">
        <x:f>'Raw Results'!I9</x:f>
        <x:v>0.5240816326530612</x:v>
      </x:c>
      <x:c r="K31" s="30" t="str">
        <x:f>'Raw Results'!AD9</x:f>
        <x:v>40</x:v>
      </x:c>
      <x:c r="L31" s="30" t="str">
        <x:f>'Raw Results'!AE9</x:f>
        <x:v>17</x:v>
      </x:c>
      <x:c r="M31" s="33" t="str">
        <x:f>'Raw Results'!AF9</x:f>
        <x:v>0.006065000081434846</x:v>
      </x:c>
      <x:c r="N31" s="30" t="n">
        <x:f>IF('Raw Results'!AG9="True",1,0)</x:f>
        <x:v>1</x:v>
      </x:c>
      <x:c r="O31" s="30" t="str">
        <x:f>'Raw Results'!AH9</x:f>
        <x:v>31</x:v>
      </x:c>
      <x:c r="P31" s="30" t="str">
        <x:f>'Raw Results'!AI9</x:f>
        <x:v>20</x:v>
      </x:c>
      <x:c r="Q31" s="33" t="str">
        <x:f>'Raw Results'!AJ9</x:f>
        <x:v>0.0051423999248072505</x:v>
      </x:c>
      <x:c r="R31" s="30" t="n">
        <x:f>IF('Raw Results'!AK9="True",1,0)</x:f>
        <x:v>1</x:v>
      </x:c>
      <x:c r="S31" s="30" t="n">
        <x:f>N31*R31</x:f>
        <x:v>1</x:v>
      </x:c>
      <x:c r="T31" s="30" t="n">
        <x:f>P31-L31</x:f>
        <x:v>3</x:v>
      </x:c>
      <x:c r="U31" s="30" t="n">
        <x:f>O31-K31</x:f>
        <x:v>-9</x:v>
      </x:c>
      <x:c r="V31" s="34" t="n">
        <x:f>Q31-M31</x:f>
        <x:v>-0.0009226001566275954</x:v>
      </x:c>
      <x:c r="W31" s="35" t="n">
        <x:f>IF(L31=0,"",P31/L31)</x:f>
        <x:v>1.1764705882352942</x:v>
      </x:c>
      <x:c r="X31" s="30" t="n">
        <x:f>K31-L31</x:f>
        <x:v>23</x:v>
      </x:c>
      <x:c r="Y31" s="30" t="n">
        <x:f>O31-P31</x:f>
        <x:v>11</x:v>
      </x:c>
      <x:c r="Z31" s="29" t="str">
        <x:f>IF(S31=0,"Excluded",IF(T31&lt;0,"Collision",IF(T31&gt;0,"Entropy","Tie")))</x:f>
        <x:v>Entropy</x:v>
      </x:c>
      <x:c r="AA31" s="29" t="str">
        <x:f>IF(V31&lt;0,"Collision",IF(V31&gt;0,"Entropy","Tie"))</x:f>
        <x:v>Collision</x:v>
      </x:c>
      <x:c r="AB31" s="29" t="str">
        <x:f>'Raw Results'!AU9</x:f>
        <x:v>none</x:v>
      </x:c>
    </x:row>
    <x:row r="32">
      <x:c r="A32" s="29" t="str">
        <x:v>Zoomed Square</x:v>
      </x:c>
      <x:c r="B32" s="30" t="str">
        <x:f>'Raw Results'!A9</x:f>
        <x:v>50</x:v>
      </x:c>
      <x:c r="C32" s="31" t="str">
        <x:f>'Raw Results'!B9</x:f>
        <x:v>0.5</x:v>
      </x:c>
      <x:c r="D32" s="30" t="str">
        <x:f>'Raw Results'!C9</x:f>
        <x:v>2</x:v>
      </x:c>
      <x:c r="E32" s="30" t="str">
        <x:f>'Raw Results'!D9</x:f>
        <x:v>3396175580</x:v>
      </x:c>
      <x:c r="F32" s="30" t="str">
        <x:f>'Raw Results'!E9</x:f>
        <x:v>642</x:v>
      </x:c>
      <x:c r="G32" s="30" t="str">
        <x:f>'Raw Results'!F9</x:f>
        <x:v>1</x:v>
      </x:c>
      <x:c r="H32" s="30" t="str">
        <x:f>'Raw Results'!G9</x:f>
        <x:v>50</x:v>
      </x:c>
      <x:c r="I32" s="32" t="str">
        <x:f>'Raw Results'!H9</x:f>
        <x:v>25.68</x:v>
      </x:c>
      <x:c r="J32" s="33" t="str">
        <x:f>'Raw Results'!I9</x:f>
        <x:v>0.5240816326530612</x:v>
      </x:c>
      <x:c r="K32" s="30" t="str">
        <x:f>'Raw Results'!AV9</x:f>
        <x:v>38</x:v>
      </x:c>
      <x:c r="L32" s="30" t="str">
        <x:f>'Raw Results'!AW9</x:f>
        <x:v>19</x:v>
      </x:c>
      <x:c r="M32" s="33" t="str">
        <x:f>'Raw Results'!AX9</x:f>
        <x:v>0.0070047000190243125</x:v>
      </x:c>
      <x:c r="N32" s="30" t="n">
        <x:f>IF('Raw Results'!AY9="True",1,0)</x:f>
        <x:v>1</x:v>
      </x:c>
      <x:c r="O32" s="30" t="str">
        <x:f>'Raw Results'!AZ9</x:f>
        <x:v>28</x:v>
      </x:c>
      <x:c r="P32" s="30" t="str">
        <x:f>'Raw Results'!BA9</x:f>
        <x:v>17</x:v>
      </x:c>
      <x:c r="Q32" s="33" t="str">
        <x:f>'Raw Results'!BB9</x:f>
        <x:v>0.006715100025758147</x:v>
      </x:c>
      <x:c r="R32" s="30" t="n">
        <x:f>IF('Raw Results'!BC9="True",1,0)</x:f>
        <x:v>1</x:v>
      </x:c>
      <x:c r="S32" s="30" t="n">
        <x:f>N32*R32</x:f>
        <x:v>1</x:v>
      </x:c>
      <x:c r="T32" s="30" t="n">
        <x:f>P32-L32</x:f>
        <x:v>-2</x:v>
      </x:c>
      <x:c r="U32" s="30" t="n">
        <x:f>O32-K32</x:f>
        <x:v>-10</x:v>
      </x:c>
      <x:c r="V32" s="34" t="n">
        <x:f>Q32-M32</x:f>
        <x:v>-0.00028959999326616526</x:v>
      </x:c>
      <x:c r="W32" s="35" t="n">
        <x:f>IF(L32=0,"",P32/L32)</x:f>
        <x:v>0.8947368421052632</x:v>
      </x:c>
      <x:c r="X32" s="30" t="n">
        <x:f>K32-L32</x:f>
        <x:v>19</x:v>
      </x:c>
      <x:c r="Y32" s="30" t="n">
        <x:f>O32-P32</x:f>
        <x:v>11</x:v>
      </x:c>
      <x:c r="Z32" s="29" t="str">
        <x:f>IF(S32=0,"Excluded",IF(T32&lt;0,"Collision",IF(T32&gt;0,"Entropy","Tie")))</x:f>
        <x:v>Collision</x:v>
      </x:c>
      <x:c r="AA32" s="29" t="str">
        <x:f>IF(V32&lt;0,"Collision",IF(V32&gt;0,"Entropy","Tie"))</x:f>
        <x:v>Collision</x:v>
      </x:c>
      <x:c r="AB32" s="29" t="str">
        <x:f>'Raw Results'!BM9</x:f>
        <x:v>none</x:v>
      </x:c>
    </x:row>
    <x:row r="33">
      <x:c r="A33" s="29" t="str">
        <x:v>ICH</x:v>
      </x:c>
      <x:c r="B33" s="30" t="str">
        <x:f>'Raw Results'!A9</x:f>
        <x:v>50</x:v>
      </x:c>
      <x:c r="C33" s="31" t="str">
        <x:f>'Raw Results'!B9</x:f>
        <x:v>0.5</x:v>
      </x:c>
      <x:c r="D33" s="30" t="str">
        <x:f>'Raw Results'!C9</x:f>
        <x:v>2</x:v>
      </x:c>
      <x:c r="E33" s="30" t="str">
        <x:f>'Raw Results'!D9</x:f>
        <x:v>3396175580</x:v>
      </x:c>
      <x:c r="F33" s="30" t="str">
        <x:f>'Raw Results'!E9</x:f>
        <x:v>642</x:v>
      </x:c>
      <x:c r="G33" s="30" t="str">
        <x:f>'Raw Results'!F9</x:f>
        <x:v>1</x:v>
      </x:c>
      <x:c r="H33" s="30" t="str">
        <x:f>'Raw Results'!G9</x:f>
        <x:v>50</x:v>
      </x:c>
      <x:c r="I33" s="32" t="str">
        <x:f>'Raw Results'!H9</x:f>
        <x:v>25.68</x:v>
      </x:c>
      <x:c r="J33" s="33" t="str">
        <x:f>'Raw Results'!I9</x:f>
        <x:v>0.5240816326530612</x:v>
      </x:c>
      <x:c r="K33" s="30" t="str">
        <x:f>'Raw Results'!BN9</x:f>
        <x:v>15</x:v>
      </x:c>
      <x:c r="L33" s="30" t="str">
        <x:f>'Raw Results'!BO9</x:f>
        <x:v>15</x:v>
      </x:c>
      <x:c r="M33" s="33" t="str">
        <x:f>'Raw Results'!BP9</x:f>
        <x:v>0.02756939991377294</x:v>
      </x:c>
      <x:c r="N33" s="30" t="n">
        <x:f>IF('Raw Results'!BQ9="True",1,0)</x:f>
        <x:v>1</x:v>
      </x:c>
      <x:c r="O33" s="30" t="str">
        <x:f>'Raw Results'!BR9</x:f>
        <x:v>14</x:v>
      </x:c>
      <x:c r="P33" s="30" t="str">
        <x:f>'Raw Results'!BS9</x:f>
        <x:v>14</x:v>
      </x:c>
      <x:c r="Q33" s="33" t="str">
        <x:f>'Raw Results'!BT9</x:f>
        <x:v>0.022960899979807436</x:v>
      </x:c>
      <x:c r="R33" s="30" t="n">
        <x:f>IF('Raw Results'!BU9="True",1,0)</x:f>
        <x:v>1</x:v>
      </x:c>
      <x:c r="S33" s="30" t="n">
        <x:f>N33*R33</x:f>
        <x:v>1</x:v>
      </x:c>
      <x:c r="T33" s="30" t="n">
        <x:f>P33-L33</x:f>
        <x:v>-1</x:v>
      </x:c>
      <x:c r="U33" s="30" t="n">
        <x:f>O33-K33</x:f>
        <x:v>-1</x:v>
      </x:c>
      <x:c r="V33" s="34" t="n">
        <x:f>Q33-M33</x:f>
        <x:v>-0.004608499933965504</x:v>
      </x:c>
      <x:c r="W33" s="35" t="n">
        <x:f>IF(L33=0,"",P33/L33)</x:f>
        <x:v>0.9333333333333333</x:v>
      </x:c>
      <x:c r="X33" s="30" t="n">
        <x:f>K33-L33</x:f>
        <x:v>0</x:v>
      </x:c>
      <x:c r="Y33" s="30" t="n">
        <x:f>O33-P33</x:f>
        <x:v>0</x:v>
      </x:c>
      <x:c r="Z33" s="29" t="str">
        <x:f>IF(S33=0,"Excluded",IF(T33&lt;0,"Collision",IF(T33&gt;0,"Entropy","Tie")))</x:f>
        <x:v>Collision</x:v>
      </x:c>
      <x:c r="AA33" s="29" t="str">
        <x:f>IF(V33&lt;0,"Collision",IF(V33&gt;0,"Entropy","Tie"))</x:f>
        <x:v>Collision</x:v>
      </x:c>
      <x:c r="AB33" s="29" t="str">
        <x:f>'Raw Results'!CE9</x:f>
        <x:v>none</x:v>
      </x:c>
    </x:row>
    <x:row r="34">
      <x:c r="A34" s="29" t="str">
        <x:v>Grid</x:v>
      </x:c>
      <x:c r="B34" s="30" t="str">
        <x:f>'Raw Results'!A10</x:f>
        <x:v>50</x:v>
      </x:c>
      <x:c r="C34" s="31" t="str">
        <x:f>'Raw Results'!B10</x:f>
        <x:v>0.5</x:v>
      </x:c>
      <x:c r="D34" s="30" t="str">
        <x:f>'Raw Results'!C10</x:f>
        <x:v>3</x:v>
      </x:c>
      <x:c r="E34" s="30" t="str">
        <x:f>'Raw Results'!D10</x:f>
        <x:v>2120122110</x:v>
      </x:c>
      <x:c r="F34" s="30" t="str">
        <x:f>'Raw Results'!E10</x:f>
        <x:v>586</x:v>
      </x:c>
      <x:c r="G34" s="30" t="str">
        <x:f>'Raw Results'!F10</x:f>
        <x:v>1</x:v>
      </x:c>
      <x:c r="H34" s="30" t="str">
        <x:f>'Raw Results'!G10</x:f>
        <x:v>50</x:v>
      </x:c>
      <x:c r="I34" s="32" t="str">
        <x:f>'Raw Results'!H10</x:f>
        <x:v>23.44</x:v>
      </x:c>
      <x:c r="J34" s="33" t="str">
        <x:f>'Raw Results'!I10</x:f>
        <x:v>0.47836734693877553</x:v>
      </x:c>
      <x:c r="K34" s="30" t="str">
        <x:f>'Raw Results'!L10</x:f>
        <x:v>42</x:v>
      </x:c>
      <x:c r="L34" s="30" t="str">
        <x:f>'Raw Results'!M10</x:f>
        <x:v>15</x:v>
      </x:c>
      <x:c r="M34" s="33" t="str">
        <x:f>'Raw Results'!N10</x:f>
        <x:v>0.015868299989961088</x:v>
      </x:c>
      <x:c r="N34" s="30" t="n">
        <x:f>IF('Raw Results'!O10="True",1,0)</x:f>
        <x:v>1</x:v>
      </x:c>
      <x:c r="O34" s="30" t="str">
        <x:f>'Raw Results'!P10</x:f>
        <x:v>16</x:v>
      </x:c>
      <x:c r="P34" s="30" t="str">
        <x:f>'Raw Results'!Q10</x:f>
        <x:v>16</x:v>
      </x:c>
      <x:c r="Q34" s="33" t="str">
        <x:f>'Raw Results'!R10</x:f>
        <x:v>0.013201700057834387</x:v>
      </x:c>
      <x:c r="R34" s="30" t="n">
        <x:f>IF('Raw Results'!S10="True",1,0)</x:f>
        <x:v>1</x:v>
      </x:c>
      <x:c r="S34" s="30" t="n">
        <x:f>N34*R34</x:f>
        <x:v>1</x:v>
      </x:c>
      <x:c r="T34" s="30" t="n">
        <x:f>P34-L34</x:f>
        <x:v>1</x:v>
      </x:c>
      <x:c r="U34" s="30" t="n">
        <x:f>O34-K34</x:f>
        <x:v>-26</x:v>
      </x:c>
      <x:c r="V34" s="34" t="n">
        <x:f>Q34-M34</x:f>
        <x:v>-0.002666599932126701</x:v>
      </x:c>
      <x:c r="W34" s="35" t="n">
        <x:f>IF(L34=0,"",P34/L34)</x:f>
        <x:v>1.0666666666666667</x:v>
      </x:c>
      <x:c r="X34" s="30" t="n">
        <x:f>K34-L34</x:f>
        <x:v>27</x:v>
      </x:c>
      <x:c r="Y34" s="30" t="n">
        <x:f>O34-P34</x:f>
        <x:v>0</x:v>
      </x:c>
      <x:c r="Z34" s="29" t="str">
        <x:f>IF(S34=0,"Excluded",IF(T34&lt;0,"Collision",IF(T34&gt;0,"Entropy","Tie")))</x:f>
        <x:v>Entropy</x:v>
      </x:c>
      <x:c r="AA34" s="29" t="str">
        <x:f>IF(V34&lt;0,"Collision",IF(V34&gt;0,"Entropy","Tie"))</x:f>
        <x:v>Collision</x:v>
      </x:c>
      <x:c r="AB34" s="29" t="str">
        <x:f>'Raw Results'!AC10</x:f>
        <x:v>none</x:v>
      </x:c>
    </x:row>
    <x:row r="35">
      <x:c r="A35" s="29" t="str">
        <x:v>Circle</x:v>
      </x:c>
      <x:c r="B35" s="30" t="str">
        <x:f>'Raw Results'!A10</x:f>
        <x:v>50</x:v>
      </x:c>
      <x:c r="C35" s="31" t="str">
        <x:f>'Raw Results'!B10</x:f>
        <x:v>0.5</x:v>
      </x:c>
      <x:c r="D35" s="30" t="str">
        <x:f>'Raw Results'!C10</x:f>
        <x:v>3</x:v>
      </x:c>
      <x:c r="E35" s="30" t="str">
        <x:f>'Raw Results'!D10</x:f>
        <x:v>2120122110</x:v>
      </x:c>
      <x:c r="F35" s="30" t="str">
        <x:f>'Raw Results'!E10</x:f>
        <x:v>586</x:v>
      </x:c>
      <x:c r="G35" s="30" t="str">
        <x:f>'Raw Results'!F10</x:f>
        <x:v>1</x:v>
      </x:c>
      <x:c r="H35" s="30" t="str">
        <x:f>'Raw Results'!G10</x:f>
        <x:v>50</x:v>
      </x:c>
      <x:c r="I35" s="32" t="str">
        <x:f>'Raw Results'!H10</x:f>
        <x:v>23.44</x:v>
      </x:c>
      <x:c r="J35" s="33" t="str">
        <x:f>'Raw Results'!I10</x:f>
        <x:v>0.47836734693877553</x:v>
      </x:c>
      <x:c r="K35" s="30" t="str">
        <x:f>'Raw Results'!AD10</x:f>
        <x:v>42</x:v>
      </x:c>
      <x:c r="L35" s="30" t="str">
        <x:f>'Raw Results'!AE10</x:f>
        <x:v>17</x:v>
      </x:c>
      <x:c r="M35" s="33" t="str">
        <x:f>'Raw Results'!AF10</x:f>
        <x:v>0.005161000066436827</x:v>
      </x:c>
      <x:c r="N35" s="30" t="n">
        <x:f>IF('Raw Results'!AG10="True",1,0)</x:f>
        <x:v>1</x:v>
      </x:c>
      <x:c r="O35" s="30" t="str">
        <x:f>'Raw Results'!AH10</x:f>
        <x:v>37</x:v>
      </x:c>
      <x:c r="P35" s="30" t="str">
        <x:f>'Raw Results'!AI10</x:f>
        <x:v>17</x:v>
      </x:c>
      <x:c r="Q35" s="33" t="str">
        <x:f>'Raw Results'!AJ10</x:f>
        <x:v>0.004783300100825727</x:v>
      </x:c>
      <x:c r="R35" s="30" t="n">
        <x:f>IF('Raw Results'!AK10="True",1,0)</x:f>
        <x:v>1</x:v>
      </x:c>
      <x:c r="S35" s="30" t="n">
        <x:f>N35*R35</x:f>
        <x:v>1</x:v>
      </x:c>
      <x:c r="T35" s="30" t="n">
        <x:f>P35-L35</x:f>
        <x:v>0</x:v>
      </x:c>
      <x:c r="U35" s="30" t="n">
        <x:f>O35-K35</x:f>
        <x:v>-5</x:v>
      </x:c>
      <x:c r="V35" s="34" t="n">
        <x:f>Q35-M35</x:f>
        <x:v>-0.0003776999656111002</x:v>
      </x:c>
      <x:c r="W35" s="35" t="n">
        <x:f>IF(L35=0,"",P35/L35)</x:f>
        <x:v>1</x:v>
      </x:c>
      <x:c r="X35" s="30" t="n">
        <x:f>K35-L35</x:f>
        <x:v>25</x:v>
      </x:c>
      <x:c r="Y35" s="30" t="n">
        <x:f>O35-P35</x:f>
        <x:v>20</x:v>
      </x:c>
      <x:c r="Z35" s="29" t="str">
        <x:f>IF(S35=0,"Excluded",IF(T35&lt;0,"Collision",IF(T35&gt;0,"Entropy","Tie")))</x:f>
        <x:v>Tie</x:v>
      </x:c>
      <x:c r="AA35" s="29" t="str">
        <x:f>IF(V35&lt;0,"Collision",IF(V35&gt;0,"Entropy","Tie"))</x:f>
        <x:v>Collision</x:v>
      </x:c>
      <x:c r="AB35" s="29" t="str">
        <x:f>'Raw Results'!AU10</x:f>
        <x:v>none</x:v>
      </x:c>
    </x:row>
    <x:row r="36">
      <x:c r="A36" s="29" t="str">
        <x:v>Zoomed Square</x:v>
      </x:c>
      <x:c r="B36" s="30" t="str">
        <x:f>'Raw Results'!A10</x:f>
        <x:v>50</x:v>
      </x:c>
      <x:c r="C36" s="31" t="str">
        <x:f>'Raw Results'!B10</x:f>
        <x:v>0.5</x:v>
      </x:c>
      <x:c r="D36" s="30" t="str">
        <x:f>'Raw Results'!C10</x:f>
        <x:v>3</x:v>
      </x:c>
      <x:c r="E36" s="30" t="str">
        <x:f>'Raw Results'!D10</x:f>
        <x:v>2120122110</x:v>
      </x:c>
      <x:c r="F36" s="30" t="str">
        <x:f>'Raw Results'!E10</x:f>
        <x:v>586</x:v>
      </x:c>
      <x:c r="G36" s="30" t="str">
        <x:f>'Raw Results'!F10</x:f>
        <x:v>1</x:v>
      </x:c>
      <x:c r="H36" s="30" t="str">
        <x:f>'Raw Results'!G10</x:f>
        <x:v>50</x:v>
      </x:c>
      <x:c r="I36" s="32" t="str">
        <x:f>'Raw Results'!H10</x:f>
        <x:v>23.44</x:v>
      </x:c>
      <x:c r="J36" s="33" t="str">
        <x:f>'Raw Results'!I10</x:f>
        <x:v>0.47836734693877553</x:v>
      </x:c>
      <x:c r="K36" s="30" t="str">
        <x:f>'Raw Results'!AV10</x:f>
        <x:v>44</x:v>
      </x:c>
      <x:c r="L36" s="30" t="str">
        <x:f>'Raw Results'!AW10</x:f>
        <x:v>15</x:v>
      </x:c>
      <x:c r="M36" s="33" t="str">
        <x:f>'Raw Results'!AX10</x:f>
        <x:v>0.006254800013266504</x:v>
      </x:c>
      <x:c r="N36" s="30" t="n">
        <x:f>IF('Raw Results'!AY10="True",1,0)</x:f>
        <x:v>1</x:v>
      </x:c>
      <x:c r="O36" s="30" t="str">
        <x:f>'Raw Results'!AZ10</x:f>
        <x:v>38</x:v>
      </x:c>
      <x:c r="P36" s="30" t="str">
        <x:f>'Raw Results'!BA10</x:f>
        <x:v>15</x:v>
      </x:c>
      <x:c r="Q36" s="33" t="str">
        <x:f>'Raw Results'!BB10</x:f>
        <x:v>0.006544700008817017</x:v>
      </x:c>
      <x:c r="R36" s="30" t="n">
        <x:f>IF('Raw Results'!BC10="True",1,0)</x:f>
        <x:v>1</x:v>
      </x:c>
      <x:c r="S36" s="30" t="n">
        <x:f>N36*R36</x:f>
        <x:v>1</x:v>
      </x:c>
      <x:c r="T36" s="30" t="n">
        <x:f>P36-L36</x:f>
        <x:v>0</x:v>
      </x:c>
      <x:c r="U36" s="30" t="n">
        <x:f>O36-K36</x:f>
        <x:v>-6</x:v>
      </x:c>
      <x:c r="V36" s="34" t="n">
        <x:f>Q36-M36</x:f>
        <x:v>0.00028989999555051327</x:v>
      </x:c>
      <x:c r="W36" s="35" t="n">
        <x:f>IF(L36=0,"",P36/L36)</x:f>
        <x:v>1</x:v>
      </x:c>
      <x:c r="X36" s="30" t="n">
        <x:f>K36-L36</x:f>
        <x:v>29</x:v>
      </x:c>
      <x:c r="Y36" s="30" t="n">
        <x:f>O36-P36</x:f>
        <x:v>23</x:v>
      </x:c>
      <x:c r="Z36" s="29" t="str">
        <x:f>IF(S36=0,"Excluded",IF(T36&lt;0,"Collision",IF(T36&gt;0,"Entropy","Tie")))</x:f>
        <x:v>Tie</x:v>
      </x:c>
      <x:c r="AA36" s="29" t="str">
        <x:f>IF(V36&lt;0,"Collision",IF(V36&gt;0,"Entropy","Tie"))</x:f>
        <x:v>Entropy</x:v>
      </x:c>
      <x:c r="AB36" s="29" t="str">
        <x:f>'Raw Results'!BM10</x:f>
        <x:v>none</x:v>
      </x:c>
    </x:row>
    <x:row r="37">
      <x:c r="A37" s="29" t="str">
        <x:v>ICH</x:v>
      </x:c>
      <x:c r="B37" s="30" t="str">
        <x:f>'Raw Results'!A10</x:f>
        <x:v>50</x:v>
      </x:c>
      <x:c r="C37" s="31" t="str">
        <x:f>'Raw Results'!B10</x:f>
        <x:v>0.5</x:v>
      </x:c>
      <x:c r="D37" s="30" t="str">
        <x:f>'Raw Results'!C10</x:f>
        <x:v>3</x:v>
      </x:c>
      <x:c r="E37" s="30" t="str">
        <x:f>'Raw Results'!D10</x:f>
        <x:v>2120122110</x:v>
      </x:c>
      <x:c r="F37" s="30" t="str">
        <x:f>'Raw Results'!E10</x:f>
        <x:v>586</x:v>
      </x:c>
      <x:c r="G37" s="30" t="str">
        <x:f>'Raw Results'!F10</x:f>
        <x:v>1</x:v>
      </x:c>
      <x:c r="H37" s="30" t="str">
        <x:f>'Raw Results'!G10</x:f>
        <x:v>50</x:v>
      </x:c>
      <x:c r="I37" s="32" t="str">
        <x:f>'Raw Results'!H10</x:f>
        <x:v>23.44</x:v>
      </x:c>
      <x:c r="J37" s="33" t="str">
        <x:f>'Raw Results'!I10</x:f>
        <x:v>0.47836734693877553</x:v>
      </x:c>
      <x:c r="K37" s="30" t="str">
        <x:f>'Raw Results'!BN10</x:f>
        <x:v>16</x:v>
      </x:c>
      <x:c r="L37" s="30" t="str">
        <x:f>'Raw Results'!BO10</x:f>
        <x:v>16</x:v>
      </x:c>
      <x:c r="M37" s="33" t="str">
        <x:f>'Raw Results'!BP10</x:f>
        <x:v>0.029446200001984835</x:v>
      </x:c>
      <x:c r="N37" s="30" t="n">
        <x:f>IF('Raw Results'!BQ10="True",1,0)</x:f>
        <x:v>1</x:v>
      </x:c>
      <x:c r="O37" s="30" t="str">
        <x:f>'Raw Results'!BR10</x:f>
        <x:v>16</x:v>
      </x:c>
      <x:c r="P37" s="30" t="str">
        <x:f>'Raw Results'!BS10</x:f>
        <x:v>16</x:v>
      </x:c>
      <x:c r="Q37" s="33" t="str">
        <x:f>'Raw Results'!BT10</x:f>
        <x:v>0.02706160000525415</x:v>
      </x:c>
      <x:c r="R37" s="30" t="n">
        <x:f>IF('Raw Results'!BU10="True",1,0)</x:f>
        <x:v>1</x:v>
      </x:c>
      <x:c r="S37" s="30" t="n">
        <x:f>N37*R37</x:f>
        <x:v>1</x:v>
      </x:c>
      <x:c r="T37" s="30" t="n">
        <x:f>P37-L37</x:f>
        <x:v>0</x:v>
      </x:c>
      <x:c r="U37" s="30" t="n">
        <x:f>O37-K37</x:f>
        <x:v>0</x:v>
      </x:c>
      <x:c r="V37" s="34" t="n">
        <x:f>Q37-M37</x:f>
        <x:v>-0.0023845999967306852</x:v>
      </x:c>
      <x:c r="W37" s="35" t="n">
        <x:f>IF(L37=0,"",P37/L37)</x:f>
        <x:v>1</x:v>
      </x:c>
      <x:c r="X37" s="30" t="n">
        <x:f>K37-L37</x:f>
        <x:v>0</x:v>
      </x:c>
      <x:c r="Y37" s="30" t="n">
        <x:f>O37-P37</x:f>
        <x:v>0</x:v>
      </x:c>
      <x:c r="Z37" s="29" t="str">
        <x:f>IF(S37=0,"Excluded",IF(T37&lt;0,"Collision",IF(T37&gt;0,"Entropy","Tie")))</x:f>
        <x:v>Tie</x:v>
      </x:c>
      <x:c r="AA37" s="29" t="str">
        <x:f>IF(V37&lt;0,"Collision",IF(V37&gt;0,"Entropy","Tie"))</x:f>
        <x:v>Collision</x:v>
      </x:c>
      <x:c r="AB37" s="29" t="str">
        <x:f>'Raw Results'!CE10</x:f>
        <x:v>none</x:v>
      </x:c>
    </x:row>
    <x:row r="38">
      <x:c r="A38" s="29" t="str">
        <x:v>Grid</x:v>
      </x:c>
      <x:c r="B38" s="30" t="str">
        <x:f>'Raw Results'!A11</x:f>
        <x:v>50</x:v>
      </x:c>
      <x:c r="C38" s="31" t="str">
        <x:f>'Raw Results'!B11</x:f>
        <x:v>0.7</x:v>
      </x:c>
      <x:c r="D38" s="30" t="str">
        <x:f>'Raw Results'!C11</x:f>
        <x:v>1</x:v>
      </x:c>
      <x:c r="E38" s="30" t="str">
        <x:f>'Raw Results'!D11</x:f>
        <x:v>1240493215</x:v>
      </x:c>
      <x:c r="F38" s="30" t="str">
        <x:f>'Raw Results'!E11</x:f>
        <x:v>905</x:v>
      </x:c>
      <x:c r="G38" s="30" t="str">
        <x:f>'Raw Results'!F11</x:f>
        <x:v>1</x:v>
      </x:c>
      <x:c r="H38" s="30" t="str">
        <x:f>'Raw Results'!G11</x:f>
        <x:v>50</x:v>
      </x:c>
      <x:c r="I38" s="32" t="str">
        <x:f>'Raw Results'!H11</x:f>
        <x:v>36.2</x:v>
      </x:c>
      <x:c r="J38" s="33" t="str">
        <x:f>'Raw Results'!I11</x:f>
        <x:v>0.7387755102040816</x:v>
      </x:c>
      <x:c r="K38" s="30" t="str">
        <x:f>'Raw Results'!L11</x:f>
        <x:v>46</x:v>
      </x:c>
      <x:c r="L38" s="30" t="str">
        <x:f>'Raw Results'!M11</x:f>
        <x:v>21</x:v>
      </x:c>
      <x:c r="M38" s="33" t="str">
        <x:f>'Raw Results'!N11</x:f>
        <x:v>0.01623229996766895</x:v>
      </x:c>
      <x:c r="N38" s="30" t="n">
        <x:f>IF('Raw Results'!O11="True",1,0)</x:f>
        <x:v>1</x:v>
      </x:c>
      <x:c r="O38" s="30" t="str">
        <x:f>'Raw Results'!P11</x:f>
        <x:v>19</x:v>
      </x:c>
      <x:c r="P38" s="30" t="str">
        <x:f>'Raw Results'!Q11</x:f>
        <x:v>18</x:v>
      </x:c>
      <x:c r="Q38" s="33" t="str">
        <x:f>'Raw Results'!R11</x:f>
        <x:v>0.013825599919073284</x:v>
      </x:c>
      <x:c r="R38" s="30" t="n">
        <x:f>IF('Raw Results'!S11="True",1,0)</x:f>
        <x:v>1</x:v>
      </x:c>
      <x:c r="S38" s="30" t="n">
        <x:f>N38*R38</x:f>
        <x:v>1</x:v>
      </x:c>
      <x:c r="T38" s="30" t="n">
        <x:f>P38-L38</x:f>
        <x:v>-3</x:v>
      </x:c>
      <x:c r="U38" s="30" t="n">
        <x:f>O38-K38</x:f>
        <x:v>-27</x:v>
      </x:c>
      <x:c r="V38" s="34" t="n">
        <x:f>Q38-M38</x:f>
        <x:v>-0.002406700048595667</x:v>
      </x:c>
      <x:c r="W38" s="35" t="n">
        <x:f>IF(L38=0,"",P38/L38)</x:f>
        <x:v>0.8571428571428571</x:v>
      </x:c>
      <x:c r="X38" s="30" t="n">
        <x:f>K38-L38</x:f>
        <x:v>25</x:v>
      </x:c>
      <x:c r="Y38" s="30" t="n">
        <x:f>O38-P38</x:f>
        <x:v>1</x:v>
      </x:c>
      <x:c r="Z38" s="29" t="str">
        <x:f>IF(S38=0,"Excluded",IF(T38&lt;0,"Collision",IF(T38&gt;0,"Entropy","Tie")))</x:f>
        <x:v>Collision</x:v>
      </x:c>
      <x:c r="AA38" s="29" t="str">
        <x:f>IF(V38&lt;0,"Collision",IF(V38&gt;0,"Entropy","Tie"))</x:f>
        <x:v>Collision</x:v>
      </x:c>
      <x:c r="AB38" s="29" t="str">
        <x:f>'Raw Results'!AC11</x:f>
        <x:v>none</x:v>
      </x:c>
    </x:row>
    <x:row r="39">
      <x:c r="A39" s="29" t="str">
        <x:v>Circle</x:v>
      </x:c>
      <x:c r="B39" s="30" t="str">
        <x:f>'Raw Results'!A11</x:f>
        <x:v>50</x:v>
      </x:c>
      <x:c r="C39" s="31" t="str">
        <x:f>'Raw Results'!B11</x:f>
        <x:v>0.7</x:v>
      </x:c>
      <x:c r="D39" s="30" t="str">
        <x:f>'Raw Results'!C11</x:f>
        <x:v>1</x:v>
      </x:c>
      <x:c r="E39" s="30" t="str">
        <x:f>'Raw Results'!D11</x:f>
        <x:v>1240493215</x:v>
      </x:c>
      <x:c r="F39" s="30" t="str">
        <x:f>'Raw Results'!E11</x:f>
        <x:v>905</x:v>
      </x:c>
      <x:c r="G39" s="30" t="str">
        <x:f>'Raw Results'!F11</x:f>
        <x:v>1</x:v>
      </x:c>
      <x:c r="H39" s="30" t="str">
        <x:f>'Raw Results'!G11</x:f>
        <x:v>50</x:v>
      </x:c>
      <x:c r="I39" s="32" t="str">
        <x:f>'Raw Results'!H11</x:f>
        <x:v>36.2</x:v>
      </x:c>
      <x:c r="J39" s="33" t="str">
        <x:f>'Raw Results'!I11</x:f>
        <x:v>0.7387755102040816</x:v>
      </x:c>
      <x:c r="K39" s="30" t="str">
        <x:f>'Raw Results'!AD11</x:f>
        <x:v>45</x:v>
      </x:c>
      <x:c r="L39" s="30" t="str">
        <x:f>'Raw Results'!AE11</x:f>
        <x:v>22</x:v>
      </x:c>
      <x:c r="M39" s="33" t="str">
        <x:f>'Raw Results'!AF11</x:f>
        <x:v>0.009461299981921911</x:v>
      </x:c>
      <x:c r="N39" s="30" t="n">
        <x:f>IF('Raw Results'!AG11="True",1,0)</x:f>
        <x:v>1</x:v>
      </x:c>
      <x:c r="O39" s="30" t="str">
        <x:f>'Raw Results'!AH11</x:f>
        <x:v>38</x:v>
      </x:c>
      <x:c r="P39" s="30" t="str">
        <x:f>'Raw Results'!AI11</x:f>
        <x:v>21</x:v>
      </x:c>
      <x:c r="Q39" s="33" t="str">
        <x:f>'Raw Results'!AJ11</x:f>
        <x:v>0.009743700036779046</x:v>
      </x:c>
      <x:c r="R39" s="30" t="n">
        <x:f>IF('Raw Results'!AK11="True",1,0)</x:f>
        <x:v>1</x:v>
      </x:c>
      <x:c r="S39" s="30" t="n">
        <x:f>N39*R39</x:f>
        <x:v>1</x:v>
      </x:c>
      <x:c r="T39" s="30" t="n">
        <x:f>P39-L39</x:f>
        <x:v>-1</x:v>
      </x:c>
      <x:c r="U39" s="30" t="n">
        <x:f>O39-K39</x:f>
        <x:v>-7</x:v>
      </x:c>
      <x:c r="V39" s="34" t="n">
        <x:f>Q39-M39</x:f>
        <x:v>0.0002824000548571348</x:v>
      </x:c>
      <x:c r="W39" s="35" t="n">
        <x:f>IF(L39=0,"",P39/L39)</x:f>
        <x:v>0.9545454545454546</x:v>
      </x:c>
      <x:c r="X39" s="30" t="n">
        <x:f>K39-L39</x:f>
        <x:v>23</x:v>
      </x:c>
      <x:c r="Y39" s="30" t="n">
        <x:f>O39-P39</x:f>
        <x:v>17</x:v>
      </x:c>
      <x:c r="Z39" s="29" t="str">
        <x:f>IF(S39=0,"Excluded",IF(T39&lt;0,"Collision",IF(T39&gt;0,"Entropy","Tie")))</x:f>
        <x:v>Collision</x:v>
      </x:c>
      <x:c r="AA39" s="29" t="str">
        <x:f>IF(V39&lt;0,"Collision",IF(V39&gt;0,"Entropy","Tie"))</x:f>
        <x:v>Entropy</x:v>
      </x:c>
      <x:c r="AB39" s="29" t="str">
        <x:f>'Raw Results'!AU11</x:f>
        <x:v>none</x:v>
      </x:c>
    </x:row>
    <x:row r="40">
      <x:c r="A40" s="29" t="str">
        <x:v>Zoomed Square</x:v>
      </x:c>
      <x:c r="B40" s="30" t="str">
        <x:f>'Raw Results'!A11</x:f>
        <x:v>50</x:v>
      </x:c>
      <x:c r="C40" s="31" t="str">
        <x:f>'Raw Results'!B11</x:f>
        <x:v>0.7</x:v>
      </x:c>
      <x:c r="D40" s="30" t="str">
        <x:f>'Raw Results'!C11</x:f>
        <x:v>1</x:v>
      </x:c>
      <x:c r="E40" s="30" t="str">
        <x:f>'Raw Results'!D11</x:f>
        <x:v>1240493215</x:v>
      </x:c>
      <x:c r="F40" s="30" t="str">
        <x:f>'Raw Results'!E11</x:f>
        <x:v>905</x:v>
      </x:c>
      <x:c r="G40" s="30" t="str">
        <x:f>'Raw Results'!F11</x:f>
        <x:v>1</x:v>
      </x:c>
      <x:c r="H40" s="30" t="str">
        <x:f>'Raw Results'!G11</x:f>
        <x:v>50</x:v>
      </x:c>
      <x:c r="I40" s="32" t="str">
        <x:f>'Raw Results'!H11</x:f>
        <x:v>36.2</x:v>
      </x:c>
      <x:c r="J40" s="33" t="str">
        <x:f>'Raw Results'!I11</x:f>
        <x:v>0.7387755102040816</x:v>
      </x:c>
      <x:c r="K40" s="30" t="str">
        <x:f>'Raw Results'!AV11</x:f>
        <x:v>42</x:v>
      </x:c>
      <x:c r="L40" s="30" t="str">
        <x:f>'Raw Results'!AW11</x:f>
        <x:v>22</x:v>
      </x:c>
      <x:c r="M40" s="33" t="str">
        <x:f>'Raw Results'!AX11</x:f>
        <x:v>0.008657500031404197</x:v>
      </x:c>
      <x:c r="N40" s="30" t="n">
        <x:f>IF('Raw Results'!AY11="True",1,0)</x:f>
        <x:v>1</x:v>
      </x:c>
      <x:c r="O40" s="30" t="str">
        <x:f>'Raw Results'!AZ11</x:f>
        <x:v>32</x:v>
      </x:c>
      <x:c r="P40" s="30" t="str">
        <x:f>'Raw Results'!BA11</x:f>
        <x:v>19</x:v>
      </x:c>
      <x:c r="Q40" s="33" t="str">
        <x:f>'Raw Results'!BB11</x:f>
        <x:v>0.009930299944244325</x:v>
      </x:c>
      <x:c r="R40" s="30" t="n">
        <x:f>IF('Raw Results'!BC11="True",1,0)</x:f>
        <x:v>1</x:v>
      </x:c>
      <x:c r="S40" s="30" t="n">
        <x:f>N40*R40</x:f>
        <x:v>1</x:v>
      </x:c>
      <x:c r="T40" s="30" t="n">
        <x:f>P40-L40</x:f>
        <x:v>-3</x:v>
      </x:c>
      <x:c r="U40" s="30" t="n">
        <x:f>O40-K40</x:f>
        <x:v>-10</x:v>
      </x:c>
      <x:c r="V40" s="34" t="n">
        <x:f>Q40-M40</x:f>
        <x:v>0.001272799912840128</x:v>
      </x:c>
      <x:c r="W40" s="35" t="n">
        <x:f>IF(L40=0,"",P40/L40)</x:f>
        <x:v>0.8636363636363636</x:v>
      </x:c>
      <x:c r="X40" s="30" t="n">
        <x:f>K40-L40</x:f>
        <x:v>20</x:v>
      </x:c>
      <x:c r="Y40" s="30" t="n">
        <x:f>O40-P40</x:f>
        <x:v>13</x:v>
      </x:c>
      <x:c r="Z40" s="29" t="str">
        <x:f>IF(S40=0,"Excluded",IF(T40&lt;0,"Collision",IF(T40&gt;0,"Entropy","Tie")))</x:f>
        <x:v>Collision</x:v>
      </x:c>
      <x:c r="AA40" s="29" t="str">
        <x:f>IF(V40&lt;0,"Collision",IF(V40&gt;0,"Entropy","Tie"))</x:f>
        <x:v>Entropy</x:v>
      </x:c>
      <x:c r="AB40" s="29" t="str">
        <x:f>'Raw Results'!BM11</x:f>
        <x:v>none</x:v>
      </x:c>
    </x:row>
    <x:row r="41">
      <x:c r="A41" s="29" t="str">
        <x:v>ICH</x:v>
      </x:c>
      <x:c r="B41" s="30" t="str">
        <x:f>'Raw Results'!A11</x:f>
        <x:v>50</x:v>
      </x:c>
      <x:c r="C41" s="31" t="str">
        <x:f>'Raw Results'!B11</x:f>
        <x:v>0.7</x:v>
      </x:c>
      <x:c r="D41" s="30" t="str">
        <x:f>'Raw Results'!C11</x:f>
        <x:v>1</x:v>
      </x:c>
      <x:c r="E41" s="30" t="str">
        <x:f>'Raw Results'!D11</x:f>
        <x:v>1240493215</x:v>
      </x:c>
      <x:c r="F41" s="30" t="str">
        <x:f>'Raw Results'!E11</x:f>
        <x:v>905</x:v>
      </x:c>
      <x:c r="G41" s="30" t="str">
        <x:f>'Raw Results'!F11</x:f>
        <x:v>1</x:v>
      </x:c>
      <x:c r="H41" s="30" t="str">
        <x:f>'Raw Results'!G11</x:f>
        <x:v>50</x:v>
      </x:c>
      <x:c r="I41" s="32" t="str">
        <x:f>'Raw Results'!H11</x:f>
        <x:v>36.2</x:v>
      </x:c>
      <x:c r="J41" s="33" t="str">
        <x:f>'Raw Results'!I11</x:f>
        <x:v>0.7387755102040816</x:v>
      </x:c>
      <x:c r="K41" s="30" t="str">
        <x:f>'Raw Results'!BN11</x:f>
        <x:v>19</x:v>
      </x:c>
      <x:c r="L41" s="30" t="str">
        <x:f>'Raw Results'!BO11</x:f>
        <x:v>19</x:v>
      </x:c>
      <x:c r="M41" s="33" t="str">
        <x:f>'Raw Results'!BP11</x:f>
        <x:v>0.029234000016003847</x:v>
      </x:c>
      <x:c r="N41" s="30" t="n">
        <x:f>IF('Raw Results'!BQ11="True",1,0)</x:f>
        <x:v>1</x:v>
      </x:c>
      <x:c r="O41" s="30" t="str">
        <x:f>'Raw Results'!BR11</x:f>
        <x:v>18</x:v>
      </x:c>
      <x:c r="P41" s="30" t="str">
        <x:f>'Raw Results'!BS11</x:f>
        <x:v>18</x:v>
      </x:c>
      <x:c r="Q41" s="33" t="str">
        <x:f>'Raw Results'!BT11</x:f>
        <x:v>0.027853599982336164</x:v>
      </x:c>
      <x:c r="R41" s="30" t="n">
        <x:f>IF('Raw Results'!BU11="True",1,0)</x:f>
        <x:v>1</x:v>
      </x:c>
      <x:c r="S41" s="30" t="n">
        <x:f>N41*R41</x:f>
        <x:v>1</x:v>
      </x:c>
      <x:c r="T41" s="30" t="n">
        <x:f>P41-L41</x:f>
        <x:v>-1</x:v>
      </x:c>
      <x:c r="U41" s="30" t="n">
        <x:f>O41-K41</x:f>
        <x:v>-1</x:v>
      </x:c>
      <x:c r="V41" s="34" t="n">
        <x:f>Q41-M41</x:f>
        <x:v>-0.0013804000336676836</x:v>
      </x:c>
      <x:c r="W41" s="35" t="n">
        <x:f>IF(L41=0,"",P41/L41)</x:f>
        <x:v>0.9473684210526315</x:v>
      </x:c>
      <x:c r="X41" s="30" t="n">
        <x:f>K41-L41</x:f>
        <x:v>0</x:v>
      </x:c>
      <x:c r="Y41" s="30" t="n">
        <x:f>O41-P41</x:f>
        <x:v>0</x:v>
      </x:c>
      <x:c r="Z41" s="29" t="str">
        <x:f>IF(S41=0,"Excluded",IF(T41&lt;0,"Collision",IF(T41&gt;0,"Entropy","Tie")))</x:f>
        <x:v>Collision</x:v>
      </x:c>
      <x:c r="AA41" s="29" t="str">
        <x:f>IF(V41&lt;0,"Collision",IF(V41&gt;0,"Entropy","Tie"))</x:f>
        <x:v>Collision</x:v>
      </x:c>
      <x:c r="AB41" s="29" t="str">
        <x:f>'Raw Results'!CE11</x:f>
        <x:v>none</x:v>
      </x:c>
    </x:row>
    <x:row r="42">
      <x:c r="A42" s="29" t="str">
        <x:v>Grid</x:v>
      </x:c>
      <x:c r="B42" s="30" t="str">
        <x:f>'Raw Results'!A12</x:f>
        <x:v>50</x:v>
      </x:c>
      <x:c r="C42" s="31" t="str">
        <x:f>'Raw Results'!B12</x:f>
        <x:v>0.7</x:v>
      </x:c>
      <x:c r="D42" s="30" t="str">
        <x:f>'Raw Results'!C12</x:f>
        <x:v>2</x:v>
      </x:c>
      <x:c r="E42" s="30" t="str">
        <x:f>'Raw Results'!D12</x:f>
        <x:v>3987472412</x:v>
      </x:c>
      <x:c r="F42" s="30" t="str">
        <x:f>'Raw Results'!E12</x:f>
        <x:v>942</x:v>
      </x:c>
      <x:c r="G42" s="30" t="str">
        <x:f>'Raw Results'!F12</x:f>
        <x:v>1</x:v>
      </x:c>
      <x:c r="H42" s="30" t="str">
        <x:f>'Raw Results'!G12</x:f>
        <x:v>50</x:v>
      </x:c>
      <x:c r="I42" s="32" t="str">
        <x:f>'Raw Results'!H12</x:f>
        <x:v>37.68</x:v>
      </x:c>
      <x:c r="J42" s="33" t="str">
        <x:f>'Raw Results'!I12</x:f>
        <x:v>0.7689795918367347</x:v>
      </x:c>
      <x:c r="K42" s="30" t="str">
        <x:f>'Raw Results'!L12</x:f>
        <x:v>45</x:v>
      </x:c>
      <x:c r="L42" s="30" t="str">
        <x:f>'Raw Results'!M12</x:f>
        <x:v>24</x:v>
      </x:c>
      <x:c r="M42" s="33" t="str">
        <x:f>'Raw Results'!N12</x:f>
        <x:v>0.016049399971961975</x:v>
      </x:c>
      <x:c r="N42" s="30" t="n">
        <x:f>IF('Raw Results'!O12="True",1,0)</x:f>
        <x:v>1</x:v>
      </x:c>
      <x:c r="O42" s="30" t="str">
        <x:f>'Raw Results'!P12</x:f>
        <x:v>22</x:v>
      </x:c>
      <x:c r="P42" s="30" t="str">
        <x:f>'Raw Results'!Q12</x:f>
        <x:v>22</x:v>
      </x:c>
      <x:c r="Q42" s="33" t="str">
        <x:f>'Raw Results'!R12</x:f>
        <x:v>0.015643600025214255</x:v>
      </x:c>
      <x:c r="R42" s="30" t="n">
        <x:f>IF('Raw Results'!S12="True",1,0)</x:f>
        <x:v>1</x:v>
      </x:c>
      <x:c r="S42" s="30" t="n">
        <x:f>N42*R42</x:f>
        <x:v>1</x:v>
      </x:c>
      <x:c r="T42" s="30" t="n">
        <x:f>P42-L42</x:f>
        <x:v>-2</x:v>
      </x:c>
      <x:c r="U42" s="30" t="n">
        <x:f>O42-K42</x:f>
        <x:v>-23</x:v>
      </x:c>
      <x:c r="V42" s="34" t="n">
        <x:f>Q42-M42</x:f>
        <x:v>-0.00040579994674772024</x:v>
      </x:c>
      <x:c r="W42" s="35" t="n">
        <x:f>IF(L42=0,"",P42/L42)</x:f>
        <x:v>0.9166666666666666</x:v>
      </x:c>
      <x:c r="X42" s="30" t="n">
        <x:f>K42-L42</x:f>
        <x:v>21</x:v>
      </x:c>
      <x:c r="Y42" s="30" t="n">
        <x:f>O42-P42</x:f>
        <x:v>0</x:v>
      </x:c>
      <x:c r="Z42" s="29" t="str">
        <x:f>IF(S42=0,"Excluded",IF(T42&lt;0,"Collision",IF(T42&gt;0,"Entropy","Tie")))</x:f>
        <x:v>Collision</x:v>
      </x:c>
      <x:c r="AA42" s="29" t="str">
        <x:f>IF(V42&lt;0,"Collision",IF(V42&gt;0,"Entropy","Tie"))</x:f>
        <x:v>Collision</x:v>
      </x:c>
      <x:c r="AB42" s="29" t="str">
        <x:f>'Raw Results'!AC12</x:f>
        <x:v>none</x:v>
      </x:c>
    </x:row>
    <x:row r="43">
      <x:c r="A43" s="29" t="str">
        <x:v>Circle</x:v>
      </x:c>
      <x:c r="B43" s="30" t="str">
        <x:f>'Raw Results'!A12</x:f>
        <x:v>50</x:v>
      </x:c>
      <x:c r="C43" s="31" t="str">
        <x:f>'Raw Results'!B12</x:f>
        <x:v>0.7</x:v>
      </x:c>
      <x:c r="D43" s="30" t="str">
        <x:f>'Raw Results'!C12</x:f>
        <x:v>2</x:v>
      </x:c>
      <x:c r="E43" s="30" t="str">
        <x:f>'Raw Results'!D12</x:f>
        <x:v>3987472412</x:v>
      </x:c>
      <x:c r="F43" s="30" t="str">
        <x:f>'Raw Results'!E12</x:f>
        <x:v>942</x:v>
      </x:c>
      <x:c r="G43" s="30" t="str">
        <x:f>'Raw Results'!F12</x:f>
        <x:v>1</x:v>
      </x:c>
      <x:c r="H43" s="30" t="str">
        <x:f>'Raw Results'!G12</x:f>
        <x:v>50</x:v>
      </x:c>
      <x:c r="I43" s="32" t="str">
        <x:f>'Raw Results'!H12</x:f>
        <x:v>37.68</x:v>
      </x:c>
      <x:c r="J43" s="33" t="str">
        <x:f>'Raw Results'!I12</x:f>
        <x:v>0.7689795918367347</x:v>
      </x:c>
      <x:c r="K43" s="30" t="str">
        <x:f>'Raw Results'!AD12</x:f>
        <x:v>44</x:v>
      </x:c>
      <x:c r="L43" s="30" t="str">
        <x:f>'Raw Results'!AE12</x:f>
        <x:v>25</x:v>
      </x:c>
      <x:c r="M43" s="33" t="str">
        <x:f>'Raw Results'!AF12</x:f>
        <x:v>0.0070189000107347965</x:v>
      </x:c>
      <x:c r="N43" s="30" t="n">
        <x:f>IF('Raw Results'!AG12="True",1,0)</x:f>
        <x:v>1</x:v>
      </x:c>
      <x:c r="O43" s="30" t="str">
        <x:f>'Raw Results'!AH12</x:f>
        <x:v>39</x:v>
      </x:c>
      <x:c r="P43" s="30" t="str">
        <x:f>'Raw Results'!AI12</x:f>
        <x:v>23</x:v>
      </x:c>
      <x:c r="Q43" s="33" t="str">
        <x:f>'Raw Results'!AJ12</x:f>
        <x:v>0.0068026999942958355</x:v>
      </x:c>
      <x:c r="R43" s="30" t="n">
        <x:f>IF('Raw Results'!AK12="True",1,0)</x:f>
        <x:v>1</x:v>
      </x:c>
      <x:c r="S43" s="30" t="n">
        <x:f>N43*R43</x:f>
        <x:v>1</x:v>
      </x:c>
      <x:c r="T43" s="30" t="n">
        <x:f>P43-L43</x:f>
        <x:v>-2</x:v>
      </x:c>
      <x:c r="U43" s="30" t="n">
        <x:f>O43-K43</x:f>
        <x:v>-5</x:v>
      </x:c>
      <x:c r="V43" s="34" t="n">
        <x:f>Q43-M43</x:f>
        <x:v>-0.00021620001643896103</x:v>
      </x:c>
      <x:c r="W43" s="35" t="n">
        <x:f>IF(L43=0,"",P43/L43)</x:f>
        <x:v>0.92</x:v>
      </x:c>
      <x:c r="X43" s="30" t="n">
        <x:f>K43-L43</x:f>
        <x:v>19</x:v>
      </x:c>
      <x:c r="Y43" s="30" t="n">
        <x:f>O43-P43</x:f>
        <x:v>16</x:v>
      </x:c>
      <x:c r="Z43" s="29" t="str">
        <x:f>IF(S43=0,"Excluded",IF(T43&lt;0,"Collision",IF(T43&gt;0,"Entropy","Tie")))</x:f>
        <x:v>Collision</x:v>
      </x:c>
      <x:c r="AA43" s="29" t="str">
        <x:f>IF(V43&lt;0,"Collision",IF(V43&gt;0,"Entropy","Tie"))</x:f>
        <x:v>Collision</x:v>
      </x:c>
      <x:c r="AB43" s="29" t="str">
        <x:f>'Raw Results'!AU12</x:f>
        <x:v>none</x:v>
      </x:c>
    </x:row>
    <x:row r="44">
      <x:c r="A44" s="29" t="str">
        <x:v>Zoomed Square</x:v>
      </x:c>
      <x:c r="B44" s="30" t="str">
        <x:f>'Raw Results'!A12</x:f>
        <x:v>50</x:v>
      </x:c>
      <x:c r="C44" s="31" t="str">
        <x:f>'Raw Results'!B12</x:f>
        <x:v>0.7</x:v>
      </x:c>
      <x:c r="D44" s="30" t="str">
        <x:f>'Raw Results'!C12</x:f>
        <x:v>2</x:v>
      </x:c>
      <x:c r="E44" s="30" t="str">
        <x:f>'Raw Results'!D12</x:f>
        <x:v>3987472412</x:v>
      </x:c>
      <x:c r="F44" s="30" t="str">
        <x:f>'Raw Results'!E12</x:f>
        <x:v>942</x:v>
      </x:c>
      <x:c r="G44" s="30" t="str">
        <x:f>'Raw Results'!F12</x:f>
        <x:v>1</x:v>
      </x:c>
      <x:c r="H44" s="30" t="str">
        <x:f>'Raw Results'!G12</x:f>
        <x:v>50</x:v>
      </x:c>
      <x:c r="I44" s="32" t="str">
        <x:f>'Raw Results'!H12</x:f>
        <x:v>37.68</x:v>
      </x:c>
      <x:c r="J44" s="33" t="str">
        <x:f>'Raw Results'!I12</x:f>
        <x:v>0.7689795918367347</x:v>
      </x:c>
      <x:c r="K44" s="30" t="str">
        <x:f>'Raw Results'!AV12</x:f>
        <x:v>47</x:v>
      </x:c>
      <x:c r="L44" s="30" t="str">
        <x:f>'Raw Results'!AW12</x:f>
        <x:v>25</x:v>
      </x:c>
      <x:c r="M44" s="33" t="str">
        <x:f>'Raw Results'!AX12</x:f>
        <x:v>0.009287200053222477</x:v>
      </x:c>
      <x:c r="N44" s="30" t="n">
        <x:f>IF('Raw Results'!AY12="True",1,0)</x:f>
        <x:v>1</x:v>
      </x:c>
      <x:c r="O44" s="30" t="str">
        <x:f>'Raw Results'!AZ12</x:f>
        <x:v>41</x:v>
      </x:c>
      <x:c r="P44" s="30" t="str">
        <x:f>'Raw Results'!BA12</x:f>
        <x:v>23</x:v>
      </x:c>
      <x:c r="Q44" s="33" t="str">
        <x:f>'Raw Results'!BB12</x:f>
        <x:v>0.009630599990487099</x:v>
      </x:c>
      <x:c r="R44" s="30" t="n">
        <x:f>IF('Raw Results'!BC12="True",1,0)</x:f>
        <x:v>1</x:v>
      </x:c>
      <x:c r="S44" s="30" t="n">
        <x:f>N44*R44</x:f>
        <x:v>1</x:v>
      </x:c>
      <x:c r="T44" s="30" t="n">
        <x:f>P44-L44</x:f>
        <x:v>-2</x:v>
      </x:c>
      <x:c r="U44" s="30" t="n">
        <x:f>O44-K44</x:f>
        <x:v>-6</x:v>
      </x:c>
      <x:c r="V44" s="34" t="n">
        <x:f>Q44-M44</x:f>
        <x:v>0.00034339993726462126</x:v>
      </x:c>
      <x:c r="W44" s="35" t="n">
        <x:f>IF(L44=0,"",P44/L44)</x:f>
        <x:v>0.92</x:v>
      </x:c>
      <x:c r="X44" s="30" t="n">
        <x:f>K44-L44</x:f>
        <x:v>22</x:v>
      </x:c>
      <x:c r="Y44" s="30" t="n">
        <x:f>O44-P44</x:f>
        <x:v>18</x:v>
      </x:c>
      <x:c r="Z44" s="29" t="str">
        <x:f>IF(S44=0,"Excluded",IF(T44&lt;0,"Collision",IF(T44&gt;0,"Entropy","Tie")))</x:f>
        <x:v>Collision</x:v>
      </x:c>
      <x:c r="AA44" s="29" t="str">
        <x:f>IF(V44&lt;0,"Collision",IF(V44&gt;0,"Entropy","Tie"))</x:f>
        <x:v>Entropy</x:v>
      </x:c>
      <x:c r="AB44" s="29" t="str">
        <x:f>'Raw Results'!BM12</x:f>
        <x:v>none</x:v>
      </x:c>
    </x:row>
    <x:row r="45">
      <x:c r="A45" s="29" t="str">
        <x:v>ICH</x:v>
      </x:c>
      <x:c r="B45" s="30" t="str">
        <x:f>'Raw Results'!A12</x:f>
        <x:v>50</x:v>
      </x:c>
      <x:c r="C45" s="31" t="str">
        <x:f>'Raw Results'!B12</x:f>
        <x:v>0.7</x:v>
      </x:c>
      <x:c r="D45" s="30" t="str">
        <x:f>'Raw Results'!C12</x:f>
        <x:v>2</x:v>
      </x:c>
      <x:c r="E45" s="30" t="str">
        <x:f>'Raw Results'!D12</x:f>
        <x:v>3987472412</x:v>
      </x:c>
      <x:c r="F45" s="30" t="str">
        <x:f>'Raw Results'!E12</x:f>
        <x:v>942</x:v>
      </x:c>
      <x:c r="G45" s="30" t="str">
        <x:f>'Raw Results'!F12</x:f>
        <x:v>1</x:v>
      </x:c>
      <x:c r="H45" s="30" t="str">
        <x:f>'Raw Results'!G12</x:f>
        <x:v>50</x:v>
      </x:c>
      <x:c r="I45" s="32" t="str">
        <x:f>'Raw Results'!H12</x:f>
        <x:v>37.68</x:v>
      </x:c>
      <x:c r="J45" s="33" t="str">
        <x:f>'Raw Results'!I12</x:f>
        <x:v>0.7689795918367347</x:v>
      </x:c>
      <x:c r="K45" s="30" t="str">
        <x:f>'Raw Results'!BN12</x:f>
        <x:v>23</x:v>
      </x:c>
      <x:c r="L45" s="30" t="str">
        <x:f>'Raw Results'!BO12</x:f>
        <x:v>23</x:v>
      </x:c>
      <x:c r="M45" s="33" t="str">
        <x:f>'Raw Results'!BP12</x:f>
        <x:v>0.031990300049073994</x:v>
      </x:c>
      <x:c r="N45" s="30" t="n">
        <x:f>IF('Raw Results'!BQ12="True",1,0)</x:f>
        <x:v>1</x:v>
      </x:c>
      <x:c r="O45" s="30" t="str">
        <x:f>'Raw Results'!BR12</x:f>
        <x:v>22</x:v>
      </x:c>
      <x:c r="P45" s="30" t="str">
        <x:f>'Raw Results'!BS12</x:f>
        <x:v>22</x:v>
      </x:c>
      <x:c r="Q45" s="33" t="str">
        <x:f>'Raw Results'!BT12</x:f>
        <x:v>0.03353030001744628</x:v>
      </x:c>
      <x:c r="R45" s="30" t="n">
        <x:f>IF('Raw Results'!BU12="True",1,0)</x:f>
        <x:v>1</x:v>
      </x:c>
      <x:c r="S45" s="30" t="n">
        <x:f>N45*R45</x:f>
        <x:v>1</x:v>
      </x:c>
      <x:c r="T45" s="30" t="n">
        <x:f>P45-L45</x:f>
        <x:v>-1</x:v>
      </x:c>
      <x:c r="U45" s="30" t="n">
        <x:f>O45-K45</x:f>
        <x:v>-1</x:v>
      </x:c>
      <x:c r="V45" s="34" t="n">
        <x:f>Q45-M45</x:f>
        <x:v>0.0015399999683722854</x:v>
      </x:c>
      <x:c r="W45" s="35" t="n">
        <x:f>IF(L45=0,"",P45/L45)</x:f>
        <x:v>0.9565217391304348</x:v>
      </x:c>
      <x:c r="X45" s="30" t="n">
        <x:f>K45-L45</x:f>
        <x:v>0</x:v>
      </x:c>
      <x:c r="Y45" s="30" t="n">
        <x:f>O45-P45</x:f>
        <x:v>0</x:v>
      </x:c>
      <x:c r="Z45" s="29" t="str">
        <x:f>IF(S45=0,"Excluded",IF(T45&lt;0,"Collision",IF(T45&gt;0,"Entropy","Tie")))</x:f>
        <x:v>Collision</x:v>
      </x:c>
      <x:c r="AA45" s="29" t="str">
        <x:f>IF(V45&lt;0,"Collision",IF(V45&gt;0,"Entropy","Tie"))</x:f>
        <x:v>Entropy</x:v>
      </x:c>
      <x:c r="AB45" s="29" t="str">
        <x:f>'Raw Results'!CE12</x:f>
        <x:v>none</x:v>
      </x:c>
    </x:row>
    <x:row r="46">
      <x:c r="A46" s="29" t="str">
        <x:v>Grid</x:v>
      </x:c>
      <x:c r="B46" s="30" t="str">
        <x:f>'Raw Results'!A13</x:f>
        <x:v>50</x:v>
      </x:c>
      <x:c r="C46" s="31" t="str">
        <x:f>'Raw Results'!B13</x:f>
        <x:v>0.7</x:v>
      </x:c>
      <x:c r="D46" s="30" t="str">
        <x:f>'Raw Results'!C13</x:f>
        <x:v>3</x:v>
      </x:c>
      <x:c r="E46" s="30" t="str">
        <x:f>'Raw Results'!D13</x:f>
        <x:v>1043458498</x:v>
      </x:c>
      <x:c r="F46" s="30" t="str">
        <x:f>'Raw Results'!E13</x:f>
        <x:v>877</x:v>
      </x:c>
      <x:c r="G46" s="30" t="str">
        <x:f>'Raw Results'!F13</x:f>
        <x:v>1</x:v>
      </x:c>
      <x:c r="H46" s="30" t="str">
        <x:f>'Raw Results'!G13</x:f>
        <x:v>50</x:v>
      </x:c>
      <x:c r="I46" s="32" t="str">
        <x:f>'Raw Results'!H13</x:f>
        <x:v>35.08</x:v>
      </x:c>
      <x:c r="J46" s="33" t="str">
        <x:f>'Raw Results'!I13</x:f>
        <x:v>0.7159183673469388</x:v>
      </x:c>
      <x:c r="K46" s="30" t="str">
        <x:f>'Raw Results'!L13</x:f>
        <x:v>46</x:v>
      </x:c>
      <x:c r="L46" s="30" t="str">
        <x:f>'Raw Results'!M13</x:f>
        <x:v>21</x:v>
      </x:c>
      <x:c r="M46" s="33" t="str">
        <x:f>'Raw Results'!N13</x:f>
        <x:v>0.016057999921031296</x:v>
      </x:c>
      <x:c r="N46" s="30" t="n">
        <x:f>IF('Raw Results'!O13="True",1,0)</x:f>
        <x:v>1</x:v>
      </x:c>
      <x:c r="O46" s="30" t="str">
        <x:f>'Raw Results'!P13</x:f>
        <x:v>20</x:v>
      </x:c>
      <x:c r="P46" s="30" t="str">
        <x:f>'Raw Results'!Q13</x:f>
        <x:v>20</x:v>
      </x:c>
      <x:c r="Q46" s="33" t="str">
        <x:f>'Raw Results'!R13</x:f>
        <x:v>0.014496199903078377</x:v>
      </x:c>
      <x:c r="R46" s="30" t="n">
        <x:f>IF('Raw Results'!S13="True",1,0)</x:f>
        <x:v>1</x:v>
      </x:c>
      <x:c r="S46" s="30" t="n">
        <x:f>N46*R46</x:f>
        <x:v>1</x:v>
      </x:c>
      <x:c r="T46" s="30" t="n">
        <x:f>P46-L46</x:f>
        <x:v>-1</x:v>
      </x:c>
      <x:c r="U46" s="30" t="n">
        <x:f>O46-K46</x:f>
        <x:v>-26</x:v>
      </x:c>
      <x:c r="V46" s="34" t="n">
        <x:f>Q46-M46</x:f>
        <x:v>-0.001561800017952919</x:v>
      </x:c>
      <x:c r="W46" s="35" t="n">
        <x:f>IF(L46=0,"",P46/L46)</x:f>
        <x:v>0.9523809523809523</x:v>
      </x:c>
      <x:c r="X46" s="30" t="n">
        <x:f>K46-L46</x:f>
        <x:v>25</x:v>
      </x:c>
      <x:c r="Y46" s="30" t="n">
        <x:f>O46-P46</x:f>
        <x:v>0</x:v>
      </x:c>
      <x:c r="Z46" s="29" t="str">
        <x:f>IF(S46=0,"Excluded",IF(T46&lt;0,"Collision",IF(T46&gt;0,"Entropy","Tie")))</x:f>
        <x:v>Collision</x:v>
      </x:c>
      <x:c r="AA46" s="29" t="str">
        <x:f>IF(V46&lt;0,"Collision",IF(V46&gt;0,"Entropy","Tie"))</x:f>
        <x:v>Collision</x:v>
      </x:c>
      <x:c r="AB46" s="29" t="str">
        <x:f>'Raw Results'!AC13</x:f>
        <x:v>none</x:v>
      </x:c>
    </x:row>
    <x:row r="47">
      <x:c r="A47" s="29" t="str">
        <x:v>Circle</x:v>
      </x:c>
      <x:c r="B47" s="30" t="str">
        <x:f>'Raw Results'!A13</x:f>
        <x:v>50</x:v>
      </x:c>
      <x:c r="C47" s="31" t="str">
        <x:f>'Raw Results'!B13</x:f>
        <x:v>0.7</x:v>
      </x:c>
      <x:c r="D47" s="30" t="str">
        <x:f>'Raw Results'!C13</x:f>
        <x:v>3</x:v>
      </x:c>
      <x:c r="E47" s="30" t="str">
        <x:f>'Raw Results'!D13</x:f>
        <x:v>1043458498</x:v>
      </x:c>
      <x:c r="F47" s="30" t="str">
        <x:f>'Raw Results'!E13</x:f>
        <x:v>877</x:v>
      </x:c>
      <x:c r="G47" s="30" t="str">
        <x:f>'Raw Results'!F13</x:f>
        <x:v>1</x:v>
      </x:c>
      <x:c r="H47" s="30" t="str">
        <x:f>'Raw Results'!G13</x:f>
        <x:v>50</x:v>
      </x:c>
      <x:c r="I47" s="32" t="str">
        <x:f>'Raw Results'!H13</x:f>
        <x:v>35.08</x:v>
      </x:c>
      <x:c r="J47" s="33" t="str">
        <x:f>'Raw Results'!I13</x:f>
        <x:v>0.7159183673469388</x:v>
      </x:c>
      <x:c r="K47" s="30" t="str">
        <x:f>'Raw Results'!AD13</x:f>
        <x:v>38</x:v>
      </x:c>
      <x:c r="L47" s="30" t="str">
        <x:f>'Raw Results'!AE13</x:f>
        <x:v>22</x:v>
      </x:c>
      <x:c r="M47" s="33" t="str">
        <x:f>'Raw Results'!AF13</x:f>
        <x:v>0.008242600015364587</x:v>
      </x:c>
      <x:c r="N47" s="30" t="n">
        <x:f>IF('Raw Results'!AG13="True",1,0)</x:f>
        <x:v>1</x:v>
      </x:c>
      <x:c r="O47" s="30" t="str">
        <x:f>'Raw Results'!AH13</x:f>
        <x:v>32</x:v>
      </x:c>
      <x:c r="P47" s="30" t="str">
        <x:f>'Raw Results'!AI13</x:f>
        <x:v>22</x:v>
      </x:c>
      <x:c r="Q47" s="33" t="str">
        <x:f>'Raw Results'!AJ13</x:f>
        <x:v>0.007372800027951598</x:v>
      </x:c>
      <x:c r="R47" s="30" t="n">
        <x:f>IF('Raw Results'!AK13="True",1,0)</x:f>
        <x:v>1</x:v>
      </x:c>
      <x:c r="S47" s="30" t="n">
        <x:f>N47*R47</x:f>
        <x:v>1</x:v>
      </x:c>
      <x:c r="T47" s="30" t="n">
        <x:f>P47-L47</x:f>
        <x:v>0</x:v>
      </x:c>
      <x:c r="U47" s="30" t="n">
        <x:f>O47-K47</x:f>
        <x:v>-6</x:v>
      </x:c>
      <x:c r="V47" s="34" t="n">
        <x:f>Q47-M47</x:f>
        <x:v>-0.0008697999874129891</x:v>
      </x:c>
      <x:c r="W47" s="35" t="n">
        <x:f>IF(L47=0,"",P47/L47)</x:f>
        <x:v>1</x:v>
      </x:c>
      <x:c r="X47" s="30" t="n">
        <x:f>K47-L47</x:f>
        <x:v>16</x:v>
      </x:c>
      <x:c r="Y47" s="30" t="n">
        <x:f>O47-P47</x:f>
        <x:v>10</x:v>
      </x:c>
      <x:c r="Z47" s="29" t="str">
        <x:f>IF(S47=0,"Excluded",IF(T47&lt;0,"Collision",IF(T47&gt;0,"Entropy","Tie")))</x:f>
        <x:v>Tie</x:v>
      </x:c>
      <x:c r="AA47" s="29" t="str">
        <x:f>IF(V47&lt;0,"Collision",IF(V47&gt;0,"Entropy","Tie"))</x:f>
        <x:v>Collision</x:v>
      </x:c>
      <x:c r="AB47" s="29" t="str">
        <x:f>'Raw Results'!AU13</x:f>
        <x:v>none</x:v>
      </x:c>
    </x:row>
    <x:row r="48">
      <x:c r="A48" s="29" t="str">
        <x:v>Zoomed Square</x:v>
      </x:c>
      <x:c r="B48" s="30" t="str">
        <x:f>'Raw Results'!A13</x:f>
        <x:v>50</x:v>
      </x:c>
      <x:c r="C48" s="31" t="str">
        <x:f>'Raw Results'!B13</x:f>
        <x:v>0.7</x:v>
      </x:c>
      <x:c r="D48" s="30" t="str">
        <x:f>'Raw Results'!C13</x:f>
        <x:v>3</x:v>
      </x:c>
      <x:c r="E48" s="30" t="str">
        <x:f>'Raw Results'!D13</x:f>
        <x:v>1043458498</x:v>
      </x:c>
      <x:c r="F48" s="30" t="str">
        <x:f>'Raw Results'!E13</x:f>
        <x:v>877</x:v>
      </x:c>
      <x:c r="G48" s="30" t="str">
        <x:f>'Raw Results'!F13</x:f>
        <x:v>1</x:v>
      </x:c>
      <x:c r="H48" s="30" t="str">
        <x:f>'Raw Results'!G13</x:f>
        <x:v>50</x:v>
      </x:c>
      <x:c r="I48" s="32" t="str">
        <x:f>'Raw Results'!H13</x:f>
        <x:v>35.08</x:v>
      </x:c>
      <x:c r="J48" s="33" t="str">
        <x:f>'Raw Results'!I13</x:f>
        <x:v>0.7159183673469388</x:v>
      </x:c>
      <x:c r="K48" s="30" t="str">
        <x:f>'Raw Results'!AV13</x:f>
        <x:v>39</x:v>
      </x:c>
      <x:c r="L48" s="30" t="str">
        <x:f>'Raw Results'!AW13</x:f>
        <x:v>23</x:v>
      </x:c>
      <x:c r="M48" s="33" t="str">
        <x:f>'Raw Results'!AX13</x:f>
        <x:v>0.006280299974605441</x:v>
      </x:c>
      <x:c r="N48" s="30" t="n">
        <x:f>IF('Raw Results'!AY13="True",1,0)</x:f>
        <x:v>1</x:v>
      </x:c>
      <x:c r="O48" s="30" t="str">
        <x:f>'Raw Results'!AZ13</x:f>
        <x:v>39</x:v>
      </x:c>
      <x:c r="P48" s="30" t="str">
        <x:f>'Raw Results'!BA13</x:f>
        <x:v>23</x:v>
      </x:c>
      <x:c r="Q48" s="33" t="str">
        <x:f>'Raw Results'!BB13</x:f>
        <x:v>0.0073087000055238605</x:v>
      </x:c>
      <x:c r="R48" s="30" t="n">
        <x:f>IF('Raw Results'!BC13="True",1,0)</x:f>
        <x:v>1</x:v>
      </x:c>
      <x:c r="S48" s="30" t="n">
        <x:f>N48*R48</x:f>
        <x:v>1</x:v>
      </x:c>
      <x:c r="T48" s="30" t="n">
        <x:f>P48-L48</x:f>
        <x:v>0</x:v>
      </x:c>
      <x:c r="U48" s="30" t="n">
        <x:f>O48-K48</x:f>
        <x:v>0</x:v>
      </x:c>
      <x:c r="V48" s="34" t="n">
        <x:f>Q48-M48</x:f>
        <x:v>0.0010284000309184194</x:v>
      </x:c>
      <x:c r="W48" s="35" t="n">
        <x:f>IF(L48=0,"",P48/L48)</x:f>
        <x:v>1</x:v>
      </x:c>
      <x:c r="X48" s="30" t="n">
        <x:f>K48-L48</x:f>
        <x:v>16</x:v>
      </x:c>
      <x:c r="Y48" s="30" t="n">
        <x:f>O48-P48</x:f>
        <x:v>16</x:v>
      </x:c>
      <x:c r="Z48" s="29" t="str">
        <x:f>IF(S48=0,"Excluded",IF(T48&lt;0,"Collision",IF(T48&gt;0,"Entropy","Tie")))</x:f>
        <x:v>Tie</x:v>
      </x:c>
      <x:c r="AA48" s="29" t="str">
        <x:f>IF(V48&lt;0,"Collision",IF(V48&gt;0,"Entropy","Tie"))</x:f>
        <x:v>Entropy</x:v>
      </x:c>
      <x:c r="AB48" s="29" t="str">
        <x:f>'Raw Results'!BM13</x:f>
        <x:v>none</x:v>
      </x:c>
    </x:row>
    <x:row r="49">
      <x:c r="A49" s="29" t="str">
        <x:v>ICH</x:v>
      </x:c>
      <x:c r="B49" s="30" t="str">
        <x:f>'Raw Results'!A13</x:f>
        <x:v>50</x:v>
      </x:c>
      <x:c r="C49" s="31" t="str">
        <x:f>'Raw Results'!B13</x:f>
        <x:v>0.7</x:v>
      </x:c>
      <x:c r="D49" s="30" t="str">
        <x:f>'Raw Results'!C13</x:f>
        <x:v>3</x:v>
      </x:c>
      <x:c r="E49" s="30" t="str">
        <x:f>'Raw Results'!D13</x:f>
        <x:v>1043458498</x:v>
      </x:c>
      <x:c r="F49" s="30" t="str">
        <x:f>'Raw Results'!E13</x:f>
        <x:v>877</x:v>
      </x:c>
      <x:c r="G49" s="30" t="str">
        <x:f>'Raw Results'!F13</x:f>
        <x:v>1</x:v>
      </x:c>
      <x:c r="H49" s="30" t="str">
        <x:f>'Raw Results'!G13</x:f>
        <x:v>50</x:v>
      </x:c>
      <x:c r="I49" s="32" t="str">
        <x:f>'Raw Results'!H13</x:f>
        <x:v>35.08</x:v>
      </x:c>
      <x:c r="J49" s="33" t="str">
        <x:f>'Raw Results'!I13</x:f>
        <x:v>0.7159183673469388</x:v>
      </x:c>
      <x:c r="K49" s="30" t="str">
        <x:f>'Raw Results'!BN13</x:f>
        <x:v>19</x:v>
      </x:c>
      <x:c r="L49" s="30" t="str">
        <x:f>'Raw Results'!BO13</x:f>
        <x:v>19</x:v>
      </x:c>
      <x:c r="M49" s="33" t="str">
        <x:f>'Raw Results'!BP13</x:f>
        <x:v>0.02984259999357164</x:v>
      </x:c>
      <x:c r="N49" s="30" t="n">
        <x:f>IF('Raw Results'!BQ13="True",1,0)</x:f>
        <x:v>1</x:v>
      </x:c>
      <x:c r="O49" s="30" t="str">
        <x:f>'Raw Results'!BR13</x:f>
        <x:v>19</x:v>
      </x:c>
      <x:c r="P49" s="30" t="str">
        <x:f>'Raw Results'!BS13</x:f>
        <x:v>19</x:v>
      </x:c>
      <x:c r="Q49" s="33" t="str">
        <x:f>'Raw Results'!BT13</x:f>
        <x:v>0.02939169993624091</x:v>
      </x:c>
      <x:c r="R49" s="30" t="n">
        <x:f>IF('Raw Results'!BU13="True",1,0)</x:f>
        <x:v>1</x:v>
      </x:c>
      <x:c r="S49" s="30" t="n">
        <x:f>N49*R49</x:f>
        <x:v>1</x:v>
      </x:c>
      <x:c r="T49" s="30" t="n">
        <x:f>P49-L49</x:f>
        <x:v>0</x:v>
      </x:c>
      <x:c r="U49" s="30" t="n">
        <x:f>O49-K49</x:f>
        <x:v>0</x:v>
      </x:c>
      <x:c r="V49" s="34" t="n">
        <x:f>Q49-M49</x:f>
        <x:v>-0.0004509000573307276</x:v>
      </x:c>
      <x:c r="W49" s="35" t="n">
        <x:f>IF(L49=0,"",P49/L49)</x:f>
        <x:v>1</x:v>
      </x:c>
      <x:c r="X49" s="30" t="n">
        <x:f>K49-L49</x:f>
        <x:v>0</x:v>
      </x:c>
      <x:c r="Y49" s="30" t="n">
        <x:f>O49-P49</x:f>
        <x:v>0</x:v>
      </x:c>
      <x:c r="Z49" s="29" t="str">
        <x:f>IF(S49=0,"Excluded",IF(T49&lt;0,"Collision",IF(T49&gt;0,"Entropy","Tie")))</x:f>
        <x:v>Tie</x:v>
      </x:c>
      <x:c r="AA49" s="29" t="str">
        <x:f>IF(V49&lt;0,"Collision",IF(V49&gt;0,"Entropy","Tie"))</x:f>
        <x:v>Collision</x:v>
      </x:c>
      <x:c r="AB49" s="29" t="str">
        <x:f>'Raw Results'!CE13</x:f>
        <x:v>none</x:v>
      </x:c>
    </x:row>
    <x:row r="50">
      <x:c r="A50" s="29" t="str">
        <x:v>Grid</x:v>
      </x:c>
      <x:c r="B50" s="30" t="str">
        <x:f>'Raw Results'!A14</x:f>
        <x:v>100</x:v>
      </x:c>
      <x:c r="C50" s="31" t="str">
        <x:f>'Raw Results'!B14</x:f>
        <x:v>0.1</x:v>
      </x:c>
      <x:c r="D50" s="30" t="str">
        <x:f>'Raw Results'!C14</x:f>
        <x:v>1</x:v>
      </x:c>
      <x:c r="E50" s="30" t="str">
        <x:f>'Raw Results'!D14</x:f>
        <x:v>1235212459</x:v>
      </x:c>
      <x:c r="F50" s="30" t="str">
        <x:f>'Raw Results'!E14</x:f>
        <x:v>141</x:v>
      </x:c>
      <x:c r="G50" s="30" t="str">
        <x:f>'Raw Results'!F14</x:f>
        <x:v>20</x:v>
      </x:c>
      <x:c r="H50" s="30" t="str">
        <x:f>'Raw Results'!G14</x:f>
        <x:v>58</x:v>
      </x:c>
      <x:c r="I50" s="32" t="str">
        <x:f>'Raw Results'!H14</x:f>
        <x:v>2.82</x:v>
      </x:c>
      <x:c r="J50" s="33" t="str">
        <x:f>'Raw Results'!I14</x:f>
        <x:v>0.028484848484848484</x:v>
      </x:c>
      <x:c r="K50" s="30" t="str">
        <x:f>'Raw Results'!L14</x:f>
        <x:v>47</x:v>
      </x:c>
      <x:c r="L50" s="30" t="str">
        <x:f>'Raw Results'!M14</x:f>
        <x:v>47</x:v>
      </x:c>
      <x:c r="M50" s="33" t="str">
        <x:f>'Raw Results'!N14</x:f>
        <x:v>0.005995100014843047</x:v>
      </x:c>
      <x:c r="N50" s="30" t="n">
        <x:f>IF('Raw Results'!O14="True",1,0)</x:f>
        <x:v>0</x:v>
      </x:c>
      <x:c r="O50" s="30" t="str">
        <x:f>'Raw Results'!P14</x:f>
        <x:v>41</x:v>
      </x:c>
      <x:c r="P50" s="30" t="str">
        <x:f>'Raw Results'!Q14</x:f>
        <x:v>41</x:v>
      </x:c>
      <x:c r="Q50" s="33" t="str">
        <x:f>'Raw Results'!R14</x:f>
        <x:v>0.005636199959553778</x:v>
      </x:c>
      <x:c r="R50" s="30" t="n">
        <x:f>IF('Raw Results'!S14="True",1,0)</x:f>
        <x:v>0</x:v>
      </x:c>
      <x:c r="S50" s="30" t="n">
        <x:f>N50*R50</x:f>
        <x:v>0</x:v>
      </x:c>
      <x:c r="T50" s="30" t="n">
        <x:f>P50-L50</x:f>
        <x:v>-6</x:v>
      </x:c>
      <x:c r="U50" s="30" t="n">
        <x:f>O50-K50</x:f>
        <x:v>-6</x:v>
      </x:c>
      <x:c r="V50" s="34" t="n">
        <x:f>Q50-M50</x:f>
        <x:v>-0.0003589000552892685</x:v>
      </x:c>
      <x:c r="W50" s="35" t="n">
        <x:f>IF(L50=0,"",P50/L50)</x:f>
        <x:v>0.8723404255319149</x:v>
      </x:c>
      <x:c r="X50" s="30" t="n">
        <x:f>K50-L50</x:f>
        <x:v>0</x:v>
      </x:c>
      <x:c r="Y50" s="30" t="n">
        <x:f>O50-P50</x:f>
        <x:v>0</x:v>
      </x:c>
      <x:c r="Z50" s="29" t="str">
        <x:f>IF(S50=0,"Excluded",IF(T50&lt;0,"Collision",IF(T50&gt;0,"Entropy","Tie")))</x:f>
        <x:v>Excluded</x:v>
      </x:c>
      <x:c r="AA50" s="29" t="str">
        <x:f>IF(V50&lt;0,"Collision",IF(V50&gt;0,"Entropy","Tie"))</x:f>
        <x:v>Collision</x:v>
      </x:c>
      <x:c r="AB50" s="29" t="str">
        <x:f>'Raw Results'!AC14</x:f>
        <x:v>none</x:v>
      </x:c>
    </x:row>
    <x:row r="51">
      <x:c r="A51" s="29" t="str">
        <x:v>Circle</x:v>
      </x:c>
      <x:c r="B51" s="30" t="str">
        <x:f>'Raw Results'!A14</x:f>
        <x:v>100</x:v>
      </x:c>
      <x:c r="C51" s="31" t="str">
        <x:f>'Raw Results'!B14</x:f>
        <x:v>0.1</x:v>
      </x:c>
      <x:c r="D51" s="30" t="str">
        <x:f>'Raw Results'!C14</x:f>
        <x:v>1</x:v>
      </x:c>
      <x:c r="E51" s="30" t="str">
        <x:f>'Raw Results'!D14</x:f>
        <x:v>1235212459</x:v>
      </x:c>
      <x:c r="F51" s="30" t="str">
        <x:f>'Raw Results'!E14</x:f>
        <x:v>141</x:v>
      </x:c>
      <x:c r="G51" s="30" t="str">
        <x:f>'Raw Results'!F14</x:f>
        <x:v>20</x:v>
      </x:c>
      <x:c r="H51" s="30" t="str">
        <x:f>'Raw Results'!G14</x:f>
        <x:v>58</x:v>
      </x:c>
      <x:c r="I51" s="32" t="str">
        <x:f>'Raw Results'!H14</x:f>
        <x:v>2.82</x:v>
      </x:c>
      <x:c r="J51" s="33" t="str">
        <x:f>'Raw Results'!I14</x:f>
        <x:v>0.028484848484848484</x:v>
      </x:c>
      <x:c r="K51" s="30" t="str">
        <x:f>'Raw Results'!AD14</x:f>
        <x:v>65</x:v>
      </x:c>
      <x:c r="L51" s="30" t="str">
        <x:f>'Raw Results'!AE14</x:f>
        <x:v>38</x:v>
      </x:c>
      <x:c r="M51" s="33" t="str">
        <x:f>'Raw Results'!AF14</x:f>
        <x:v>0.018258600030094385</x:v>
      </x:c>
      <x:c r="N51" s="30" t="n">
        <x:f>IF('Raw Results'!AG14="True",1,0)</x:f>
        <x:v>1</x:v>
      </x:c>
      <x:c r="O51" s="30" t="str">
        <x:f>'Raw Results'!AH14</x:f>
        <x:v>58</x:v>
      </x:c>
      <x:c r="P51" s="30" t="str">
        <x:f>'Raw Results'!AI14</x:f>
        <x:v>38</x:v>
      </x:c>
      <x:c r="Q51" s="33" t="str">
        <x:f>'Raw Results'!AJ14</x:f>
        <x:v>0.012084099929779768</x:v>
      </x:c>
      <x:c r="R51" s="30" t="n">
        <x:f>IF('Raw Results'!AK14="True",1,0)</x:f>
        <x:v>1</x:v>
      </x:c>
      <x:c r="S51" s="30" t="n">
        <x:f>N51*R51</x:f>
        <x:v>1</x:v>
      </x:c>
      <x:c r="T51" s="30" t="n">
        <x:f>P51-L51</x:f>
        <x:v>0</x:v>
      </x:c>
      <x:c r="U51" s="30" t="n">
        <x:f>O51-K51</x:f>
        <x:v>-7</x:v>
      </x:c>
      <x:c r="V51" s="34" t="n">
        <x:f>Q51-M51</x:f>
        <x:v>-0.006174500100314617</x:v>
      </x:c>
      <x:c r="W51" s="35" t="n">
        <x:f>IF(L51=0,"",P51/L51)</x:f>
        <x:v>1</x:v>
      </x:c>
      <x:c r="X51" s="30" t="n">
        <x:f>K51-L51</x:f>
        <x:v>27</x:v>
      </x:c>
      <x:c r="Y51" s="30" t="n">
        <x:f>O51-P51</x:f>
        <x:v>20</x:v>
      </x:c>
      <x:c r="Z51" s="29" t="str">
        <x:f>IF(S51=0,"Excluded",IF(T51&lt;0,"Collision",IF(T51&gt;0,"Entropy","Tie")))</x:f>
        <x:v>Tie</x:v>
      </x:c>
      <x:c r="AA51" s="29" t="str">
        <x:f>IF(V51&lt;0,"Collision",IF(V51&gt;0,"Entropy","Tie"))</x:f>
        <x:v>Collision</x:v>
      </x:c>
      <x:c r="AB51" s="29" t="str">
        <x:f>'Raw Results'!AU14</x:f>
        <x:v>none</x:v>
      </x:c>
    </x:row>
    <x:row r="52">
      <x:c r="A52" s="29" t="str">
        <x:v>Zoomed Square</x:v>
      </x:c>
      <x:c r="B52" s="30" t="str">
        <x:f>'Raw Results'!A14</x:f>
        <x:v>100</x:v>
      </x:c>
      <x:c r="C52" s="31" t="str">
        <x:f>'Raw Results'!B14</x:f>
        <x:v>0.1</x:v>
      </x:c>
      <x:c r="D52" s="30" t="str">
        <x:f>'Raw Results'!C14</x:f>
        <x:v>1</x:v>
      </x:c>
      <x:c r="E52" s="30" t="str">
        <x:f>'Raw Results'!D14</x:f>
        <x:v>1235212459</x:v>
      </x:c>
      <x:c r="F52" s="30" t="str">
        <x:f>'Raw Results'!E14</x:f>
        <x:v>141</x:v>
      </x:c>
      <x:c r="G52" s="30" t="str">
        <x:f>'Raw Results'!F14</x:f>
        <x:v>20</x:v>
      </x:c>
      <x:c r="H52" s="30" t="str">
        <x:f>'Raw Results'!G14</x:f>
        <x:v>58</x:v>
      </x:c>
      <x:c r="I52" s="32" t="str">
        <x:f>'Raw Results'!H14</x:f>
        <x:v>2.82</x:v>
      </x:c>
      <x:c r="J52" s="33" t="str">
        <x:f>'Raw Results'!I14</x:f>
        <x:v>0.028484848484848484</x:v>
      </x:c>
      <x:c r="K52" s="30" t="str">
        <x:f>'Raw Results'!AV14</x:f>
        <x:v>65</x:v>
      </x:c>
      <x:c r="L52" s="30" t="str">
        <x:f>'Raw Results'!AW14</x:f>
        <x:v>38</x:v>
      </x:c>
      <x:c r="M52" s="33" t="str">
        <x:f>'Raw Results'!AX14</x:f>
        <x:v>0.01635100005660206</x:v>
      </x:c>
      <x:c r="N52" s="30" t="n">
        <x:f>IF('Raw Results'!AY14="True",1,0)</x:f>
        <x:v>1</x:v>
      </x:c>
      <x:c r="O52" s="30" t="str">
        <x:f>'Raw Results'!AZ14</x:f>
        <x:v>60</x:v>
      </x:c>
      <x:c r="P52" s="30" t="str">
        <x:f>'Raw Results'!BA14</x:f>
        <x:v>38</x:v>
      </x:c>
      <x:c r="Q52" s="33" t="str">
        <x:f>'Raw Results'!BB14</x:f>
        <x:v>0.01647090003825724</x:v>
      </x:c>
      <x:c r="R52" s="30" t="n">
        <x:f>IF('Raw Results'!BC14="True",1,0)</x:f>
        <x:v>1</x:v>
      </x:c>
      <x:c r="S52" s="30" t="n">
        <x:f>N52*R52</x:f>
        <x:v>1</x:v>
      </x:c>
      <x:c r="T52" s="30" t="n">
        <x:f>P52-L52</x:f>
        <x:v>0</x:v>
      </x:c>
      <x:c r="U52" s="30" t="n">
        <x:f>O52-K52</x:f>
        <x:v>-5</x:v>
      </x:c>
      <x:c r="V52" s="34" t="n">
        <x:f>Q52-M52</x:f>
        <x:v>0.00011989998165518045</x:v>
      </x:c>
      <x:c r="W52" s="35" t="n">
        <x:f>IF(L52=0,"",P52/L52)</x:f>
        <x:v>1</x:v>
      </x:c>
      <x:c r="X52" s="30" t="n">
        <x:f>K52-L52</x:f>
        <x:v>27</x:v>
      </x:c>
      <x:c r="Y52" s="30" t="n">
        <x:f>O52-P52</x:f>
        <x:v>22</x:v>
      </x:c>
      <x:c r="Z52" s="29" t="str">
        <x:f>IF(S52=0,"Excluded",IF(T52&lt;0,"Collision",IF(T52&gt;0,"Entropy","Tie")))</x:f>
        <x:v>Tie</x:v>
      </x:c>
      <x:c r="AA52" s="29" t="str">
        <x:f>IF(V52&lt;0,"Collision",IF(V52&gt;0,"Entropy","Tie"))</x:f>
        <x:v>Entropy</x:v>
      </x:c>
      <x:c r="AB52" s="29" t="str">
        <x:f>'Raw Results'!BM14</x:f>
        <x:v>none</x:v>
      </x:c>
    </x:row>
    <x:row r="53">
      <x:c r="A53" s="29" t="str">
        <x:v>ICH</x:v>
      </x:c>
      <x:c r="B53" s="30" t="str">
        <x:f>'Raw Results'!A14</x:f>
        <x:v>100</x:v>
      </x:c>
      <x:c r="C53" s="31" t="str">
        <x:f>'Raw Results'!B14</x:f>
        <x:v>0.1</x:v>
      </x:c>
      <x:c r="D53" s="30" t="str">
        <x:f>'Raw Results'!C14</x:f>
        <x:v>1</x:v>
      </x:c>
      <x:c r="E53" s="30" t="str">
        <x:f>'Raw Results'!D14</x:f>
        <x:v>1235212459</x:v>
      </x:c>
      <x:c r="F53" s="30" t="str">
        <x:f>'Raw Results'!E14</x:f>
        <x:v>141</x:v>
      </x:c>
      <x:c r="G53" s="30" t="str">
        <x:f>'Raw Results'!F14</x:f>
        <x:v>20</x:v>
      </x:c>
      <x:c r="H53" s="30" t="str">
        <x:f>'Raw Results'!G14</x:f>
        <x:v>58</x:v>
      </x:c>
      <x:c r="I53" s="32" t="str">
        <x:f>'Raw Results'!H14</x:f>
        <x:v>2.82</x:v>
      </x:c>
      <x:c r="J53" s="33" t="str">
        <x:f>'Raw Results'!I14</x:f>
        <x:v>0.028484848484848484</x:v>
      </x:c>
      <x:c r="K53" s="30" t="str">
        <x:f>'Raw Results'!BN14</x:f>
        <x:v>38</x:v>
      </x:c>
      <x:c r="L53" s="30" t="str">
        <x:f>'Raw Results'!BO14</x:f>
        <x:v>38</x:v>
      </x:c>
      <x:c r="M53" s="33" t="str">
        <x:f>'Raw Results'!BP14</x:f>
        <x:v>0.21408069995231926</x:v>
      </x:c>
      <x:c r="N53" s="30" t="n">
        <x:f>IF('Raw Results'!BQ14="True",1,0)</x:f>
        <x:v>1</x:v>
      </x:c>
      <x:c r="O53" s="30" t="str">
        <x:f>'Raw Results'!BR14</x:f>
        <x:v>38</x:v>
      </x:c>
      <x:c r="P53" s="30" t="str">
        <x:f>'Raw Results'!BS14</x:f>
        <x:v>38</x:v>
      </x:c>
      <x:c r="Q53" s="33" t="str">
        <x:f>'Raw Results'!BT14</x:f>
        <x:v>0.1997402000706643</x:v>
      </x:c>
      <x:c r="R53" s="30" t="n">
        <x:f>IF('Raw Results'!BU14="True",1,0)</x:f>
        <x:v>1</x:v>
      </x:c>
      <x:c r="S53" s="30" t="n">
        <x:f>N53*R53</x:f>
        <x:v>1</x:v>
      </x:c>
      <x:c r="T53" s="30" t="n">
        <x:f>P53-L53</x:f>
        <x:v>0</x:v>
      </x:c>
      <x:c r="U53" s="30" t="n">
        <x:f>O53-K53</x:f>
        <x:v>0</x:v>
      </x:c>
      <x:c r="V53" s="34" t="n">
        <x:f>Q53-M53</x:f>
        <x:v>-0.014340499881654978</x:v>
      </x:c>
      <x:c r="W53" s="35" t="n">
        <x:f>IF(L53=0,"",P53/L53)</x:f>
        <x:v>1</x:v>
      </x:c>
      <x:c r="X53" s="30" t="n">
        <x:f>K53-L53</x:f>
        <x:v>0</x:v>
      </x:c>
      <x:c r="Y53" s="30" t="n">
        <x:f>O53-P53</x:f>
        <x:v>0</x:v>
      </x:c>
      <x:c r="Z53" s="29" t="str">
        <x:f>IF(S53=0,"Excluded",IF(T53&lt;0,"Collision",IF(T53&gt;0,"Entropy","Tie")))</x:f>
        <x:v>Tie</x:v>
      </x:c>
      <x:c r="AA53" s="29" t="str">
        <x:f>IF(V53&lt;0,"Collision",IF(V53&gt;0,"Entropy","Tie"))</x:f>
        <x:v>Collision</x:v>
      </x:c>
      <x:c r="AB53" s="29" t="str">
        <x:f>'Raw Results'!CE14</x:f>
        <x:v>none</x:v>
      </x:c>
    </x:row>
    <x:row r="54">
      <x:c r="A54" s="29" t="str">
        <x:v>Grid</x:v>
      </x:c>
      <x:c r="B54" s="30" t="str">
        <x:f>'Raw Results'!A15</x:f>
        <x:v>100</x:v>
      </x:c>
      <x:c r="C54" s="31" t="str">
        <x:f>'Raw Results'!B15</x:f>
        <x:v>0.1</x:v>
      </x:c>
      <x:c r="D54" s="30" t="str">
        <x:f>'Raw Results'!C15</x:f>
        <x:v>2</x:v>
      </x:c>
      <x:c r="E54" s="30" t="str">
        <x:f>'Raw Results'!D15</x:f>
        <x:v>2254199506</x:v>
      </x:c>
      <x:c r="F54" s="30" t="str">
        <x:f>'Raw Results'!E15</x:f>
        <x:v>132</x:v>
      </x:c>
      <x:c r="G54" s="30" t="str">
        <x:f>'Raw Results'!F15</x:f>
        <x:v>22</x:v>
      </x:c>
      <x:c r="H54" s="30" t="str">
        <x:f>'Raw Results'!G15</x:f>
        <x:v>20</x:v>
      </x:c>
      <x:c r="I54" s="32" t="str">
        <x:f>'Raw Results'!H15</x:f>
        <x:v>2.64</x:v>
      </x:c>
      <x:c r="J54" s="33" t="str">
        <x:f>'Raw Results'!I15</x:f>
        <x:v>0.02666666666666667</x:v>
      </x:c>
      <x:c r="K54" s="30" t="str">
        <x:f>'Raw Results'!L15</x:f>
        <x:v>53</x:v>
      </x:c>
      <x:c r="L54" s="30" t="str">
        <x:f>'Raw Results'!M15</x:f>
        <x:v>53</x:v>
      </x:c>
      <x:c r="M54" s="33" t="str">
        <x:f>'Raw Results'!N15</x:f>
        <x:v>0.005400100024417043</x:v>
      </x:c>
      <x:c r="N54" s="30" t="n">
        <x:f>IF('Raw Results'!O15="True",1,0)</x:f>
        <x:v>0</x:v>
      </x:c>
      <x:c r="O54" s="30" t="str">
        <x:f>'Raw Results'!P15</x:f>
        <x:v>45</x:v>
      </x:c>
      <x:c r="P54" s="30" t="str">
        <x:f>'Raw Results'!Q15</x:f>
        <x:v>45</x:v>
      </x:c>
      <x:c r="Q54" s="33" t="str">
        <x:f>'Raw Results'!R15</x:f>
        <x:v>0.00467289995867759</x:v>
      </x:c>
      <x:c r="R54" s="30" t="n">
        <x:f>IF('Raw Results'!S15="True",1,0)</x:f>
        <x:v>0</x:v>
      </x:c>
      <x:c r="S54" s="30" t="n">
        <x:f>N54*R54</x:f>
        <x:v>0</x:v>
      </x:c>
      <x:c r="T54" s="30" t="n">
        <x:f>P54-L54</x:f>
        <x:v>-8</x:v>
      </x:c>
      <x:c r="U54" s="30" t="n">
        <x:f>O54-K54</x:f>
        <x:v>-8</x:v>
      </x:c>
      <x:c r="V54" s="34" t="n">
        <x:f>Q54-M54</x:f>
        <x:v>-0.0007272000657394528</x:v>
      </x:c>
      <x:c r="W54" s="35" t="n">
        <x:f>IF(L54=0,"",P54/L54)</x:f>
        <x:v>0.8490566037735849</x:v>
      </x:c>
      <x:c r="X54" s="30" t="n">
        <x:f>K54-L54</x:f>
        <x:v>0</x:v>
      </x:c>
      <x:c r="Y54" s="30" t="n">
        <x:f>O54-P54</x:f>
        <x:v>0</x:v>
      </x:c>
      <x:c r="Z54" s="29" t="str">
        <x:f>IF(S54=0,"Excluded",IF(T54&lt;0,"Collision",IF(T54&gt;0,"Entropy","Tie")))</x:f>
        <x:v>Excluded</x:v>
      </x:c>
      <x:c r="AA54" s="29" t="str">
        <x:f>IF(V54&lt;0,"Collision",IF(V54&gt;0,"Entropy","Tie"))</x:f>
        <x:v>Collision</x:v>
      </x:c>
      <x:c r="AB54" s="29" t="str">
        <x:f>'Raw Results'!AC15</x:f>
        <x:v>none</x:v>
      </x:c>
    </x:row>
    <x:row r="55">
      <x:c r="A55" s="29" t="str">
        <x:v>Circle</x:v>
      </x:c>
      <x:c r="B55" s="30" t="str">
        <x:f>'Raw Results'!A15</x:f>
        <x:v>100</x:v>
      </x:c>
      <x:c r="C55" s="31" t="str">
        <x:f>'Raw Results'!B15</x:f>
        <x:v>0.1</x:v>
      </x:c>
      <x:c r="D55" s="30" t="str">
        <x:f>'Raw Results'!C15</x:f>
        <x:v>2</x:v>
      </x:c>
      <x:c r="E55" s="30" t="str">
        <x:f>'Raw Results'!D15</x:f>
        <x:v>2254199506</x:v>
      </x:c>
      <x:c r="F55" s="30" t="str">
        <x:f>'Raw Results'!E15</x:f>
        <x:v>132</x:v>
      </x:c>
      <x:c r="G55" s="30" t="str">
        <x:f>'Raw Results'!F15</x:f>
        <x:v>22</x:v>
      </x:c>
      <x:c r="H55" s="30" t="str">
        <x:f>'Raw Results'!G15</x:f>
        <x:v>20</x:v>
      </x:c>
      <x:c r="I55" s="32" t="str">
        <x:f>'Raw Results'!H15</x:f>
        <x:v>2.64</x:v>
      </x:c>
      <x:c r="J55" s="33" t="str">
        <x:f>'Raw Results'!I15</x:f>
        <x:v>0.02666666666666667</x:v>
      </x:c>
      <x:c r="K55" s="30" t="str">
        <x:f>'Raw Results'!AD15</x:f>
        <x:v>65</x:v>
      </x:c>
      <x:c r="L55" s="30" t="str">
        <x:f>'Raw Results'!AE15</x:f>
        <x:v>38</x:v>
      </x:c>
      <x:c r="M55" s="33" t="str">
        <x:f>'Raw Results'!AF15</x:f>
        <x:v>0.019517399952746928</x:v>
      </x:c>
      <x:c r="N55" s="30" t="n">
        <x:f>IF('Raw Results'!AG15="True",1,0)</x:f>
        <x:v>1</x:v>
      </x:c>
      <x:c r="O55" s="30" t="str">
        <x:f>'Raw Results'!AH15</x:f>
        <x:v>59</x:v>
      </x:c>
      <x:c r="P55" s="30" t="str">
        <x:f>'Raw Results'!AI15</x:f>
        <x:v>38</x:v>
      </x:c>
      <x:c r="Q55" s="33" t="str">
        <x:f>'Raw Results'!AJ15</x:f>
        <x:v>0.0171745999250561</x:v>
      </x:c>
      <x:c r="R55" s="30" t="n">
        <x:f>IF('Raw Results'!AK15="True",1,0)</x:f>
        <x:v>1</x:v>
      </x:c>
      <x:c r="S55" s="30" t="n">
        <x:f>N55*R55</x:f>
        <x:v>1</x:v>
      </x:c>
      <x:c r="T55" s="30" t="n">
        <x:f>P55-L55</x:f>
        <x:v>0</x:v>
      </x:c>
      <x:c r="U55" s="30" t="n">
        <x:f>O55-K55</x:f>
        <x:v>-6</x:v>
      </x:c>
      <x:c r="V55" s="34" t="n">
        <x:f>Q55-M55</x:f>
        <x:v>-0.002342800027690828</x:v>
      </x:c>
      <x:c r="W55" s="35" t="n">
        <x:f>IF(L55=0,"",P55/L55)</x:f>
        <x:v>1</x:v>
      </x:c>
      <x:c r="X55" s="30" t="n">
        <x:f>K55-L55</x:f>
        <x:v>27</x:v>
      </x:c>
      <x:c r="Y55" s="30" t="n">
        <x:f>O55-P55</x:f>
        <x:v>21</x:v>
      </x:c>
      <x:c r="Z55" s="29" t="str">
        <x:f>IF(S55=0,"Excluded",IF(T55&lt;0,"Collision",IF(T55&gt;0,"Entropy","Tie")))</x:f>
        <x:v>Tie</x:v>
      </x:c>
      <x:c r="AA55" s="29" t="str">
        <x:f>IF(V55&lt;0,"Collision",IF(V55&gt;0,"Entropy","Tie"))</x:f>
        <x:v>Collision</x:v>
      </x:c>
      <x:c r="AB55" s="29" t="str">
        <x:f>'Raw Results'!AU15</x:f>
        <x:v>none</x:v>
      </x:c>
    </x:row>
    <x:row r="56">
      <x:c r="A56" s="29" t="str">
        <x:v>Zoomed Square</x:v>
      </x:c>
      <x:c r="B56" s="30" t="str">
        <x:f>'Raw Results'!A15</x:f>
        <x:v>100</x:v>
      </x:c>
      <x:c r="C56" s="31" t="str">
        <x:f>'Raw Results'!B15</x:f>
        <x:v>0.1</x:v>
      </x:c>
      <x:c r="D56" s="30" t="str">
        <x:f>'Raw Results'!C15</x:f>
        <x:v>2</x:v>
      </x:c>
      <x:c r="E56" s="30" t="str">
        <x:f>'Raw Results'!D15</x:f>
        <x:v>2254199506</x:v>
      </x:c>
      <x:c r="F56" s="30" t="str">
        <x:f>'Raw Results'!E15</x:f>
        <x:v>132</x:v>
      </x:c>
      <x:c r="G56" s="30" t="str">
        <x:f>'Raw Results'!F15</x:f>
        <x:v>22</x:v>
      </x:c>
      <x:c r="H56" s="30" t="str">
        <x:f>'Raw Results'!G15</x:f>
        <x:v>20</x:v>
      </x:c>
      <x:c r="I56" s="32" t="str">
        <x:f>'Raw Results'!H15</x:f>
        <x:v>2.64</x:v>
      </x:c>
      <x:c r="J56" s="33" t="str">
        <x:f>'Raw Results'!I15</x:f>
        <x:v>0.02666666666666667</x:v>
      </x:c>
      <x:c r="K56" s="30" t="str">
        <x:f>'Raw Results'!AV15</x:f>
        <x:v>61</x:v>
      </x:c>
      <x:c r="L56" s="30" t="str">
        <x:f>'Raw Results'!AW15</x:f>
        <x:v>39</x:v>
      </x:c>
      <x:c r="M56" s="33" t="str">
        <x:f>'Raw Results'!AX15</x:f>
        <x:v>0.01533910003490746</x:v>
      </x:c>
      <x:c r="N56" s="30" t="n">
        <x:f>IF('Raw Results'!AY15="True",1,0)</x:f>
        <x:v>1</x:v>
      </x:c>
      <x:c r="O56" s="30" t="str">
        <x:f>'Raw Results'!AZ15</x:f>
        <x:v>57</x:v>
      </x:c>
      <x:c r="P56" s="30" t="str">
        <x:f>'Raw Results'!BA15</x:f>
        <x:v>39</x:v>
      </x:c>
      <x:c r="Q56" s="33" t="str">
        <x:f>'Raw Results'!BB15</x:f>
        <x:v>0.012991400086320937</x:v>
      </x:c>
      <x:c r="R56" s="30" t="n">
        <x:f>IF('Raw Results'!BC15="True",1,0)</x:f>
        <x:v>1</x:v>
      </x:c>
      <x:c r="S56" s="30" t="n">
        <x:f>N56*R56</x:f>
        <x:v>1</x:v>
      </x:c>
      <x:c r="T56" s="30" t="n">
        <x:f>P56-L56</x:f>
        <x:v>0</x:v>
      </x:c>
      <x:c r="U56" s="30" t="n">
        <x:f>O56-K56</x:f>
        <x:v>-4</x:v>
      </x:c>
      <x:c r="V56" s="34" t="n">
        <x:f>Q56-M56</x:f>
        <x:v>-0.0023476999485865235</x:v>
      </x:c>
      <x:c r="W56" s="35" t="n">
        <x:f>IF(L56=0,"",P56/L56)</x:f>
        <x:v>1</x:v>
      </x:c>
      <x:c r="X56" s="30" t="n">
        <x:f>K56-L56</x:f>
        <x:v>22</x:v>
      </x:c>
      <x:c r="Y56" s="30" t="n">
        <x:f>O56-P56</x:f>
        <x:v>18</x:v>
      </x:c>
      <x:c r="Z56" s="29" t="str">
        <x:f>IF(S56=0,"Excluded",IF(T56&lt;0,"Collision",IF(T56&gt;0,"Entropy","Tie")))</x:f>
        <x:v>Tie</x:v>
      </x:c>
      <x:c r="AA56" s="29" t="str">
        <x:f>IF(V56&lt;0,"Collision",IF(V56&gt;0,"Entropy","Tie"))</x:f>
        <x:v>Collision</x:v>
      </x:c>
      <x:c r="AB56" s="29" t="str">
        <x:f>'Raw Results'!BM15</x:f>
        <x:v>none</x:v>
      </x:c>
    </x:row>
    <x:row r="57">
      <x:c r="A57" s="29" t="str">
        <x:v>ICH</x:v>
      </x:c>
      <x:c r="B57" s="30" t="str">
        <x:f>'Raw Results'!A15</x:f>
        <x:v>100</x:v>
      </x:c>
      <x:c r="C57" s="31" t="str">
        <x:f>'Raw Results'!B15</x:f>
        <x:v>0.1</x:v>
      </x:c>
      <x:c r="D57" s="30" t="str">
        <x:f>'Raw Results'!C15</x:f>
        <x:v>2</x:v>
      </x:c>
      <x:c r="E57" s="30" t="str">
        <x:f>'Raw Results'!D15</x:f>
        <x:v>2254199506</x:v>
      </x:c>
      <x:c r="F57" s="30" t="str">
        <x:f>'Raw Results'!E15</x:f>
        <x:v>132</x:v>
      </x:c>
      <x:c r="G57" s="30" t="str">
        <x:f>'Raw Results'!F15</x:f>
        <x:v>22</x:v>
      </x:c>
      <x:c r="H57" s="30" t="str">
        <x:f>'Raw Results'!G15</x:f>
        <x:v>20</x:v>
      </x:c>
      <x:c r="I57" s="32" t="str">
        <x:f>'Raw Results'!H15</x:f>
        <x:v>2.64</x:v>
      </x:c>
      <x:c r="J57" s="33" t="str">
        <x:f>'Raw Results'!I15</x:f>
        <x:v>0.02666666666666667</x:v>
      </x:c>
      <x:c r="K57" s="30" t="str">
        <x:f>'Raw Results'!BN15</x:f>
        <x:v>39</x:v>
      </x:c>
      <x:c r="L57" s="30" t="str">
        <x:f>'Raw Results'!BO15</x:f>
        <x:v>39</x:v>
      </x:c>
      <x:c r="M57" s="33" t="str">
        <x:f>'Raw Results'!BP15</x:f>
        <x:v>0.2262079999782145</x:v>
      </x:c>
      <x:c r="N57" s="30" t="n">
        <x:f>IF('Raw Results'!BQ15="True",1,0)</x:f>
        <x:v>1</x:v>
      </x:c>
      <x:c r="O57" s="30" t="str">
        <x:f>'Raw Results'!BR15</x:f>
        <x:v>39</x:v>
      </x:c>
      <x:c r="P57" s="30" t="str">
        <x:f>'Raw Results'!BS15</x:f>
        <x:v>39</x:v>
      </x:c>
      <x:c r="Q57" s="33" t="str">
        <x:f>'Raw Results'!BT15</x:f>
        <x:v>0.19361439999192953</x:v>
      </x:c>
      <x:c r="R57" s="30" t="n">
        <x:f>IF('Raw Results'!BU15="True",1,0)</x:f>
        <x:v>1</x:v>
      </x:c>
      <x:c r="S57" s="30" t="n">
        <x:f>N57*R57</x:f>
        <x:v>1</x:v>
      </x:c>
      <x:c r="T57" s="30" t="n">
        <x:f>P57-L57</x:f>
        <x:v>0</x:v>
      </x:c>
      <x:c r="U57" s="30" t="n">
        <x:f>O57-K57</x:f>
        <x:v>0</x:v>
      </x:c>
      <x:c r="V57" s="34" t="n">
        <x:f>Q57-M57</x:f>
        <x:v>-0.03259359998628497</x:v>
      </x:c>
      <x:c r="W57" s="35" t="n">
        <x:f>IF(L57=0,"",P57/L57)</x:f>
        <x:v>1</x:v>
      </x:c>
      <x:c r="X57" s="30" t="n">
        <x:f>K57-L57</x:f>
        <x:v>0</x:v>
      </x:c>
      <x:c r="Y57" s="30" t="n">
        <x:f>O57-P57</x:f>
        <x:v>0</x:v>
      </x:c>
      <x:c r="Z57" s="29" t="str">
        <x:f>IF(S57=0,"Excluded",IF(T57&lt;0,"Collision",IF(T57&gt;0,"Entropy","Tie")))</x:f>
        <x:v>Tie</x:v>
      </x:c>
      <x:c r="AA57" s="29" t="str">
        <x:f>IF(V57&lt;0,"Collision",IF(V57&gt;0,"Entropy","Tie"))</x:f>
        <x:v>Collision</x:v>
      </x:c>
      <x:c r="AB57" s="29" t="str">
        <x:f>'Raw Results'!CE15</x:f>
        <x:v>none</x:v>
      </x:c>
    </x:row>
    <x:row r="58">
      <x:c r="A58" s="29" t="str">
        <x:v>Grid</x:v>
      </x:c>
      <x:c r="B58" s="30" t="str">
        <x:f>'Raw Results'!A16</x:f>
        <x:v>100</x:v>
      </x:c>
      <x:c r="C58" s="31" t="str">
        <x:f>'Raw Results'!B16</x:f>
        <x:v>0.1</x:v>
      </x:c>
      <x:c r="D58" s="30" t="str">
        <x:f>'Raw Results'!C16</x:f>
        <x:v>3</x:v>
      </x:c>
      <x:c r="E58" s="30" t="str">
        <x:f>'Raw Results'!D16</x:f>
        <x:v>983702907</x:v>
      </x:c>
      <x:c r="F58" s="30" t="str">
        <x:f>'Raw Results'!E16</x:f>
        <x:v>173</x:v>
      </x:c>
      <x:c r="G58" s="30" t="str">
        <x:f>'Raw Results'!F16</x:f>
        <x:v>19</x:v>
      </x:c>
      <x:c r="H58" s="30" t="str">
        <x:f>'Raw Results'!G16</x:f>
        <x:v>43</x:v>
      </x:c>
      <x:c r="I58" s="32" t="str">
        <x:f>'Raw Results'!H16</x:f>
        <x:v>3.46</x:v>
      </x:c>
      <x:c r="J58" s="33" t="str">
        <x:f>'Raw Results'!I16</x:f>
        <x:v>0.03494949494949495</x:v>
      </x:c>
      <x:c r="K58" s="30" t="str">
        <x:f>'Raw Results'!L16</x:f>
        <x:v>57</x:v>
      </x:c>
      <x:c r="L58" s="30" t="str">
        <x:f>'Raw Results'!M16</x:f>
        <x:v>57</x:v>
      </x:c>
      <x:c r="M58" s="33" t="str">
        <x:f>'Raw Results'!N16</x:f>
        <x:v>0.007878100033849478</x:v>
      </x:c>
      <x:c r="N58" s="30" t="n">
        <x:f>IF('Raw Results'!O16="True",1,0)</x:f>
        <x:v>0</x:v>
      </x:c>
      <x:c r="O58" s="30" t="str">
        <x:f>'Raw Results'!P16</x:f>
        <x:v>52</x:v>
      </x:c>
      <x:c r="P58" s="30" t="str">
        <x:f>'Raw Results'!Q16</x:f>
        <x:v>52</x:v>
      </x:c>
      <x:c r="Q58" s="33" t="str">
        <x:f>'Raw Results'!R16</x:f>
        <x:v>0.006340399966575205</x:v>
      </x:c>
      <x:c r="R58" s="30" t="n">
        <x:f>IF('Raw Results'!S16="True",1,0)</x:f>
        <x:v>0</x:v>
      </x:c>
      <x:c r="S58" s="30" t="n">
        <x:f>N58*R58</x:f>
        <x:v>0</x:v>
      </x:c>
      <x:c r="T58" s="30" t="n">
        <x:f>P58-L58</x:f>
        <x:v>-5</x:v>
      </x:c>
      <x:c r="U58" s="30" t="n">
        <x:f>O58-K58</x:f>
        <x:v>-5</x:v>
      </x:c>
      <x:c r="V58" s="34" t="n">
        <x:f>Q58-M58</x:f>
        <x:v>-0.0015377000672742724</x:v>
      </x:c>
      <x:c r="W58" s="35" t="n">
        <x:f>IF(L58=0,"",P58/L58)</x:f>
        <x:v>0.9122807017543859</x:v>
      </x:c>
      <x:c r="X58" s="30" t="n">
        <x:f>K58-L58</x:f>
        <x:v>0</x:v>
      </x:c>
      <x:c r="Y58" s="30" t="n">
        <x:f>O58-P58</x:f>
        <x:v>0</x:v>
      </x:c>
      <x:c r="Z58" s="29" t="str">
        <x:f>IF(S58=0,"Excluded",IF(T58&lt;0,"Collision",IF(T58&gt;0,"Entropy","Tie")))</x:f>
        <x:v>Excluded</x:v>
      </x:c>
      <x:c r="AA58" s="29" t="str">
        <x:f>IF(V58&lt;0,"Collision",IF(V58&gt;0,"Entropy","Tie"))</x:f>
        <x:v>Collision</x:v>
      </x:c>
      <x:c r="AB58" s="29" t="str">
        <x:f>'Raw Results'!AC16</x:f>
        <x:v>none</x:v>
      </x:c>
    </x:row>
    <x:row r="59">
      <x:c r="A59" s="29" t="str">
        <x:v>Circle</x:v>
      </x:c>
      <x:c r="B59" s="30" t="str">
        <x:f>'Raw Results'!A16</x:f>
        <x:v>100</x:v>
      </x:c>
      <x:c r="C59" s="31" t="str">
        <x:f>'Raw Results'!B16</x:f>
        <x:v>0.1</x:v>
      </x:c>
      <x:c r="D59" s="30" t="str">
        <x:f>'Raw Results'!C16</x:f>
        <x:v>3</x:v>
      </x:c>
      <x:c r="E59" s="30" t="str">
        <x:f>'Raw Results'!D16</x:f>
        <x:v>983702907</x:v>
      </x:c>
      <x:c r="F59" s="30" t="str">
        <x:f>'Raw Results'!E16</x:f>
        <x:v>173</x:v>
      </x:c>
      <x:c r="G59" s="30" t="str">
        <x:f>'Raw Results'!F16</x:f>
        <x:v>19</x:v>
      </x:c>
      <x:c r="H59" s="30" t="str">
        <x:f>'Raw Results'!G16</x:f>
        <x:v>43</x:v>
      </x:c>
      <x:c r="I59" s="32" t="str">
        <x:f>'Raw Results'!H16</x:f>
        <x:v>3.46</x:v>
      </x:c>
      <x:c r="J59" s="33" t="str">
        <x:f>'Raw Results'!I16</x:f>
        <x:v>0.03494949494949495</x:v>
      </x:c>
      <x:c r="K59" s="30" t="str">
        <x:f>'Raw Results'!AD16</x:f>
        <x:v>68</x:v>
      </x:c>
      <x:c r="L59" s="30" t="str">
        <x:f>'Raw Results'!AE16</x:f>
        <x:v>38</x:v>
      </x:c>
      <x:c r="M59" s="33" t="str">
        <x:f>'Raw Results'!AF16</x:f>
        <x:v>0.019490999984554946</x:v>
      </x:c>
      <x:c r="N59" s="30" t="n">
        <x:f>IF('Raw Results'!AG16="True",1,0)</x:f>
        <x:v>1</x:v>
      </x:c>
      <x:c r="O59" s="30" t="str">
        <x:f>'Raw Results'!AH16</x:f>
        <x:v>66</x:v>
      </x:c>
      <x:c r="P59" s="30" t="str">
        <x:f>'Raw Results'!AI16</x:f>
        <x:v>37</x:v>
      </x:c>
      <x:c r="Q59" s="33" t="str">
        <x:f>'Raw Results'!AJ16</x:f>
        <x:v>0.02874760003760457</x:v>
      </x:c>
      <x:c r="R59" s="30" t="n">
        <x:f>IF('Raw Results'!AK16="True",1,0)</x:f>
        <x:v>1</x:v>
      </x:c>
      <x:c r="S59" s="30" t="n">
        <x:f>N59*R59</x:f>
        <x:v>1</x:v>
      </x:c>
      <x:c r="T59" s="30" t="n">
        <x:f>P59-L59</x:f>
        <x:v>-1</x:v>
      </x:c>
      <x:c r="U59" s="30" t="n">
        <x:f>O59-K59</x:f>
        <x:v>-2</x:v>
      </x:c>
      <x:c r="V59" s="34" t="n">
        <x:f>Q59-M59</x:f>
        <x:v>0.009256600053049624</x:v>
      </x:c>
      <x:c r="W59" s="35" t="n">
        <x:f>IF(L59=0,"",P59/L59)</x:f>
        <x:v>0.9736842105263158</x:v>
      </x:c>
      <x:c r="X59" s="30" t="n">
        <x:f>K59-L59</x:f>
        <x:v>30</x:v>
      </x:c>
      <x:c r="Y59" s="30" t="n">
        <x:f>O59-P59</x:f>
        <x:v>29</x:v>
      </x:c>
      <x:c r="Z59" s="29" t="str">
        <x:f>IF(S59=0,"Excluded",IF(T59&lt;0,"Collision",IF(T59&gt;0,"Entropy","Tie")))</x:f>
        <x:v>Collision</x:v>
      </x:c>
      <x:c r="AA59" s="29" t="str">
        <x:f>IF(V59&lt;0,"Collision",IF(V59&gt;0,"Entropy","Tie"))</x:f>
        <x:v>Entropy</x:v>
      </x:c>
      <x:c r="AB59" s="29" t="str">
        <x:f>'Raw Results'!AU16</x:f>
        <x:v>none</x:v>
      </x:c>
    </x:row>
    <x:row r="60">
      <x:c r="A60" s="29" t="str">
        <x:v>Zoomed Square</x:v>
      </x:c>
      <x:c r="B60" s="30" t="str">
        <x:f>'Raw Results'!A16</x:f>
        <x:v>100</x:v>
      </x:c>
      <x:c r="C60" s="31" t="str">
        <x:f>'Raw Results'!B16</x:f>
        <x:v>0.1</x:v>
      </x:c>
      <x:c r="D60" s="30" t="str">
        <x:f>'Raw Results'!C16</x:f>
        <x:v>3</x:v>
      </x:c>
      <x:c r="E60" s="30" t="str">
        <x:f>'Raw Results'!D16</x:f>
        <x:v>983702907</x:v>
      </x:c>
      <x:c r="F60" s="30" t="str">
        <x:f>'Raw Results'!E16</x:f>
        <x:v>173</x:v>
      </x:c>
      <x:c r="G60" s="30" t="str">
        <x:f>'Raw Results'!F16</x:f>
        <x:v>19</x:v>
      </x:c>
      <x:c r="H60" s="30" t="str">
        <x:f>'Raw Results'!G16</x:f>
        <x:v>43</x:v>
      </x:c>
      <x:c r="I60" s="32" t="str">
        <x:f>'Raw Results'!H16</x:f>
        <x:v>3.46</x:v>
      </x:c>
      <x:c r="J60" s="33" t="str">
        <x:f>'Raw Results'!I16</x:f>
        <x:v>0.03494949494949495</x:v>
      </x:c>
      <x:c r="K60" s="30" t="str">
        <x:f>'Raw Results'!AV16</x:f>
        <x:v>72</x:v>
      </x:c>
      <x:c r="L60" s="30" t="str">
        <x:f>'Raw Results'!AW16</x:f>
        <x:v>38</x:v>
      </x:c>
      <x:c r="M60" s="33" t="str">
        <x:f>'Raw Results'!AX16</x:f>
        <x:v>0.02364609995856881</x:v>
      </x:c>
      <x:c r="N60" s="30" t="n">
        <x:f>IF('Raw Results'!AY16="True",1,0)</x:f>
        <x:v>1</x:v>
      </x:c>
      <x:c r="O60" s="30" t="str">
        <x:f>'Raw Results'!AZ16</x:f>
        <x:v>67</x:v>
      </x:c>
      <x:c r="P60" s="30" t="str">
        <x:f>'Raw Results'!BA16</x:f>
        <x:v>38</x:v>
      </x:c>
      <x:c r="Q60" s="33" t="str">
        <x:f>'Raw Results'!BB16</x:f>
        <x:v>0.020953900064341724</x:v>
      </x:c>
      <x:c r="R60" s="30" t="n">
        <x:f>IF('Raw Results'!BC16="True",1,0)</x:f>
        <x:v>1</x:v>
      </x:c>
      <x:c r="S60" s="30" t="n">
        <x:f>N60*R60</x:f>
        <x:v>1</x:v>
      </x:c>
      <x:c r="T60" s="30" t="n">
        <x:f>P60-L60</x:f>
        <x:v>0</x:v>
      </x:c>
      <x:c r="U60" s="30" t="n">
        <x:f>O60-K60</x:f>
        <x:v>-5</x:v>
      </x:c>
      <x:c r="V60" s="34" t="n">
        <x:f>Q60-M60</x:f>
        <x:v>-0.0026921998942270875</x:v>
      </x:c>
      <x:c r="W60" s="35" t="n">
        <x:f>IF(L60=0,"",P60/L60)</x:f>
        <x:v>1</x:v>
      </x:c>
      <x:c r="X60" s="30" t="n">
        <x:f>K60-L60</x:f>
        <x:v>34</x:v>
      </x:c>
      <x:c r="Y60" s="30" t="n">
        <x:f>O60-P60</x:f>
        <x:v>29</x:v>
      </x:c>
      <x:c r="Z60" s="29" t="str">
        <x:f>IF(S60=0,"Excluded",IF(T60&lt;0,"Collision",IF(T60&gt;0,"Entropy","Tie")))</x:f>
        <x:v>Tie</x:v>
      </x:c>
      <x:c r="AA60" s="29" t="str">
        <x:f>IF(V60&lt;0,"Collision",IF(V60&gt;0,"Entropy","Tie"))</x:f>
        <x:v>Collision</x:v>
      </x:c>
      <x:c r="AB60" s="29" t="str">
        <x:f>'Raw Results'!BM16</x:f>
        <x:v>none</x:v>
      </x:c>
    </x:row>
    <x:row r="61">
      <x:c r="A61" s="29" t="str">
        <x:v>ICH</x:v>
      </x:c>
      <x:c r="B61" s="30" t="str">
        <x:f>'Raw Results'!A16</x:f>
        <x:v>100</x:v>
      </x:c>
      <x:c r="C61" s="31" t="str">
        <x:f>'Raw Results'!B16</x:f>
        <x:v>0.1</x:v>
      </x:c>
      <x:c r="D61" s="30" t="str">
        <x:f>'Raw Results'!C16</x:f>
        <x:v>3</x:v>
      </x:c>
      <x:c r="E61" s="30" t="str">
        <x:f>'Raw Results'!D16</x:f>
        <x:v>983702907</x:v>
      </x:c>
      <x:c r="F61" s="30" t="str">
        <x:f>'Raw Results'!E16</x:f>
        <x:v>173</x:v>
      </x:c>
      <x:c r="G61" s="30" t="str">
        <x:f>'Raw Results'!F16</x:f>
        <x:v>19</x:v>
      </x:c>
      <x:c r="H61" s="30" t="str">
        <x:f>'Raw Results'!G16</x:f>
        <x:v>43</x:v>
      </x:c>
      <x:c r="I61" s="32" t="str">
        <x:f>'Raw Results'!H16</x:f>
        <x:v>3.46</x:v>
      </x:c>
      <x:c r="J61" s="33" t="str">
        <x:f>'Raw Results'!I16</x:f>
        <x:v>0.03494949494949495</x:v>
      </x:c>
      <x:c r="K61" s="30" t="str">
        <x:f>'Raw Results'!BN16</x:f>
        <x:v>37</x:v>
      </x:c>
      <x:c r="L61" s="30" t="str">
        <x:f>'Raw Results'!BO16</x:f>
        <x:v>37</x:v>
      </x:c>
      <x:c r="M61" s="33" t="str">
        <x:f>'Raw Results'!BP16</x:f>
        <x:v>0.24658319994341582</x:v>
      </x:c>
      <x:c r="N61" s="30" t="n">
        <x:f>IF('Raw Results'!BQ16="True",1,0)</x:f>
        <x:v>1</x:v>
      </x:c>
      <x:c r="O61" s="30" t="str">
        <x:f>'Raw Results'!BR16</x:f>
        <x:v>37</x:v>
      </x:c>
      <x:c r="P61" s="30" t="str">
        <x:f>'Raw Results'!BS16</x:f>
        <x:v>37</x:v>
      </x:c>
      <x:c r="Q61" s="33" t="str">
        <x:f>'Raw Results'!BT16</x:f>
        <x:v>0.24219479993917048</x:v>
      </x:c>
      <x:c r="R61" s="30" t="n">
        <x:f>IF('Raw Results'!BU16="True",1,0)</x:f>
        <x:v>1</x:v>
      </x:c>
      <x:c r="S61" s="30" t="n">
        <x:f>N61*R61</x:f>
        <x:v>1</x:v>
      </x:c>
      <x:c r="T61" s="30" t="n">
        <x:f>P61-L61</x:f>
        <x:v>0</x:v>
      </x:c>
      <x:c r="U61" s="30" t="n">
        <x:f>O61-K61</x:f>
        <x:v>0</x:v>
      </x:c>
      <x:c r="V61" s="34" t="n">
        <x:f>Q61-M61</x:f>
        <x:v>-0.004388400004245341</x:v>
      </x:c>
      <x:c r="W61" s="35" t="n">
        <x:f>IF(L61=0,"",P61/L61)</x:f>
        <x:v>1</x:v>
      </x:c>
      <x:c r="X61" s="30" t="n">
        <x:f>K61-L61</x:f>
        <x:v>0</x:v>
      </x:c>
      <x:c r="Y61" s="30" t="n">
        <x:f>O61-P61</x:f>
        <x:v>0</x:v>
      </x:c>
      <x:c r="Z61" s="29" t="str">
        <x:f>IF(S61=0,"Excluded",IF(T61&lt;0,"Collision",IF(T61&gt;0,"Entropy","Tie")))</x:f>
        <x:v>Tie</x:v>
      </x:c>
      <x:c r="AA61" s="29" t="str">
        <x:f>IF(V61&lt;0,"Collision",IF(V61&gt;0,"Entropy","Tie"))</x:f>
        <x:v>Collision</x:v>
      </x:c>
      <x:c r="AB61" s="29" t="str">
        <x:f>'Raw Results'!CE16</x:f>
        <x:v>none</x:v>
      </x:c>
    </x:row>
    <x:row r="62">
      <x:c r="A62" s="29" t="str">
        <x:v>Grid</x:v>
      </x:c>
      <x:c r="B62" s="30" t="str">
        <x:f>'Raw Results'!A17</x:f>
        <x:v>100</x:v>
      </x:c>
      <x:c r="C62" s="31" t="str">
        <x:f>'Raw Results'!B17</x:f>
        <x:v>0.3</x:v>
      </x:c>
      <x:c r="D62" s="30" t="str">
        <x:f>'Raw Results'!C17</x:f>
        <x:v>1</x:v>
      </x:c>
      <x:c r="E62" s="30" t="str">
        <x:f>'Raw Results'!D17</x:f>
        <x:v>3343778646</x:v>
      </x:c>
      <x:c r="F62" s="30" t="str">
        <x:f>'Raw Results'!E17</x:f>
        <x:v>1082</x:v>
      </x:c>
      <x:c r="G62" s="30" t="str">
        <x:f>'Raw Results'!F17</x:f>
        <x:v>1</x:v>
      </x:c>
      <x:c r="H62" s="30" t="str">
        <x:f>'Raw Results'!G17</x:f>
        <x:v>100</x:v>
      </x:c>
      <x:c r="I62" s="32" t="str">
        <x:f>'Raw Results'!H17</x:f>
        <x:v>21.64</x:v>
      </x:c>
      <x:c r="J62" s="33" t="str">
        <x:f>'Raw Results'!I17</x:f>
        <x:v>0.21858585858585858</x:v>
      </x:c>
      <x:c r="K62" s="30" t="str">
        <x:f>'Raw Results'!L17</x:f>
        <x:v>80</x:v>
      </x:c>
      <x:c r="L62" s="30" t="str">
        <x:f>'Raw Results'!M17</x:f>
        <x:v>20</x:v>
      </x:c>
      <x:c r="M62" s="33" t="str">
        <x:f>'Raw Results'!N17</x:f>
        <x:v>0.032596500008367</x:v>
      </x:c>
      <x:c r="N62" s="30" t="n">
        <x:f>IF('Raw Results'!O17="True",1,0)</x:f>
        <x:v>1</x:v>
      </x:c>
      <x:c r="O62" s="30" t="str">
        <x:f>'Raw Results'!P17</x:f>
        <x:v>44</x:v>
      </x:c>
      <x:c r="P62" s="30" t="str">
        <x:f>'Raw Results'!Q17</x:f>
        <x:v>20</x:v>
      </x:c>
      <x:c r="Q62" s="33" t="str">
        <x:f>'Raw Results'!R17</x:f>
        <x:v>0.024974199943244457</x:v>
      </x:c>
      <x:c r="R62" s="30" t="n">
        <x:f>IF('Raw Results'!S17="True",1,0)</x:f>
        <x:v>1</x:v>
      </x:c>
      <x:c r="S62" s="30" t="n">
        <x:f>N62*R62</x:f>
        <x:v>1</x:v>
      </x:c>
      <x:c r="T62" s="30" t="n">
        <x:f>P62-L62</x:f>
        <x:v>0</x:v>
      </x:c>
      <x:c r="U62" s="30" t="n">
        <x:f>O62-K62</x:f>
        <x:v>-36</x:v>
      </x:c>
      <x:c r="V62" s="34" t="n">
        <x:f>Q62-M62</x:f>
        <x:v>-0.007622300065122545</x:v>
      </x:c>
      <x:c r="W62" s="35" t="n">
        <x:f>IF(L62=0,"",P62/L62)</x:f>
        <x:v>1</x:v>
      </x:c>
      <x:c r="X62" s="30" t="n">
        <x:f>K62-L62</x:f>
        <x:v>60</x:v>
      </x:c>
      <x:c r="Y62" s="30" t="n">
        <x:f>O62-P62</x:f>
        <x:v>24</x:v>
      </x:c>
      <x:c r="Z62" s="29" t="str">
        <x:f>IF(S62=0,"Excluded",IF(T62&lt;0,"Collision",IF(T62&gt;0,"Entropy","Tie")))</x:f>
        <x:v>Tie</x:v>
      </x:c>
      <x:c r="AA62" s="29" t="str">
        <x:f>IF(V62&lt;0,"Collision",IF(V62&gt;0,"Entropy","Tie"))</x:f>
        <x:v>Collision</x:v>
      </x:c>
      <x:c r="AB62" s="29" t="str">
        <x:f>'Raw Results'!AC17</x:f>
        <x:v>none</x:v>
      </x:c>
    </x:row>
    <x:row r="63">
      <x:c r="A63" s="29" t="str">
        <x:v>Circle</x:v>
      </x:c>
      <x:c r="B63" s="30" t="str">
        <x:f>'Raw Results'!A17</x:f>
        <x:v>100</x:v>
      </x:c>
      <x:c r="C63" s="31" t="str">
        <x:f>'Raw Results'!B17</x:f>
        <x:v>0.3</x:v>
      </x:c>
      <x:c r="D63" s="30" t="str">
        <x:f>'Raw Results'!C17</x:f>
        <x:v>1</x:v>
      </x:c>
      <x:c r="E63" s="30" t="str">
        <x:f>'Raw Results'!D17</x:f>
        <x:v>3343778646</x:v>
      </x:c>
      <x:c r="F63" s="30" t="str">
        <x:f>'Raw Results'!E17</x:f>
        <x:v>1082</x:v>
      </x:c>
      <x:c r="G63" s="30" t="str">
        <x:f>'Raw Results'!F17</x:f>
        <x:v>1</x:v>
      </x:c>
      <x:c r="H63" s="30" t="str">
        <x:f>'Raw Results'!G17</x:f>
        <x:v>100</x:v>
      </x:c>
      <x:c r="I63" s="32" t="str">
        <x:f>'Raw Results'!H17</x:f>
        <x:v>21.64</x:v>
      </x:c>
      <x:c r="J63" s="33" t="str">
        <x:f>'Raw Results'!I17</x:f>
        <x:v>0.21858585858585858</x:v>
      </x:c>
      <x:c r="K63" s="30" t="str">
        <x:f>'Raw Results'!AD17</x:f>
        <x:v>75</x:v>
      </x:c>
      <x:c r="L63" s="30" t="str">
        <x:f>'Raw Results'!AE17</x:f>
        <x:v>21</x:v>
      </x:c>
      <x:c r="M63" s="33" t="str">
        <x:f>'Raw Results'!AF17</x:f>
        <x:v>0.028550100047141314</x:v>
      </x:c>
      <x:c r="N63" s="30" t="n">
        <x:f>IF('Raw Results'!AG17="True",1,0)</x:f>
        <x:v>1</x:v>
      </x:c>
      <x:c r="O63" s="30" t="str">
        <x:f>'Raw Results'!AH17</x:f>
        <x:v>65</x:v>
      </x:c>
      <x:c r="P63" s="30" t="str">
        <x:f>'Raw Results'!AI17</x:f>
        <x:v>19</x:v>
      </x:c>
      <x:c r="Q63" s="33" t="str">
        <x:f>'Raw Results'!AJ17</x:f>
        <x:v>0.024053400033153594</x:v>
      </x:c>
      <x:c r="R63" s="30" t="n">
        <x:f>IF('Raw Results'!AK17="True",1,0)</x:f>
        <x:v>1</x:v>
      </x:c>
      <x:c r="S63" s="30" t="n">
        <x:f>N63*R63</x:f>
        <x:v>1</x:v>
      </x:c>
      <x:c r="T63" s="30" t="n">
        <x:f>P63-L63</x:f>
        <x:v>-2</x:v>
      </x:c>
      <x:c r="U63" s="30" t="n">
        <x:f>O63-K63</x:f>
        <x:v>-10</x:v>
      </x:c>
      <x:c r="V63" s="34" t="n">
        <x:f>Q63-M63</x:f>
        <x:v>-0.00449670001398772</x:v>
      </x:c>
      <x:c r="W63" s="35" t="n">
        <x:f>IF(L63=0,"",P63/L63)</x:f>
        <x:v>0.9047619047619048</x:v>
      </x:c>
      <x:c r="X63" s="30" t="n">
        <x:f>K63-L63</x:f>
        <x:v>54</x:v>
      </x:c>
      <x:c r="Y63" s="30" t="n">
        <x:f>O63-P63</x:f>
        <x:v>46</x:v>
      </x:c>
      <x:c r="Z63" s="29" t="str">
        <x:f>IF(S63=0,"Excluded",IF(T63&lt;0,"Collision",IF(T63&gt;0,"Entropy","Tie")))</x:f>
        <x:v>Collision</x:v>
      </x:c>
      <x:c r="AA63" s="29" t="str">
        <x:f>IF(V63&lt;0,"Collision",IF(V63&gt;0,"Entropy","Tie"))</x:f>
        <x:v>Collision</x:v>
      </x:c>
      <x:c r="AB63" s="29" t="str">
        <x:f>'Raw Results'!AU17</x:f>
        <x:v>none</x:v>
      </x:c>
    </x:row>
    <x:row r="64">
      <x:c r="A64" s="29" t="str">
        <x:v>Zoomed Square</x:v>
      </x:c>
      <x:c r="B64" s="30" t="str">
        <x:f>'Raw Results'!A17</x:f>
        <x:v>100</x:v>
      </x:c>
      <x:c r="C64" s="31" t="str">
        <x:f>'Raw Results'!B17</x:f>
        <x:v>0.3</x:v>
      </x:c>
      <x:c r="D64" s="30" t="str">
        <x:f>'Raw Results'!C17</x:f>
        <x:v>1</x:v>
      </x:c>
      <x:c r="E64" s="30" t="str">
        <x:f>'Raw Results'!D17</x:f>
        <x:v>3343778646</x:v>
      </x:c>
      <x:c r="F64" s="30" t="str">
        <x:f>'Raw Results'!E17</x:f>
        <x:v>1082</x:v>
      </x:c>
      <x:c r="G64" s="30" t="str">
        <x:f>'Raw Results'!F17</x:f>
        <x:v>1</x:v>
      </x:c>
      <x:c r="H64" s="30" t="str">
        <x:f>'Raw Results'!G17</x:f>
        <x:v>100</x:v>
      </x:c>
      <x:c r="I64" s="32" t="str">
        <x:f>'Raw Results'!H17</x:f>
        <x:v>21.64</x:v>
      </x:c>
      <x:c r="J64" s="33" t="str">
        <x:f>'Raw Results'!I17</x:f>
        <x:v>0.21858585858585858</x:v>
      </x:c>
      <x:c r="K64" s="30" t="str">
        <x:f>'Raw Results'!AV17</x:f>
        <x:v>74</x:v>
      </x:c>
      <x:c r="L64" s="30" t="str">
        <x:f>'Raw Results'!AW17</x:f>
        <x:v>20</x:v>
      </x:c>
      <x:c r="M64" s="33" t="str">
        <x:f>'Raw Results'!AX17</x:f>
        <x:v>0.027396899997256696</x:v>
      </x:c>
      <x:c r="N64" s="30" t="n">
        <x:f>IF('Raw Results'!AY17="True",1,0)</x:f>
        <x:v>1</x:v>
      </x:c>
      <x:c r="O64" s="30" t="str">
        <x:f>'Raw Results'!AZ17</x:f>
        <x:v>53</x:v>
      </x:c>
      <x:c r="P64" s="30" t="str">
        <x:f>'Raw Results'!BA17</x:f>
        <x:v>20</x:v>
      </x:c>
      <x:c r="Q64" s="33" t="str">
        <x:f>'Raw Results'!BB17</x:f>
        <x:v>0.022734199999831617</x:v>
      </x:c>
      <x:c r="R64" s="30" t="n">
        <x:f>IF('Raw Results'!BC17="True",1,0)</x:f>
        <x:v>1</x:v>
      </x:c>
      <x:c r="S64" s="30" t="n">
        <x:f>N64*R64</x:f>
        <x:v>1</x:v>
      </x:c>
      <x:c r="T64" s="30" t="n">
        <x:f>P64-L64</x:f>
        <x:v>0</x:v>
      </x:c>
      <x:c r="U64" s="30" t="n">
        <x:f>O64-K64</x:f>
        <x:v>-21</x:v>
      </x:c>
      <x:c r="V64" s="34" t="n">
        <x:f>Q64-M64</x:f>
        <x:v>-0.004662699997425079</x:v>
      </x:c>
      <x:c r="W64" s="35" t="n">
        <x:f>IF(L64=0,"",P64/L64)</x:f>
        <x:v>1</x:v>
      </x:c>
      <x:c r="X64" s="30" t="n">
        <x:f>K64-L64</x:f>
        <x:v>54</x:v>
      </x:c>
      <x:c r="Y64" s="30" t="n">
        <x:f>O64-P64</x:f>
        <x:v>33</x:v>
      </x:c>
      <x:c r="Z64" s="29" t="str">
        <x:f>IF(S64=0,"Excluded",IF(T64&lt;0,"Collision",IF(T64&gt;0,"Entropy","Tie")))</x:f>
        <x:v>Tie</x:v>
      </x:c>
      <x:c r="AA64" s="29" t="str">
        <x:f>IF(V64&lt;0,"Collision",IF(V64&gt;0,"Entropy","Tie"))</x:f>
        <x:v>Collision</x:v>
      </x:c>
      <x:c r="AB64" s="29" t="str">
        <x:f>'Raw Results'!BM17</x:f>
        <x:v>none</x:v>
      </x:c>
    </x:row>
    <x:row r="65">
      <x:c r="A65" s="29" t="str">
        <x:v>ICH</x:v>
      </x:c>
      <x:c r="B65" s="30" t="str">
        <x:f>'Raw Results'!A17</x:f>
        <x:v>100</x:v>
      </x:c>
      <x:c r="C65" s="31" t="str">
        <x:f>'Raw Results'!B17</x:f>
        <x:v>0.3</x:v>
      </x:c>
      <x:c r="D65" s="30" t="str">
        <x:f>'Raw Results'!C17</x:f>
        <x:v>1</x:v>
      </x:c>
      <x:c r="E65" s="30" t="str">
        <x:f>'Raw Results'!D17</x:f>
        <x:v>3343778646</x:v>
      </x:c>
      <x:c r="F65" s="30" t="str">
        <x:f>'Raw Results'!E17</x:f>
        <x:v>1082</x:v>
      </x:c>
      <x:c r="G65" s="30" t="str">
        <x:f>'Raw Results'!F17</x:f>
        <x:v>1</x:v>
      </x:c>
      <x:c r="H65" s="30" t="str">
        <x:f>'Raw Results'!G17</x:f>
        <x:v>100</x:v>
      </x:c>
      <x:c r="I65" s="32" t="str">
        <x:f>'Raw Results'!H17</x:f>
        <x:v>21.64</x:v>
      </x:c>
      <x:c r="J65" s="33" t="str">
        <x:f>'Raw Results'!I17</x:f>
        <x:v>0.21858585858585858</x:v>
      </x:c>
      <x:c r="K65" s="30" t="str">
        <x:f>'Raw Results'!BN17</x:f>
        <x:v>22</x:v>
      </x:c>
      <x:c r="L65" s="30" t="str">
        <x:f>'Raw Results'!BO17</x:f>
        <x:v>22</x:v>
      </x:c>
      <x:c r="M65" s="33" t="str">
        <x:f>'Raw Results'!BP17</x:f>
        <x:v>0.20185449998825788</x:v>
      </x:c>
      <x:c r="N65" s="30" t="n">
        <x:f>IF('Raw Results'!BQ17="True",1,0)</x:f>
        <x:v>1</x:v>
      </x:c>
      <x:c r="O65" s="30" t="str">
        <x:f>'Raw Results'!BR17</x:f>
        <x:v>23</x:v>
      </x:c>
      <x:c r="P65" s="30" t="str">
        <x:f>'Raw Results'!BS17</x:f>
        <x:v>23</x:v>
      </x:c>
      <x:c r="Q65" s="33" t="str">
        <x:f>'Raw Results'!BT17</x:f>
        <x:v>0.18259199999738485</x:v>
      </x:c>
      <x:c r="R65" s="30" t="n">
        <x:f>IF('Raw Results'!BU17="True",1,0)</x:f>
        <x:v>1</x:v>
      </x:c>
      <x:c r="S65" s="30" t="n">
        <x:f>N65*R65</x:f>
        <x:v>1</x:v>
      </x:c>
      <x:c r="T65" s="30" t="n">
        <x:f>P65-L65</x:f>
        <x:v>1</x:v>
      </x:c>
      <x:c r="U65" s="30" t="n">
        <x:f>O65-K65</x:f>
        <x:v>1</x:v>
      </x:c>
      <x:c r="V65" s="34" t="n">
        <x:f>Q65-M65</x:f>
        <x:v>-0.01926249999087304</x:v>
      </x:c>
      <x:c r="W65" s="35" t="n">
        <x:f>IF(L65=0,"",P65/L65)</x:f>
        <x:v>1.0454545454545454</x:v>
      </x:c>
      <x:c r="X65" s="30" t="n">
        <x:f>K65-L65</x:f>
        <x:v>0</x:v>
      </x:c>
      <x:c r="Y65" s="30" t="n">
        <x:f>O65-P65</x:f>
        <x:v>0</x:v>
      </x:c>
      <x:c r="Z65" s="29" t="str">
        <x:f>IF(S65=0,"Excluded",IF(T65&lt;0,"Collision",IF(T65&gt;0,"Entropy","Tie")))</x:f>
        <x:v>Entropy</x:v>
      </x:c>
      <x:c r="AA65" s="29" t="str">
        <x:f>IF(V65&lt;0,"Collision",IF(V65&gt;0,"Entropy","Tie"))</x:f>
        <x:v>Collision</x:v>
      </x:c>
      <x:c r="AB65" s="29" t="str">
        <x:f>'Raw Results'!CE17</x:f>
        <x:v>none</x:v>
      </x:c>
    </x:row>
    <x:row r="66">
      <x:c r="A66" s="29" t="str">
        <x:v>Grid</x:v>
      </x:c>
      <x:c r="B66" s="30" t="str">
        <x:f>'Raw Results'!A18</x:f>
        <x:v>100</x:v>
      </x:c>
      <x:c r="C66" s="31" t="str">
        <x:f>'Raw Results'!B18</x:f>
        <x:v>0.3</x:v>
      </x:c>
      <x:c r="D66" s="30" t="str">
        <x:f>'Raw Results'!C18</x:f>
        <x:v>2</x:v>
      </x:c>
      <x:c r="E66" s="30" t="str">
        <x:f>'Raw Results'!D18</x:f>
        <x:v>1469195711</x:v>
      </x:c>
      <x:c r="F66" s="30" t="str">
        <x:f>'Raw Results'!E18</x:f>
        <x:v>1093</x:v>
      </x:c>
      <x:c r="G66" s="30" t="str">
        <x:f>'Raw Results'!F18</x:f>
        <x:v>1</x:v>
      </x:c>
      <x:c r="H66" s="30" t="str">
        <x:f>'Raw Results'!G18</x:f>
        <x:v>100</x:v>
      </x:c>
      <x:c r="I66" s="32" t="str">
        <x:f>'Raw Results'!H18</x:f>
        <x:v>21.86</x:v>
      </x:c>
      <x:c r="J66" s="33" t="str">
        <x:f>'Raw Results'!I18</x:f>
        <x:v>0.22080808080808081</x:v>
      </x:c>
      <x:c r="K66" s="30" t="str">
        <x:f>'Raw Results'!L18</x:f>
        <x:v>75</x:v>
      </x:c>
      <x:c r="L66" s="30" t="str">
        <x:f>'Raw Results'!M18</x:f>
        <x:v>22</x:v>
      </x:c>
      <x:c r="M66" s="33" t="str">
        <x:f>'Raw Results'!N18</x:f>
        <x:v>0.03185040003154427</x:v>
      </x:c>
      <x:c r="N66" s="30" t="n">
        <x:f>IF('Raw Results'!O18="True",1,0)</x:f>
        <x:v>1</x:v>
      </x:c>
      <x:c r="O66" s="30" t="str">
        <x:f>'Raw Results'!P18</x:f>
        <x:v>41</x:v>
      </x:c>
      <x:c r="P66" s="30" t="str">
        <x:f>'Raw Results'!Q18</x:f>
        <x:v>41</x:v>
      </x:c>
      <x:c r="Q66" s="33" t="str">
        <x:f>'Raw Results'!R18</x:f>
        <x:v>0.01819129998330027</x:v>
      </x:c>
      <x:c r="R66" s="30" t="n">
        <x:f>IF('Raw Results'!S18="True",1,0)</x:f>
        <x:v>0</x:v>
      </x:c>
      <x:c r="S66" s="30" t="n">
        <x:f>N66*R66</x:f>
        <x:v>0</x:v>
      </x:c>
      <x:c r="T66" s="30" t="n">
        <x:f>P66-L66</x:f>
        <x:v>19</x:v>
      </x:c>
      <x:c r="U66" s="30" t="n">
        <x:f>O66-K66</x:f>
        <x:v>-34</x:v>
      </x:c>
      <x:c r="V66" s="34" t="n">
        <x:f>Q66-M66</x:f>
        <x:v>-0.013659100048244</x:v>
      </x:c>
      <x:c r="W66" s="35" t="n">
        <x:f>IF(L66=0,"",P66/L66)</x:f>
        <x:v>1.8636363636363635</x:v>
      </x:c>
      <x:c r="X66" s="30" t="n">
        <x:f>K66-L66</x:f>
        <x:v>53</x:v>
      </x:c>
      <x:c r="Y66" s="30" t="n">
        <x:f>O66-P66</x:f>
        <x:v>0</x:v>
      </x:c>
      <x:c r="Z66" s="29" t="str">
        <x:f>IF(S66=0,"Excluded",IF(T66&lt;0,"Collision",IF(T66&gt;0,"Entropy","Tie")))</x:f>
        <x:v>Excluded</x:v>
      </x:c>
      <x:c r="AA66" s="29" t="str">
        <x:f>IF(V66&lt;0,"Collision",IF(V66&gt;0,"Entropy","Tie"))</x:f>
        <x:v>Collision</x:v>
      </x:c>
      <x:c r="AB66" s="29" t="str">
        <x:f>'Raw Results'!AC18</x:f>
        <x:v>large_and_invalid</x:v>
      </x:c>
    </x:row>
    <x:row r="67">
      <x:c r="A67" s="29" t="str">
        <x:v>Circle</x:v>
      </x:c>
      <x:c r="B67" s="30" t="str">
        <x:f>'Raw Results'!A18</x:f>
        <x:v>100</x:v>
      </x:c>
      <x:c r="C67" s="31" t="str">
        <x:f>'Raw Results'!B18</x:f>
        <x:v>0.3</x:v>
      </x:c>
      <x:c r="D67" s="30" t="str">
        <x:f>'Raw Results'!C18</x:f>
        <x:v>2</x:v>
      </x:c>
      <x:c r="E67" s="30" t="str">
        <x:f>'Raw Results'!D18</x:f>
        <x:v>1469195711</x:v>
      </x:c>
      <x:c r="F67" s="30" t="str">
        <x:f>'Raw Results'!E18</x:f>
        <x:v>1093</x:v>
      </x:c>
      <x:c r="G67" s="30" t="str">
        <x:f>'Raw Results'!F18</x:f>
        <x:v>1</x:v>
      </x:c>
      <x:c r="H67" s="30" t="str">
        <x:f>'Raw Results'!G18</x:f>
        <x:v>100</x:v>
      </x:c>
      <x:c r="I67" s="32" t="str">
        <x:f>'Raw Results'!H18</x:f>
        <x:v>21.86</x:v>
      </x:c>
      <x:c r="J67" s="33" t="str">
        <x:f>'Raw Results'!I18</x:f>
        <x:v>0.22080808080808081</x:v>
      </x:c>
      <x:c r="K67" s="30" t="str">
        <x:f>'Raw Results'!AD18</x:f>
        <x:v>73</x:v>
      </x:c>
      <x:c r="L67" s="30" t="str">
        <x:f>'Raw Results'!AE18</x:f>
        <x:v>23</x:v>
      </x:c>
      <x:c r="M67" s="33" t="str">
        <x:f>'Raw Results'!AF18</x:f>
        <x:v>0.02003900008276105</x:v>
      </x:c>
      <x:c r="N67" s="30" t="n">
        <x:f>IF('Raw Results'!AG18="True",1,0)</x:f>
        <x:v>1</x:v>
      </x:c>
      <x:c r="O67" s="30" t="str">
        <x:f>'Raw Results'!AH18</x:f>
        <x:v>58</x:v>
      </x:c>
      <x:c r="P67" s="30" t="str">
        <x:f>'Raw Results'!AI18</x:f>
        <x:v>23</x:v>
      </x:c>
      <x:c r="Q67" s="33" t="str">
        <x:f>'Raw Results'!AJ18</x:f>
        <x:v>0.017046399996615946</x:v>
      </x:c>
      <x:c r="R67" s="30" t="n">
        <x:f>IF('Raw Results'!AK18="True",1,0)</x:f>
        <x:v>1</x:v>
      </x:c>
      <x:c r="S67" s="30" t="n">
        <x:f>N67*R67</x:f>
        <x:v>1</x:v>
      </x:c>
      <x:c r="T67" s="30" t="n">
        <x:f>P67-L67</x:f>
        <x:v>0</x:v>
      </x:c>
      <x:c r="U67" s="30" t="n">
        <x:f>O67-K67</x:f>
        <x:v>-15</x:v>
      </x:c>
      <x:c r="V67" s="34" t="n">
        <x:f>Q67-M67</x:f>
        <x:v>-0.002992600086145103</x:v>
      </x:c>
      <x:c r="W67" s="35" t="n">
        <x:f>IF(L67=0,"",P67/L67)</x:f>
        <x:v>1</x:v>
      </x:c>
      <x:c r="X67" s="30" t="n">
        <x:f>K67-L67</x:f>
        <x:v>50</x:v>
      </x:c>
      <x:c r="Y67" s="30" t="n">
        <x:f>O67-P67</x:f>
        <x:v>35</x:v>
      </x:c>
      <x:c r="Z67" s="29" t="str">
        <x:f>IF(S67=0,"Excluded",IF(T67&lt;0,"Collision",IF(T67&gt;0,"Entropy","Tie")))</x:f>
        <x:v>Tie</x:v>
      </x:c>
      <x:c r="AA67" s="29" t="str">
        <x:f>IF(V67&lt;0,"Collision",IF(V67&gt;0,"Entropy","Tie"))</x:f>
        <x:v>Collision</x:v>
      </x:c>
      <x:c r="AB67" s="29" t="str">
        <x:f>'Raw Results'!AU18</x:f>
        <x:v>none</x:v>
      </x:c>
    </x:row>
    <x:row r="68">
      <x:c r="A68" s="29" t="str">
        <x:v>Zoomed Square</x:v>
      </x:c>
      <x:c r="B68" s="30" t="str">
        <x:f>'Raw Results'!A18</x:f>
        <x:v>100</x:v>
      </x:c>
      <x:c r="C68" s="31" t="str">
        <x:f>'Raw Results'!B18</x:f>
        <x:v>0.3</x:v>
      </x:c>
      <x:c r="D68" s="30" t="str">
        <x:f>'Raw Results'!C18</x:f>
        <x:v>2</x:v>
      </x:c>
      <x:c r="E68" s="30" t="str">
        <x:f>'Raw Results'!D18</x:f>
        <x:v>1469195711</x:v>
      </x:c>
      <x:c r="F68" s="30" t="str">
        <x:f>'Raw Results'!E18</x:f>
        <x:v>1093</x:v>
      </x:c>
      <x:c r="G68" s="30" t="str">
        <x:f>'Raw Results'!F18</x:f>
        <x:v>1</x:v>
      </x:c>
      <x:c r="H68" s="30" t="str">
        <x:f>'Raw Results'!G18</x:f>
        <x:v>100</x:v>
      </x:c>
      <x:c r="I68" s="32" t="str">
        <x:f>'Raw Results'!H18</x:f>
        <x:v>21.86</x:v>
      </x:c>
      <x:c r="J68" s="33" t="str">
        <x:f>'Raw Results'!I18</x:f>
        <x:v>0.22080808080808081</x:v>
      </x:c>
      <x:c r="K68" s="30" t="str">
        <x:f>'Raw Results'!AV18</x:f>
        <x:v>79</x:v>
      </x:c>
      <x:c r="L68" s="30" t="str">
        <x:f>'Raw Results'!AW18</x:f>
        <x:v>22</x:v>
      </x:c>
      <x:c r="M68" s="33" t="str">
        <x:f>'Raw Results'!AX18</x:f>
        <x:v>0.025582100031897426</x:v>
      </x:c>
      <x:c r="N68" s="30" t="n">
        <x:f>IF('Raw Results'!AY18="True",1,0)</x:f>
        <x:v>1</x:v>
      </x:c>
      <x:c r="O68" s="30" t="str">
        <x:f>'Raw Results'!AZ18</x:f>
        <x:v>54</x:v>
      </x:c>
      <x:c r="P68" s="30" t="str">
        <x:f>'Raw Results'!BA18</x:f>
        <x:v>23</x:v>
      </x:c>
      <x:c r="Q68" s="33" t="str">
        <x:f>'Raw Results'!BB18</x:f>
        <x:v>0.0229203999042511</x:v>
      </x:c>
      <x:c r="R68" s="30" t="n">
        <x:f>IF('Raw Results'!BC18="True",1,0)</x:f>
        <x:v>1</x:v>
      </x:c>
      <x:c r="S68" s="30" t="n">
        <x:f>N68*R68</x:f>
        <x:v>1</x:v>
      </x:c>
      <x:c r="T68" s="30" t="n">
        <x:f>P68-L68</x:f>
        <x:v>1</x:v>
      </x:c>
      <x:c r="U68" s="30" t="n">
        <x:f>O68-K68</x:f>
        <x:v>-25</x:v>
      </x:c>
      <x:c r="V68" s="34" t="n">
        <x:f>Q68-M68</x:f>
        <x:v>-0.002661700127646327</x:v>
      </x:c>
      <x:c r="W68" s="35" t="n">
        <x:f>IF(L68=0,"",P68/L68)</x:f>
        <x:v>1.0454545454545454</x:v>
      </x:c>
      <x:c r="X68" s="30" t="n">
        <x:f>K68-L68</x:f>
        <x:v>57</x:v>
      </x:c>
      <x:c r="Y68" s="30" t="n">
        <x:f>O68-P68</x:f>
        <x:v>31</x:v>
      </x:c>
      <x:c r="Z68" s="29" t="str">
        <x:f>IF(S68=0,"Excluded",IF(T68&lt;0,"Collision",IF(T68&gt;0,"Entropy","Tie")))</x:f>
        <x:v>Entropy</x:v>
      </x:c>
      <x:c r="AA68" s="29" t="str">
        <x:f>IF(V68&lt;0,"Collision",IF(V68&gt;0,"Entropy","Tie"))</x:f>
        <x:v>Collision</x:v>
      </x:c>
      <x:c r="AB68" s="29" t="str">
        <x:f>'Raw Results'!BM18</x:f>
        <x:v>none</x:v>
      </x:c>
    </x:row>
    <x:row r="69">
      <x:c r="A69" s="29" t="str">
        <x:v>ICH</x:v>
      </x:c>
      <x:c r="B69" s="30" t="str">
        <x:f>'Raw Results'!A18</x:f>
        <x:v>100</x:v>
      </x:c>
      <x:c r="C69" s="31" t="str">
        <x:f>'Raw Results'!B18</x:f>
        <x:v>0.3</x:v>
      </x:c>
      <x:c r="D69" s="30" t="str">
        <x:f>'Raw Results'!C18</x:f>
        <x:v>2</x:v>
      </x:c>
      <x:c r="E69" s="30" t="str">
        <x:f>'Raw Results'!D18</x:f>
        <x:v>1469195711</x:v>
      </x:c>
      <x:c r="F69" s="30" t="str">
        <x:f>'Raw Results'!E18</x:f>
        <x:v>1093</x:v>
      </x:c>
      <x:c r="G69" s="30" t="str">
        <x:f>'Raw Results'!F18</x:f>
        <x:v>1</x:v>
      </x:c>
      <x:c r="H69" s="30" t="str">
        <x:f>'Raw Results'!G18</x:f>
        <x:v>100</x:v>
      </x:c>
      <x:c r="I69" s="32" t="str">
        <x:f>'Raw Results'!H18</x:f>
        <x:v>21.86</x:v>
      </x:c>
      <x:c r="J69" s="33" t="str">
        <x:f>'Raw Results'!I18</x:f>
        <x:v>0.22080808080808081</x:v>
      </x:c>
      <x:c r="K69" s="30" t="str">
        <x:f>'Raw Results'!BN18</x:f>
        <x:v>21</x:v>
      </x:c>
      <x:c r="L69" s="30" t="str">
        <x:f>'Raw Results'!BO18</x:f>
        <x:v>21</x:v>
      </x:c>
      <x:c r="M69" s="33" t="str">
        <x:f>'Raw Results'!BP18</x:f>
        <x:v>0.19510430004447699</x:v>
      </x:c>
      <x:c r="N69" s="30" t="n">
        <x:f>IF('Raw Results'!BQ18="True",1,0)</x:f>
        <x:v>1</x:v>
      </x:c>
      <x:c r="O69" s="30" t="str">
        <x:f>'Raw Results'!BR18</x:f>
        <x:v>21</x:v>
      </x:c>
      <x:c r="P69" s="30" t="str">
        <x:f>'Raw Results'!BS18</x:f>
        <x:v>21</x:v>
      </x:c>
      <x:c r="Q69" s="33" t="str">
        <x:f>'Raw Results'!BT18</x:f>
        <x:v>0.17289109993726015</x:v>
      </x:c>
      <x:c r="R69" s="30" t="n">
        <x:f>IF('Raw Results'!BU18="True",1,0)</x:f>
        <x:v>1</x:v>
      </x:c>
      <x:c r="S69" s="30" t="n">
        <x:f>N69*R69</x:f>
        <x:v>1</x:v>
      </x:c>
      <x:c r="T69" s="30" t="n">
        <x:f>P69-L69</x:f>
        <x:v>0</x:v>
      </x:c>
      <x:c r="U69" s="30" t="n">
        <x:f>O69-K69</x:f>
        <x:v>0</x:v>
      </x:c>
      <x:c r="V69" s="34" t="n">
        <x:f>Q69-M69</x:f>
        <x:v>-0.022213200107216835</x:v>
      </x:c>
      <x:c r="W69" s="35" t="n">
        <x:f>IF(L69=0,"",P69/L69)</x:f>
        <x:v>1</x:v>
      </x:c>
      <x:c r="X69" s="30" t="n">
        <x:f>K69-L69</x:f>
        <x:v>0</x:v>
      </x:c>
      <x:c r="Y69" s="30" t="n">
        <x:f>O69-P69</x:f>
        <x:v>0</x:v>
      </x:c>
      <x:c r="Z69" s="29" t="str">
        <x:f>IF(S69=0,"Excluded",IF(T69&lt;0,"Collision",IF(T69&gt;0,"Entropy","Tie")))</x:f>
        <x:v>Tie</x:v>
      </x:c>
      <x:c r="AA69" s="29" t="str">
        <x:f>IF(V69&lt;0,"Collision",IF(V69&gt;0,"Entropy","Tie"))</x:f>
        <x:v>Collision</x:v>
      </x:c>
      <x:c r="AB69" s="29" t="str">
        <x:f>'Raw Results'!CE18</x:f>
        <x:v>none</x:v>
      </x:c>
    </x:row>
    <x:row r="70">
      <x:c r="A70" s="29" t="str">
        <x:v>Grid</x:v>
      </x:c>
      <x:c r="B70" s="30" t="str">
        <x:f>'Raw Results'!A19</x:f>
        <x:v>100</x:v>
      </x:c>
      <x:c r="C70" s="31" t="str">
        <x:f>'Raw Results'!B19</x:f>
        <x:v>0.3</x:v>
      </x:c>
      <x:c r="D70" s="30" t="str">
        <x:f>'Raw Results'!C19</x:f>
        <x:v>3</x:v>
      </x:c>
      <x:c r="E70" s="30" t="str">
        <x:f>'Raw Results'!D19</x:f>
        <x:v>4234583871</x:v>
      </x:c>
      <x:c r="F70" s="30" t="str">
        <x:f>'Raw Results'!E19</x:f>
        <x:v>1039</x:v>
      </x:c>
      <x:c r="G70" s="30" t="str">
        <x:f>'Raw Results'!F19</x:f>
        <x:v>1</x:v>
      </x:c>
      <x:c r="H70" s="30" t="str">
        <x:f>'Raw Results'!G19</x:f>
        <x:v>100</x:v>
      </x:c>
      <x:c r="I70" s="32" t="str">
        <x:f>'Raw Results'!H19</x:f>
        <x:v>20.78</x:v>
      </x:c>
      <x:c r="J70" s="33" t="str">
        <x:f>'Raw Results'!I19</x:f>
        <x:v>0.2098989898989899</x:v>
      </x:c>
      <x:c r="K70" s="30" t="str">
        <x:f>'Raw Results'!L19</x:f>
        <x:v>72</x:v>
      </x:c>
      <x:c r="L70" s="30" t="str">
        <x:f>'Raw Results'!M19</x:f>
        <x:v>22</x:v>
      </x:c>
      <x:c r="M70" s="33" t="str">
        <x:f>'Raw Results'!N19</x:f>
        <x:v>0.021869100048206747</x:v>
      </x:c>
      <x:c r="N70" s="30" t="n">
        <x:f>IF('Raw Results'!O19="True",1,0)</x:f>
        <x:v>1</x:v>
      </x:c>
      <x:c r="O70" s="30" t="str">
        <x:f>'Raw Results'!P19</x:f>
        <x:v>40</x:v>
      </x:c>
      <x:c r="P70" s="30" t="str">
        <x:f>'Raw Results'!Q19</x:f>
        <x:v>21</x:v>
      </x:c>
      <x:c r="Q70" s="33" t="str">
        <x:f>'Raw Results'!R19</x:f>
        <x:v>0.017447999911382794</x:v>
      </x:c>
      <x:c r="R70" s="30" t="n">
        <x:f>IF('Raw Results'!S19="True",1,0)</x:f>
        <x:v>1</x:v>
      </x:c>
      <x:c r="S70" s="30" t="n">
        <x:f>N70*R70</x:f>
        <x:v>1</x:v>
      </x:c>
      <x:c r="T70" s="30" t="n">
        <x:f>P70-L70</x:f>
        <x:v>-1</x:v>
      </x:c>
      <x:c r="U70" s="30" t="n">
        <x:f>O70-K70</x:f>
        <x:v>-32</x:v>
      </x:c>
      <x:c r="V70" s="34" t="n">
        <x:f>Q70-M70</x:f>
        <x:v>-0.004421100136823952</x:v>
      </x:c>
      <x:c r="W70" s="35" t="n">
        <x:f>IF(L70=0,"",P70/L70)</x:f>
        <x:v>0.9545454545454546</x:v>
      </x:c>
      <x:c r="X70" s="30" t="n">
        <x:f>K70-L70</x:f>
        <x:v>50</x:v>
      </x:c>
      <x:c r="Y70" s="30" t="n">
        <x:f>O70-P70</x:f>
        <x:v>19</x:v>
      </x:c>
      <x:c r="Z70" s="29" t="str">
        <x:f>IF(S70=0,"Excluded",IF(T70&lt;0,"Collision",IF(T70&gt;0,"Entropy","Tie")))</x:f>
        <x:v>Collision</x:v>
      </x:c>
      <x:c r="AA70" s="29" t="str">
        <x:f>IF(V70&lt;0,"Collision",IF(V70&gt;0,"Entropy","Tie"))</x:f>
        <x:v>Collision</x:v>
      </x:c>
      <x:c r="AB70" s="29" t="str">
        <x:f>'Raw Results'!AC19</x:f>
        <x:v>none</x:v>
      </x:c>
    </x:row>
    <x:row r="71">
      <x:c r="A71" s="29" t="str">
        <x:v>Circle</x:v>
      </x:c>
      <x:c r="B71" s="30" t="str">
        <x:f>'Raw Results'!A19</x:f>
        <x:v>100</x:v>
      </x:c>
      <x:c r="C71" s="31" t="str">
        <x:f>'Raw Results'!B19</x:f>
        <x:v>0.3</x:v>
      </x:c>
      <x:c r="D71" s="30" t="str">
        <x:f>'Raw Results'!C19</x:f>
        <x:v>3</x:v>
      </x:c>
      <x:c r="E71" s="30" t="str">
        <x:f>'Raw Results'!D19</x:f>
        <x:v>4234583871</x:v>
      </x:c>
      <x:c r="F71" s="30" t="str">
        <x:f>'Raw Results'!E19</x:f>
        <x:v>1039</x:v>
      </x:c>
      <x:c r="G71" s="30" t="str">
        <x:f>'Raw Results'!F19</x:f>
        <x:v>1</x:v>
      </x:c>
      <x:c r="H71" s="30" t="str">
        <x:f>'Raw Results'!G19</x:f>
        <x:v>100</x:v>
      </x:c>
      <x:c r="I71" s="32" t="str">
        <x:f>'Raw Results'!H19</x:f>
        <x:v>20.78</x:v>
      </x:c>
      <x:c r="J71" s="33" t="str">
        <x:f>'Raw Results'!I19</x:f>
        <x:v>0.2098989898989899</x:v>
      </x:c>
      <x:c r="K71" s="30" t="str">
        <x:f>'Raw Results'!AD19</x:f>
        <x:v>83</x:v>
      </x:c>
      <x:c r="L71" s="30" t="str">
        <x:f>'Raw Results'!AE19</x:f>
        <x:v>19</x:v>
      </x:c>
      <x:c r="M71" s="33" t="str">
        <x:f>'Raw Results'!AF19</x:f>
        <x:v>0.021746600046753883</x:v>
      </x:c>
      <x:c r="N71" s="30" t="n">
        <x:f>IF('Raw Results'!AG19="True",1,0)</x:f>
        <x:v>1</x:v>
      </x:c>
      <x:c r="O71" s="30" t="str">
        <x:f>'Raw Results'!AH19</x:f>
        <x:v>70</x:v>
      </x:c>
      <x:c r="P71" s="30" t="str">
        <x:f>'Raw Results'!AI19</x:f>
        <x:v>20</x:v>
      </x:c>
      <x:c r="Q71" s="33" t="str">
        <x:f>'Raw Results'!AJ19</x:f>
        <x:v>0.01487830001860857</x:v>
      </x:c>
      <x:c r="R71" s="30" t="n">
        <x:f>IF('Raw Results'!AK19="True",1,0)</x:f>
        <x:v>1</x:v>
      </x:c>
      <x:c r="S71" s="30" t="n">
        <x:f>N71*R71</x:f>
        <x:v>1</x:v>
      </x:c>
      <x:c r="T71" s="30" t="n">
        <x:f>P71-L71</x:f>
        <x:v>1</x:v>
      </x:c>
      <x:c r="U71" s="30" t="n">
        <x:f>O71-K71</x:f>
        <x:v>-13</x:v>
      </x:c>
      <x:c r="V71" s="34" t="n">
        <x:f>Q71-M71</x:f>
        <x:v>-0.006868300028145313</x:v>
      </x:c>
      <x:c r="W71" s="35" t="n">
        <x:f>IF(L71=0,"",P71/L71)</x:f>
        <x:v>1.0526315789473684</x:v>
      </x:c>
      <x:c r="X71" s="30" t="n">
        <x:f>K71-L71</x:f>
        <x:v>64</x:v>
      </x:c>
      <x:c r="Y71" s="30" t="n">
        <x:f>O71-P71</x:f>
        <x:v>50</x:v>
      </x:c>
      <x:c r="Z71" s="29" t="str">
        <x:f>IF(S71=0,"Excluded",IF(T71&lt;0,"Collision",IF(T71&gt;0,"Entropy","Tie")))</x:f>
        <x:v>Entropy</x:v>
      </x:c>
      <x:c r="AA71" s="29" t="str">
        <x:f>IF(V71&lt;0,"Collision",IF(V71&gt;0,"Entropy","Tie"))</x:f>
        <x:v>Collision</x:v>
      </x:c>
      <x:c r="AB71" s="29" t="str">
        <x:f>'Raw Results'!AU19</x:f>
        <x:v>none</x:v>
      </x:c>
    </x:row>
    <x:row r="72">
      <x:c r="A72" s="29" t="str">
        <x:v>Zoomed Square</x:v>
      </x:c>
      <x:c r="B72" s="30" t="str">
        <x:f>'Raw Results'!A19</x:f>
        <x:v>100</x:v>
      </x:c>
      <x:c r="C72" s="31" t="str">
        <x:f>'Raw Results'!B19</x:f>
        <x:v>0.3</x:v>
      </x:c>
      <x:c r="D72" s="30" t="str">
        <x:f>'Raw Results'!C19</x:f>
        <x:v>3</x:v>
      </x:c>
      <x:c r="E72" s="30" t="str">
        <x:f>'Raw Results'!D19</x:f>
        <x:v>4234583871</x:v>
      </x:c>
      <x:c r="F72" s="30" t="str">
        <x:f>'Raw Results'!E19</x:f>
        <x:v>1039</x:v>
      </x:c>
      <x:c r="G72" s="30" t="str">
        <x:f>'Raw Results'!F19</x:f>
        <x:v>1</x:v>
      </x:c>
      <x:c r="H72" s="30" t="str">
        <x:f>'Raw Results'!G19</x:f>
        <x:v>100</x:v>
      </x:c>
      <x:c r="I72" s="32" t="str">
        <x:f>'Raw Results'!H19</x:f>
        <x:v>20.78</x:v>
      </x:c>
      <x:c r="J72" s="33" t="str">
        <x:f>'Raw Results'!I19</x:f>
        <x:v>0.2098989898989899</x:v>
      </x:c>
      <x:c r="K72" s="30" t="str">
        <x:f>'Raw Results'!AV19</x:f>
        <x:v>78</x:v>
      </x:c>
      <x:c r="L72" s="30" t="str">
        <x:f>'Raw Results'!AW19</x:f>
        <x:v>20</x:v>
      </x:c>
      <x:c r="M72" s="33" t="str">
        <x:f>'Raw Results'!AX19</x:f>
        <x:v>0.022965500014834106</x:v>
      </x:c>
      <x:c r="N72" s="30" t="n">
        <x:f>IF('Raw Results'!AY19="True",1,0)</x:f>
        <x:v>1</x:v>
      </x:c>
      <x:c r="O72" s="30" t="str">
        <x:f>'Raw Results'!AZ19</x:f>
        <x:v>53</x:v>
      </x:c>
      <x:c r="P72" s="30" t="str">
        <x:f>'Raw Results'!BA19</x:f>
        <x:v>20</x:v>
      </x:c>
      <x:c r="Q72" s="33" t="str">
        <x:f>'Raw Results'!BB19</x:f>
        <x:v>0.017698099953122437</x:v>
      </x:c>
      <x:c r="R72" s="30" t="n">
        <x:f>IF('Raw Results'!BC19="True",1,0)</x:f>
        <x:v>1</x:v>
      </x:c>
      <x:c r="S72" s="30" t="n">
        <x:f>N72*R72</x:f>
        <x:v>1</x:v>
      </x:c>
      <x:c r="T72" s="30" t="n">
        <x:f>P72-L72</x:f>
        <x:v>0</x:v>
      </x:c>
      <x:c r="U72" s="30" t="n">
        <x:f>O72-K72</x:f>
        <x:v>-25</x:v>
      </x:c>
      <x:c r="V72" s="34" t="n">
        <x:f>Q72-M72</x:f>
        <x:v>-0.005267400061711669</x:v>
      </x:c>
      <x:c r="W72" s="35" t="n">
        <x:f>IF(L72=0,"",P72/L72)</x:f>
        <x:v>1</x:v>
      </x:c>
      <x:c r="X72" s="30" t="n">
        <x:f>K72-L72</x:f>
        <x:v>58</x:v>
      </x:c>
      <x:c r="Y72" s="30" t="n">
        <x:f>O72-P72</x:f>
        <x:v>33</x:v>
      </x:c>
      <x:c r="Z72" s="29" t="str">
        <x:f>IF(S72=0,"Excluded",IF(T72&lt;0,"Collision",IF(T72&gt;0,"Entropy","Tie")))</x:f>
        <x:v>Tie</x:v>
      </x:c>
      <x:c r="AA72" s="29" t="str">
        <x:f>IF(V72&lt;0,"Collision",IF(V72&gt;0,"Entropy","Tie"))</x:f>
        <x:v>Collision</x:v>
      </x:c>
      <x:c r="AB72" s="29" t="str">
        <x:f>'Raw Results'!BM19</x:f>
        <x:v>none</x:v>
      </x:c>
    </x:row>
    <x:row r="73">
      <x:c r="A73" s="29" t="str">
        <x:v>ICH</x:v>
      </x:c>
      <x:c r="B73" s="30" t="str">
        <x:f>'Raw Results'!A19</x:f>
        <x:v>100</x:v>
      </x:c>
      <x:c r="C73" s="31" t="str">
        <x:f>'Raw Results'!B19</x:f>
        <x:v>0.3</x:v>
      </x:c>
      <x:c r="D73" s="30" t="str">
        <x:f>'Raw Results'!C19</x:f>
        <x:v>3</x:v>
      </x:c>
      <x:c r="E73" s="30" t="str">
        <x:f>'Raw Results'!D19</x:f>
        <x:v>4234583871</x:v>
      </x:c>
      <x:c r="F73" s="30" t="str">
        <x:f>'Raw Results'!E19</x:f>
        <x:v>1039</x:v>
      </x:c>
      <x:c r="G73" s="30" t="str">
        <x:f>'Raw Results'!F19</x:f>
        <x:v>1</x:v>
      </x:c>
      <x:c r="H73" s="30" t="str">
        <x:f>'Raw Results'!G19</x:f>
        <x:v>100</x:v>
      </x:c>
      <x:c r="I73" s="32" t="str">
        <x:f>'Raw Results'!H19</x:f>
        <x:v>20.78</x:v>
      </x:c>
      <x:c r="J73" s="33" t="str">
        <x:f>'Raw Results'!I19</x:f>
        <x:v>0.2098989898989899</x:v>
      </x:c>
      <x:c r="K73" s="30" t="str">
        <x:f>'Raw Results'!BN19</x:f>
        <x:v>19</x:v>
      </x:c>
      <x:c r="L73" s="30" t="str">
        <x:f>'Raw Results'!BO19</x:f>
        <x:v>19</x:v>
      </x:c>
      <x:c r="M73" s="33" t="str">
        <x:f>'Raw Results'!BP19</x:f>
        <x:v>0.16447059996426105</x:v>
      </x:c>
      <x:c r="N73" s="30" t="n">
        <x:f>IF('Raw Results'!BQ19="True",1,0)</x:f>
        <x:v>1</x:v>
      </x:c>
      <x:c r="O73" s="30" t="str">
        <x:f>'Raw Results'!BR19</x:f>
        <x:v>19</x:v>
      </x:c>
      <x:c r="P73" s="30" t="str">
        <x:f>'Raw Results'!BS19</x:f>
        <x:v>19</x:v>
      </x:c>
      <x:c r="Q73" s="33" t="str">
        <x:f>'Raw Results'!BT19</x:f>
        <x:v>0.15561040001921356</x:v>
      </x:c>
      <x:c r="R73" s="30" t="n">
        <x:f>IF('Raw Results'!BU19="True",1,0)</x:f>
        <x:v>1</x:v>
      </x:c>
      <x:c r="S73" s="30" t="n">
        <x:f>N73*R73</x:f>
        <x:v>1</x:v>
      </x:c>
      <x:c r="T73" s="30" t="n">
        <x:f>P73-L73</x:f>
        <x:v>0</x:v>
      </x:c>
      <x:c r="U73" s="30" t="n">
        <x:f>O73-K73</x:f>
        <x:v>0</x:v>
      </x:c>
      <x:c r="V73" s="34" t="n">
        <x:f>Q73-M73</x:f>
        <x:v>-0.008860199945047498</x:v>
      </x:c>
      <x:c r="W73" s="35" t="n">
        <x:f>IF(L73=0,"",P73/L73)</x:f>
        <x:v>1</x:v>
      </x:c>
      <x:c r="X73" s="30" t="n">
        <x:f>K73-L73</x:f>
        <x:v>0</x:v>
      </x:c>
      <x:c r="Y73" s="30" t="n">
        <x:f>O73-P73</x:f>
        <x:v>0</x:v>
      </x:c>
      <x:c r="Z73" s="29" t="str">
        <x:f>IF(S73=0,"Excluded",IF(T73&lt;0,"Collision",IF(T73&gt;0,"Entropy","Tie")))</x:f>
        <x:v>Tie</x:v>
      </x:c>
      <x:c r="AA73" s="29" t="str">
        <x:f>IF(V73&lt;0,"Collision",IF(V73&gt;0,"Entropy","Tie"))</x:f>
        <x:v>Collision</x:v>
      </x:c>
      <x:c r="AB73" s="29" t="str">
        <x:f>'Raw Results'!CE19</x:f>
        <x:v>none</x:v>
      </x:c>
    </x:row>
    <x:row r="74">
      <x:c r="A74" s="29" t="str">
        <x:v>Grid</x:v>
      </x:c>
      <x:c r="B74" s="30" t="str">
        <x:f>'Raw Results'!A20</x:f>
        <x:v>100</x:v>
      </x:c>
      <x:c r="C74" s="31" t="str">
        <x:f>'Raw Results'!B20</x:f>
        <x:v>0.5</x:v>
      </x:c>
      <x:c r="D74" s="30" t="str">
        <x:f>'Raw Results'!C20</x:f>
        <x:v>1</x:v>
      </x:c>
      <x:c r="E74" s="30" t="str">
        <x:f>'Raw Results'!D20</x:f>
        <x:v>188944305</x:v>
      </x:c>
      <x:c r="F74" s="30" t="str">
        <x:f>'Raw Results'!E20</x:f>
        <x:v>2405</x:v>
      </x:c>
      <x:c r="G74" s="30" t="str">
        <x:f>'Raw Results'!F20</x:f>
        <x:v>1</x:v>
      </x:c>
      <x:c r="H74" s="30" t="str">
        <x:f>'Raw Results'!G20</x:f>
        <x:v>100</x:v>
      </x:c>
      <x:c r="I74" s="32" t="str">
        <x:f>'Raw Results'!H20</x:f>
        <x:v>48.1</x:v>
      </x:c>
      <x:c r="J74" s="33" t="str">
        <x:f>'Raw Results'!I20</x:f>
        <x:v>0.4858585858585859</x:v>
      </x:c>
      <x:c r="K74" s="30" t="str">
        <x:f>'Raw Results'!L20</x:f>
        <x:v>78</x:v>
      </x:c>
      <x:c r="L74" s="30" t="str">
        <x:f>'Raw Results'!M20</x:f>
        <x:v>26</x:v>
      </x:c>
      <x:c r="M74" s="33" t="str">
        <x:f>'Raw Results'!N20</x:f>
        <x:v>0.15413259994238615</x:v>
      </x:c>
      <x:c r="N74" s="30" t="n">
        <x:f>IF('Raw Results'!O20="True",1,0)</x:f>
        <x:v>1</x:v>
      </x:c>
      <x:c r="O74" s="30" t="str">
        <x:f>'Raw Results'!P20</x:f>
        <x:v>24</x:v>
      </x:c>
      <x:c r="P74" s="30" t="str">
        <x:f>'Raw Results'!Q20</x:f>
        <x:v>24</x:v>
      </x:c>
      <x:c r="Q74" s="33" t="str">
        <x:f>'Raw Results'!R20</x:f>
        <x:v>0.08072980004362762</x:v>
      </x:c>
      <x:c r="R74" s="30" t="n">
        <x:f>IF('Raw Results'!S20="True",1,0)</x:f>
        <x:v>1</x:v>
      </x:c>
      <x:c r="S74" s="30" t="n">
        <x:f>N74*R74</x:f>
        <x:v>1</x:v>
      </x:c>
      <x:c r="T74" s="30" t="n">
        <x:f>P74-L74</x:f>
        <x:v>-2</x:v>
      </x:c>
      <x:c r="U74" s="30" t="n">
        <x:f>O74-K74</x:f>
        <x:v>-54</x:v>
      </x:c>
      <x:c r="V74" s="34" t="n">
        <x:f>Q74-M74</x:f>
        <x:v>-0.07340279989875853</x:v>
      </x:c>
      <x:c r="W74" s="35" t="n">
        <x:f>IF(L74=0,"",P74/L74)</x:f>
        <x:v>0.9230769230769231</x:v>
      </x:c>
      <x:c r="X74" s="30" t="n">
        <x:f>K74-L74</x:f>
        <x:v>52</x:v>
      </x:c>
      <x:c r="Y74" s="30" t="n">
        <x:f>O74-P74</x:f>
        <x:v>0</x:v>
      </x:c>
      <x:c r="Z74" s="29" t="str">
        <x:f>IF(S74=0,"Excluded",IF(T74&lt;0,"Collision",IF(T74&gt;0,"Entropy","Tie")))</x:f>
        <x:v>Collision</x:v>
      </x:c>
      <x:c r="AA74" s="29" t="str">
        <x:f>IF(V74&lt;0,"Collision",IF(V74&gt;0,"Entropy","Tie"))</x:f>
        <x:v>Collision</x:v>
      </x:c>
      <x:c r="AB74" s="29" t="str">
        <x:f>'Raw Results'!AC20</x:f>
        <x:v>none</x:v>
      </x:c>
    </x:row>
    <x:row r="75">
      <x:c r="A75" s="29" t="str">
        <x:v>Circle</x:v>
      </x:c>
      <x:c r="B75" s="30" t="str">
        <x:f>'Raw Results'!A20</x:f>
        <x:v>100</x:v>
      </x:c>
      <x:c r="C75" s="31" t="str">
        <x:f>'Raw Results'!B20</x:f>
        <x:v>0.5</x:v>
      </x:c>
      <x:c r="D75" s="30" t="str">
        <x:f>'Raw Results'!C20</x:f>
        <x:v>1</x:v>
      </x:c>
      <x:c r="E75" s="30" t="str">
        <x:f>'Raw Results'!D20</x:f>
        <x:v>188944305</x:v>
      </x:c>
      <x:c r="F75" s="30" t="str">
        <x:f>'Raw Results'!E20</x:f>
        <x:v>2405</x:v>
      </x:c>
      <x:c r="G75" s="30" t="str">
        <x:f>'Raw Results'!F20</x:f>
        <x:v>1</x:v>
      </x:c>
      <x:c r="H75" s="30" t="str">
        <x:f>'Raw Results'!G20</x:f>
        <x:v>100</x:v>
      </x:c>
      <x:c r="I75" s="32" t="str">
        <x:f>'Raw Results'!H20</x:f>
        <x:v>48.1</x:v>
      </x:c>
      <x:c r="J75" s="33" t="str">
        <x:f>'Raw Results'!I20</x:f>
        <x:v>0.4858585858585859</x:v>
      </x:c>
      <x:c r="K75" s="30" t="str">
        <x:f>'Raw Results'!AD20</x:f>
        <x:v>78</x:v>
      </x:c>
      <x:c r="L75" s="30" t="str">
        <x:f>'Raw Results'!AE20</x:f>
        <x:v>24</x:v>
      </x:c>
      <x:c r="M75" s="33" t="str">
        <x:f>'Raw Results'!AF20</x:f>
        <x:v>0.02225969999562949</x:v>
      </x:c>
      <x:c r="N75" s="30" t="n">
        <x:f>IF('Raw Results'!AG20="True",1,0)</x:f>
        <x:v>1</x:v>
      </x:c>
      <x:c r="O75" s="30" t="str">
        <x:f>'Raw Results'!AH20</x:f>
        <x:v>66</x:v>
      </x:c>
      <x:c r="P75" s="30" t="str">
        <x:f>'Raw Results'!AI20</x:f>
        <x:v>25</x:v>
      </x:c>
      <x:c r="Q75" s="33" t="str">
        <x:f>'Raw Results'!AJ20</x:f>
        <x:v>0.02226280001923442</x:v>
      </x:c>
      <x:c r="R75" s="30" t="n">
        <x:f>IF('Raw Results'!AK20="True",1,0)</x:f>
        <x:v>1</x:v>
      </x:c>
      <x:c r="S75" s="30" t="n">
        <x:f>N75*R75</x:f>
        <x:v>1</x:v>
      </x:c>
      <x:c r="T75" s="30" t="n">
        <x:f>P75-L75</x:f>
        <x:v>1</x:v>
      </x:c>
      <x:c r="U75" s="30" t="n">
        <x:f>O75-K75</x:f>
        <x:v>-12</x:v>
      </x:c>
      <x:c r="V75" s="34" t="n">
        <x:f>Q75-M75</x:f>
        <x:v>0.000003100023604929447</x:v>
      </x:c>
      <x:c r="W75" s="35" t="n">
        <x:f>IF(L75=0,"",P75/L75)</x:f>
        <x:v>1.0416666666666667</x:v>
      </x:c>
      <x:c r="X75" s="30" t="n">
        <x:f>K75-L75</x:f>
        <x:v>54</x:v>
      </x:c>
      <x:c r="Y75" s="30" t="n">
        <x:f>O75-P75</x:f>
        <x:v>41</x:v>
      </x:c>
      <x:c r="Z75" s="29" t="str">
        <x:f>IF(S75=0,"Excluded",IF(T75&lt;0,"Collision",IF(T75&gt;0,"Entropy","Tie")))</x:f>
        <x:v>Entropy</x:v>
      </x:c>
      <x:c r="AA75" s="29" t="str">
        <x:f>IF(V75&lt;0,"Collision",IF(V75&gt;0,"Entropy","Tie"))</x:f>
        <x:v>Entropy</x:v>
      </x:c>
      <x:c r="AB75" s="29" t="str">
        <x:f>'Raw Results'!AU20</x:f>
        <x:v>none</x:v>
      </x:c>
    </x:row>
    <x:row r="76">
      <x:c r="A76" s="29" t="str">
        <x:v>Zoomed Square</x:v>
      </x:c>
      <x:c r="B76" s="30" t="str">
        <x:f>'Raw Results'!A20</x:f>
        <x:v>100</x:v>
      </x:c>
      <x:c r="C76" s="31" t="str">
        <x:f>'Raw Results'!B20</x:f>
        <x:v>0.5</x:v>
      </x:c>
      <x:c r="D76" s="30" t="str">
        <x:f>'Raw Results'!C20</x:f>
        <x:v>1</x:v>
      </x:c>
      <x:c r="E76" s="30" t="str">
        <x:f>'Raw Results'!D20</x:f>
        <x:v>188944305</x:v>
      </x:c>
      <x:c r="F76" s="30" t="str">
        <x:f>'Raw Results'!E20</x:f>
        <x:v>2405</x:v>
      </x:c>
      <x:c r="G76" s="30" t="str">
        <x:f>'Raw Results'!F20</x:f>
        <x:v>1</x:v>
      </x:c>
      <x:c r="H76" s="30" t="str">
        <x:f>'Raw Results'!G20</x:f>
        <x:v>100</x:v>
      </x:c>
      <x:c r="I76" s="32" t="str">
        <x:f>'Raw Results'!H20</x:f>
        <x:v>48.1</x:v>
      </x:c>
      <x:c r="J76" s="33" t="str">
        <x:f>'Raw Results'!I20</x:f>
        <x:v>0.4858585858585859</x:v>
      </x:c>
      <x:c r="K76" s="30" t="str">
        <x:f>'Raw Results'!AV20</x:f>
        <x:v>86</x:v>
      </x:c>
      <x:c r="L76" s="30" t="str">
        <x:f>'Raw Results'!AW20</x:f>
        <x:v>28</x:v>
      </x:c>
      <x:c r="M76" s="33" t="str">
        <x:f>'Raw Results'!AX20</x:f>
        <x:v>0.030096800066530704</x:v>
      </x:c>
      <x:c r="N76" s="30" t="n">
        <x:f>IF('Raw Results'!AY20="True",1,0)</x:f>
        <x:v>1</x:v>
      </x:c>
      <x:c r="O76" s="30" t="str">
        <x:f>'Raw Results'!AZ20</x:f>
        <x:v>63</x:v>
      </x:c>
      <x:c r="P76" s="30" t="str">
        <x:f>'Raw Results'!BA20</x:f>
        <x:v>25</x:v>
      </x:c>
      <x:c r="Q76" s="33" t="str">
        <x:f>'Raw Results'!BB20</x:f>
        <x:v>0.030863599968142807</x:v>
      </x:c>
      <x:c r="R76" s="30" t="n">
        <x:f>IF('Raw Results'!BC20="True",1,0)</x:f>
        <x:v>1</x:v>
      </x:c>
      <x:c r="S76" s="30" t="n">
        <x:f>N76*R76</x:f>
        <x:v>1</x:v>
      </x:c>
      <x:c r="T76" s="30" t="n">
        <x:f>P76-L76</x:f>
        <x:v>-3</x:v>
      </x:c>
      <x:c r="U76" s="30" t="n">
        <x:f>O76-K76</x:f>
        <x:v>-23</x:v>
      </x:c>
      <x:c r="V76" s="34" t="n">
        <x:f>Q76-M76</x:f>
        <x:v>0.000766799901612103</x:v>
      </x:c>
      <x:c r="W76" s="35" t="n">
        <x:f>IF(L76=0,"",P76/L76)</x:f>
        <x:v>0.8928571428571429</x:v>
      </x:c>
      <x:c r="X76" s="30" t="n">
        <x:f>K76-L76</x:f>
        <x:v>58</x:v>
      </x:c>
      <x:c r="Y76" s="30" t="n">
        <x:f>O76-P76</x:f>
        <x:v>38</x:v>
      </x:c>
      <x:c r="Z76" s="29" t="str">
        <x:f>IF(S76=0,"Excluded",IF(T76&lt;0,"Collision",IF(T76&gt;0,"Entropy","Tie")))</x:f>
        <x:v>Collision</x:v>
      </x:c>
      <x:c r="AA76" s="29" t="str">
        <x:f>IF(V76&lt;0,"Collision",IF(V76&gt;0,"Entropy","Tie"))</x:f>
        <x:v>Entropy</x:v>
      </x:c>
      <x:c r="AB76" s="29" t="str">
        <x:f>'Raw Results'!BM20</x:f>
        <x:v>none</x:v>
      </x:c>
    </x:row>
    <x:row r="77">
      <x:c r="A77" s="29" t="str">
        <x:v>ICH</x:v>
      </x:c>
      <x:c r="B77" s="30" t="str">
        <x:f>'Raw Results'!A20</x:f>
        <x:v>100</x:v>
      </x:c>
      <x:c r="C77" s="31" t="str">
        <x:f>'Raw Results'!B20</x:f>
        <x:v>0.5</x:v>
      </x:c>
      <x:c r="D77" s="30" t="str">
        <x:f>'Raw Results'!C20</x:f>
        <x:v>1</x:v>
      </x:c>
      <x:c r="E77" s="30" t="str">
        <x:f>'Raw Results'!D20</x:f>
        <x:v>188944305</x:v>
      </x:c>
      <x:c r="F77" s="30" t="str">
        <x:f>'Raw Results'!E20</x:f>
        <x:v>2405</x:v>
      </x:c>
      <x:c r="G77" s="30" t="str">
        <x:f>'Raw Results'!F20</x:f>
        <x:v>1</x:v>
      </x:c>
      <x:c r="H77" s="30" t="str">
        <x:f>'Raw Results'!G20</x:f>
        <x:v>100</x:v>
      </x:c>
      <x:c r="I77" s="32" t="str">
        <x:f>'Raw Results'!H20</x:f>
        <x:v>48.1</x:v>
      </x:c>
      <x:c r="J77" s="33" t="str">
        <x:f>'Raw Results'!I20</x:f>
        <x:v>0.4858585858585859</x:v>
      </x:c>
      <x:c r="K77" s="30" t="str">
        <x:f>'Raw Results'!BN20</x:f>
        <x:v>24</x:v>
      </x:c>
      <x:c r="L77" s="30" t="str">
        <x:f>'Raw Results'!BO20</x:f>
        <x:v>24</x:v>
      </x:c>
      <x:c r="M77" s="33" t="str">
        <x:f>'Raw Results'!BP20</x:f>
        <x:v>0.18551850004587322</x:v>
      </x:c>
      <x:c r="N77" s="30" t="n">
        <x:f>IF('Raw Results'!BQ20="True",1,0)</x:f>
        <x:v>1</x:v>
      </x:c>
      <x:c r="O77" s="30" t="str">
        <x:f>'Raw Results'!BR20</x:f>
        <x:v>23</x:v>
      </x:c>
      <x:c r="P77" s="30" t="str">
        <x:f>'Raw Results'!BS20</x:f>
        <x:v>23</x:v>
      </x:c>
      <x:c r="Q77" s="33" t="str">
        <x:f>'Raw Results'!BT20</x:f>
        <x:v>0.1765906000509858</x:v>
      </x:c>
      <x:c r="R77" s="30" t="n">
        <x:f>IF('Raw Results'!BU20="True",1,0)</x:f>
        <x:v>1</x:v>
      </x:c>
      <x:c r="S77" s="30" t="n">
        <x:f>N77*R77</x:f>
        <x:v>1</x:v>
      </x:c>
      <x:c r="T77" s="30" t="n">
        <x:f>P77-L77</x:f>
        <x:v>-1</x:v>
      </x:c>
      <x:c r="U77" s="30" t="n">
        <x:f>O77-K77</x:f>
        <x:v>-1</x:v>
      </x:c>
      <x:c r="V77" s="34" t="n">
        <x:f>Q77-M77</x:f>
        <x:v>-0.008927899994887412</x:v>
      </x:c>
      <x:c r="W77" s="35" t="n">
        <x:f>IF(L77=0,"",P77/L77)</x:f>
        <x:v>0.9583333333333334</x:v>
      </x:c>
      <x:c r="X77" s="30" t="n">
        <x:f>K77-L77</x:f>
        <x:v>0</x:v>
      </x:c>
      <x:c r="Y77" s="30" t="n">
        <x:f>O77-P77</x:f>
        <x:v>0</x:v>
      </x:c>
      <x:c r="Z77" s="29" t="str">
        <x:f>IF(S77=0,"Excluded",IF(T77&lt;0,"Collision",IF(T77&gt;0,"Entropy","Tie")))</x:f>
        <x:v>Collision</x:v>
      </x:c>
      <x:c r="AA77" s="29" t="str">
        <x:f>IF(V77&lt;0,"Collision",IF(V77&gt;0,"Entropy","Tie"))</x:f>
        <x:v>Collision</x:v>
      </x:c>
      <x:c r="AB77" s="29" t="str">
        <x:f>'Raw Results'!CE20</x:f>
        <x:v>none</x:v>
      </x:c>
    </x:row>
    <x:row r="78">
      <x:c r="A78" s="29" t="str">
        <x:v>Grid</x:v>
      </x:c>
      <x:c r="B78" s="30" t="str">
        <x:f>'Raw Results'!A21</x:f>
        <x:v>100</x:v>
      </x:c>
      <x:c r="C78" s="31" t="str">
        <x:f>'Raw Results'!B21</x:f>
        <x:v>0.5</x:v>
      </x:c>
      <x:c r="D78" s="30" t="str">
        <x:f>'Raw Results'!C21</x:f>
        <x:v>2</x:v>
      </x:c>
      <x:c r="E78" s="30" t="str">
        <x:f>'Raw Results'!D21</x:f>
        <x:v>1744016034</x:v>
      </x:c>
      <x:c r="F78" s="30" t="str">
        <x:f>'Raw Results'!E21</x:f>
        <x:v>2318</x:v>
      </x:c>
      <x:c r="G78" s="30" t="str">
        <x:f>'Raw Results'!F21</x:f>
        <x:v>1</x:v>
      </x:c>
      <x:c r="H78" s="30" t="str">
        <x:f>'Raw Results'!G21</x:f>
        <x:v>100</x:v>
      </x:c>
      <x:c r="I78" s="32" t="str">
        <x:f>'Raw Results'!H21</x:f>
        <x:v>46.36</x:v>
      </x:c>
      <x:c r="J78" s="33" t="str">
        <x:f>'Raw Results'!I21</x:f>
        <x:v>0.4682828282828283</x:v>
      </x:c>
      <x:c r="K78" s="30" t="str">
        <x:f>'Raw Results'!L21</x:f>
        <x:v>61</x:v>
      </x:c>
      <x:c r="L78" s="30" t="str">
        <x:f>'Raw Results'!M21</x:f>
        <x:v>26</x:v>
      </x:c>
      <x:c r="M78" s="33" t="str">
        <x:f>'Raw Results'!N21</x:f>
        <x:v>0.11670250003226101</x:v>
      </x:c>
      <x:c r="N78" s="30" t="n">
        <x:f>IF('Raw Results'!O21="True",1,0)</x:f>
        <x:v>1</x:v>
      </x:c>
      <x:c r="O78" s="30" t="str">
        <x:f>'Raw Results'!P21</x:f>
        <x:v>24</x:v>
      </x:c>
      <x:c r="P78" s="30" t="str">
        <x:f>'Raw Results'!Q21</x:f>
        <x:v>22</x:v>
      </x:c>
      <x:c r="Q78" s="33" t="str">
        <x:f>'Raw Results'!R21</x:f>
        <x:v>0.08748419990297407</x:v>
      </x:c>
      <x:c r="R78" s="30" t="n">
        <x:f>IF('Raw Results'!S21="True",1,0)</x:f>
        <x:v>1</x:v>
      </x:c>
      <x:c r="S78" s="30" t="n">
        <x:f>N78*R78</x:f>
        <x:v>1</x:v>
      </x:c>
      <x:c r="T78" s="30" t="n">
        <x:f>P78-L78</x:f>
        <x:v>-4</x:v>
      </x:c>
      <x:c r="U78" s="30" t="n">
        <x:f>O78-K78</x:f>
        <x:v>-37</x:v>
      </x:c>
      <x:c r="V78" s="34" t="n">
        <x:f>Q78-M78</x:f>
        <x:v>-0.029218300129286945</x:v>
      </x:c>
      <x:c r="W78" s="35" t="n">
        <x:f>IF(L78=0,"",P78/L78)</x:f>
        <x:v>0.8461538461538461</x:v>
      </x:c>
      <x:c r="X78" s="30" t="n">
        <x:f>K78-L78</x:f>
        <x:v>35</x:v>
      </x:c>
      <x:c r="Y78" s="30" t="n">
        <x:f>O78-P78</x:f>
        <x:v>2</x:v>
      </x:c>
      <x:c r="Z78" s="29" t="str">
        <x:f>IF(S78=0,"Excluded",IF(T78&lt;0,"Collision",IF(T78&gt;0,"Entropy","Tie")))</x:f>
        <x:v>Collision</x:v>
      </x:c>
      <x:c r="AA78" s="29" t="str">
        <x:f>IF(V78&lt;0,"Collision",IF(V78&gt;0,"Entropy","Tie"))</x:f>
        <x:v>Collision</x:v>
      </x:c>
      <x:c r="AB78" s="29" t="str">
        <x:f>'Raw Results'!AC21</x:f>
        <x:v>none</x:v>
      </x:c>
    </x:row>
    <x:row r="79">
      <x:c r="A79" s="29" t="str">
        <x:v>Circle</x:v>
      </x:c>
      <x:c r="B79" s="30" t="str">
        <x:f>'Raw Results'!A21</x:f>
        <x:v>100</x:v>
      </x:c>
      <x:c r="C79" s="31" t="str">
        <x:f>'Raw Results'!B21</x:f>
        <x:v>0.5</x:v>
      </x:c>
      <x:c r="D79" s="30" t="str">
        <x:f>'Raw Results'!C21</x:f>
        <x:v>2</x:v>
      </x:c>
      <x:c r="E79" s="30" t="str">
        <x:f>'Raw Results'!D21</x:f>
        <x:v>1744016034</x:v>
      </x:c>
      <x:c r="F79" s="30" t="str">
        <x:f>'Raw Results'!E21</x:f>
        <x:v>2318</x:v>
      </x:c>
      <x:c r="G79" s="30" t="str">
        <x:f>'Raw Results'!F21</x:f>
        <x:v>1</x:v>
      </x:c>
      <x:c r="H79" s="30" t="str">
        <x:f>'Raw Results'!G21</x:f>
        <x:v>100</x:v>
      </x:c>
      <x:c r="I79" s="32" t="str">
        <x:f>'Raw Results'!H21</x:f>
        <x:v>46.36</x:v>
      </x:c>
      <x:c r="J79" s="33" t="str">
        <x:f>'Raw Results'!I21</x:f>
        <x:v>0.4682828282828283</x:v>
      </x:c>
      <x:c r="K79" s="30" t="str">
        <x:f>'Raw Results'!AD21</x:f>
        <x:v>78</x:v>
      </x:c>
      <x:c r="L79" s="30" t="str">
        <x:f>'Raw Results'!AE21</x:f>
        <x:v>29</x:v>
      </x:c>
      <x:c r="M79" s="33" t="str">
        <x:f>'Raw Results'!AF21</x:f>
        <x:v>0.027047100011259317</x:v>
      </x:c>
      <x:c r="N79" s="30" t="n">
        <x:f>IF('Raw Results'!AG21="True",1,0)</x:f>
        <x:v>1</x:v>
      </x:c>
      <x:c r="O79" s="30" t="str">
        <x:f>'Raw Results'!AH21</x:f>
        <x:v>64</x:v>
      </x:c>
      <x:c r="P79" s="30" t="str">
        <x:f>'Raw Results'!AI21</x:f>
        <x:v>27</x:v>
      </x:c>
      <x:c r="Q79" s="33" t="str">
        <x:f>'Raw Results'!AJ21</x:f>
        <x:v>0.023370999959297478</x:v>
      </x:c>
      <x:c r="R79" s="30" t="n">
        <x:f>IF('Raw Results'!AK21="True",1,0)</x:f>
        <x:v>1</x:v>
      </x:c>
      <x:c r="S79" s="30" t="n">
        <x:f>N79*R79</x:f>
        <x:v>1</x:v>
      </x:c>
      <x:c r="T79" s="30" t="n">
        <x:f>P79-L79</x:f>
        <x:v>-2</x:v>
      </x:c>
      <x:c r="U79" s="30" t="n">
        <x:f>O79-K79</x:f>
        <x:v>-14</x:v>
      </x:c>
      <x:c r="V79" s="34" t="n">
        <x:f>Q79-M79</x:f>
        <x:v>-0.003676100051961839</x:v>
      </x:c>
      <x:c r="W79" s="35" t="n">
        <x:f>IF(L79=0,"",P79/L79)</x:f>
        <x:v>0.9310344827586207</x:v>
      </x:c>
      <x:c r="X79" s="30" t="n">
        <x:f>K79-L79</x:f>
        <x:v>49</x:v>
      </x:c>
      <x:c r="Y79" s="30" t="n">
        <x:f>O79-P79</x:f>
        <x:v>37</x:v>
      </x:c>
      <x:c r="Z79" s="29" t="str">
        <x:f>IF(S79=0,"Excluded",IF(T79&lt;0,"Collision",IF(T79&gt;0,"Entropy","Tie")))</x:f>
        <x:v>Collision</x:v>
      </x:c>
      <x:c r="AA79" s="29" t="str">
        <x:f>IF(V79&lt;0,"Collision",IF(V79&gt;0,"Entropy","Tie"))</x:f>
        <x:v>Collision</x:v>
      </x:c>
      <x:c r="AB79" s="29" t="str">
        <x:f>'Raw Results'!AU21</x:f>
        <x:v>none</x:v>
      </x:c>
    </x:row>
    <x:row r="80">
      <x:c r="A80" s="29" t="str">
        <x:v>Zoomed Square</x:v>
      </x:c>
      <x:c r="B80" s="30" t="str">
        <x:f>'Raw Results'!A21</x:f>
        <x:v>100</x:v>
      </x:c>
      <x:c r="C80" s="31" t="str">
        <x:f>'Raw Results'!B21</x:f>
        <x:v>0.5</x:v>
      </x:c>
      <x:c r="D80" s="30" t="str">
        <x:f>'Raw Results'!C21</x:f>
        <x:v>2</x:v>
      </x:c>
      <x:c r="E80" s="30" t="str">
        <x:f>'Raw Results'!D21</x:f>
        <x:v>1744016034</x:v>
      </x:c>
      <x:c r="F80" s="30" t="str">
        <x:f>'Raw Results'!E21</x:f>
        <x:v>2318</x:v>
      </x:c>
      <x:c r="G80" s="30" t="str">
        <x:f>'Raw Results'!F21</x:f>
        <x:v>1</x:v>
      </x:c>
      <x:c r="H80" s="30" t="str">
        <x:f>'Raw Results'!G21</x:f>
        <x:v>100</x:v>
      </x:c>
      <x:c r="I80" s="32" t="str">
        <x:f>'Raw Results'!H21</x:f>
        <x:v>46.36</x:v>
      </x:c>
      <x:c r="J80" s="33" t="str">
        <x:f>'Raw Results'!I21</x:f>
        <x:v>0.4682828282828283</x:v>
      </x:c>
      <x:c r="K80" s="30" t="str">
        <x:f>'Raw Results'!AV21</x:f>
        <x:v>75</x:v>
      </x:c>
      <x:c r="L80" s="30" t="str">
        <x:f>'Raw Results'!AW21</x:f>
        <x:v>28</x:v>
      </x:c>
      <x:c r="M80" s="33" t="str">
        <x:f>'Raw Results'!AX21</x:f>
        <x:v>0.04803089995402843</x:v>
      </x:c>
      <x:c r="N80" s="30" t="n">
        <x:f>IF('Raw Results'!AY21="True",1,0)</x:f>
        <x:v>1</x:v>
      </x:c>
      <x:c r="O80" s="30" t="str">
        <x:f>'Raw Results'!AZ21</x:f>
        <x:v>42</x:v>
      </x:c>
      <x:c r="P80" s="30" t="str">
        <x:f>'Raw Results'!BA21</x:f>
        <x:v>29</x:v>
      </x:c>
      <x:c r="Q80" s="33" t="str">
        <x:f>'Raw Results'!BB21</x:f>
        <x:v>0.035702900029718876</x:v>
      </x:c>
      <x:c r="R80" s="30" t="n">
        <x:f>IF('Raw Results'!BC21="True",1,0)</x:f>
        <x:v>1</x:v>
      </x:c>
      <x:c r="S80" s="30" t="n">
        <x:f>N80*R80</x:f>
        <x:v>1</x:v>
      </x:c>
      <x:c r="T80" s="30" t="n">
        <x:f>P80-L80</x:f>
        <x:v>1</x:v>
      </x:c>
      <x:c r="U80" s="30" t="n">
        <x:f>O80-K80</x:f>
        <x:v>-33</x:v>
      </x:c>
      <x:c r="V80" s="34" t="n">
        <x:f>Q80-M80</x:f>
        <x:v>-0.012327999924309552</x:v>
      </x:c>
      <x:c r="W80" s="35" t="n">
        <x:f>IF(L80=0,"",P80/L80)</x:f>
        <x:v>1.0357142857142858</x:v>
      </x:c>
      <x:c r="X80" s="30" t="n">
        <x:f>K80-L80</x:f>
        <x:v>47</x:v>
      </x:c>
      <x:c r="Y80" s="30" t="n">
        <x:f>O80-P80</x:f>
        <x:v>13</x:v>
      </x:c>
      <x:c r="Z80" s="29" t="str">
        <x:f>IF(S80=0,"Excluded",IF(T80&lt;0,"Collision",IF(T80&gt;0,"Entropy","Tie")))</x:f>
        <x:v>Entropy</x:v>
      </x:c>
      <x:c r="AA80" s="29" t="str">
        <x:f>IF(V80&lt;0,"Collision",IF(V80&gt;0,"Entropy","Tie"))</x:f>
        <x:v>Collision</x:v>
      </x:c>
      <x:c r="AB80" s="29" t="str">
        <x:f>'Raw Results'!BM21</x:f>
        <x:v>none</x:v>
      </x:c>
    </x:row>
    <x:row r="81">
      <x:c r="A81" s="29" t="str">
        <x:v>ICH</x:v>
      </x:c>
      <x:c r="B81" s="30" t="str">
        <x:f>'Raw Results'!A21</x:f>
        <x:v>100</x:v>
      </x:c>
      <x:c r="C81" s="31" t="str">
        <x:f>'Raw Results'!B21</x:f>
        <x:v>0.5</x:v>
      </x:c>
      <x:c r="D81" s="30" t="str">
        <x:f>'Raw Results'!C21</x:f>
        <x:v>2</x:v>
      </x:c>
      <x:c r="E81" s="30" t="str">
        <x:f>'Raw Results'!D21</x:f>
        <x:v>1744016034</x:v>
      </x:c>
      <x:c r="F81" s="30" t="str">
        <x:f>'Raw Results'!E21</x:f>
        <x:v>2318</x:v>
      </x:c>
      <x:c r="G81" s="30" t="str">
        <x:f>'Raw Results'!F21</x:f>
        <x:v>1</x:v>
      </x:c>
      <x:c r="H81" s="30" t="str">
        <x:f>'Raw Results'!G21</x:f>
        <x:v>100</x:v>
      </x:c>
      <x:c r="I81" s="32" t="str">
        <x:f>'Raw Results'!H21</x:f>
        <x:v>46.36</x:v>
      </x:c>
      <x:c r="J81" s="33" t="str">
        <x:f>'Raw Results'!I21</x:f>
        <x:v>0.4682828282828283</x:v>
      </x:c>
      <x:c r="K81" s="30" t="str">
        <x:f>'Raw Results'!BN21</x:f>
        <x:v>24</x:v>
      </x:c>
      <x:c r="L81" s="30" t="str">
        <x:f>'Raw Results'!BO21</x:f>
        <x:v>24</x:v>
      </x:c>
      <x:c r="M81" s="33" t="str">
        <x:f>'Raw Results'!BP21</x:f>
        <x:v>0.19860300002619624</x:v>
      </x:c>
      <x:c r="N81" s="30" t="n">
        <x:f>IF('Raw Results'!BQ21="True",1,0)</x:f>
        <x:v>1</x:v>
      </x:c>
      <x:c r="O81" s="30" t="str">
        <x:f>'Raw Results'!BR21</x:f>
        <x:v>22</x:v>
      </x:c>
      <x:c r="P81" s="30" t="str">
        <x:f>'Raw Results'!BS21</x:f>
        <x:v>22</x:v>
      </x:c>
      <x:c r="Q81" s="33" t="str">
        <x:f>'Raw Results'!BT21</x:f>
        <x:v>0.1615225999848917</x:v>
      </x:c>
      <x:c r="R81" s="30" t="n">
        <x:f>IF('Raw Results'!BU21="True",1,0)</x:f>
        <x:v>1</x:v>
      </x:c>
      <x:c r="S81" s="30" t="n">
        <x:f>N81*R81</x:f>
        <x:v>1</x:v>
      </x:c>
      <x:c r="T81" s="30" t="n">
        <x:f>P81-L81</x:f>
        <x:v>-2</x:v>
      </x:c>
      <x:c r="U81" s="30" t="n">
        <x:f>O81-K81</x:f>
        <x:v>-2</x:v>
      </x:c>
      <x:c r="V81" s="34" t="n">
        <x:f>Q81-M81</x:f>
        <x:v>-0.03708040004130453</x:v>
      </x:c>
      <x:c r="W81" s="35" t="n">
        <x:f>IF(L81=0,"",P81/L81)</x:f>
        <x:v>0.9166666666666666</x:v>
      </x:c>
      <x:c r="X81" s="30" t="n">
        <x:f>K81-L81</x:f>
        <x:v>0</x:v>
      </x:c>
      <x:c r="Y81" s="30" t="n">
        <x:f>O81-P81</x:f>
        <x:v>0</x:v>
      </x:c>
      <x:c r="Z81" s="29" t="str">
        <x:f>IF(S81=0,"Excluded",IF(T81&lt;0,"Collision",IF(T81&gt;0,"Entropy","Tie")))</x:f>
        <x:v>Collision</x:v>
      </x:c>
      <x:c r="AA81" s="29" t="str">
        <x:f>IF(V81&lt;0,"Collision",IF(V81&gt;0,"Entropy","Tie"))</x:f>
        <x:v>Collision</x:v>
      </x:c>
      <x:c r="AB81" s="29" t="str">
        <x:f>'Raw Results'!CE21</x:f>
        <x:v>none</x:v>
      </x:c>
    </x:row>
    <x:row r="82">
      <x:c r="A82" s="29" t="str">
        <x:v>Grid</x:v>
      </x:c>
      <x:c r="B82" s="30" t="str">
        <x:f>'Raw Results'!A22</x:f>
        <x:v>100</x:v>
      </x:c>
      <x:c r="C82" s="31" t="str">
        <x:f>'Raw Results'!B22</x:f>
        <x:v>0.5</x:v>
      </x:c>
      <x:c r="D82" s="30" t="str">
        <x:f>'Raw Results'!C22</x:f>
        <x:v>3</x:v>
      </x:c>
      <x:c r="E82" s="30" t="str">
        <x:f>'Raw Results'!D22</x:f>
        <x:v>2509545635</x:v>
      </x:c>
      <x:c r="F82" s="30" t="str">
        <x:f>'Raw Results'!E22</x:f>
        <x:v>2433</x:v>
      </x:c>
      <x:c r="G82" s="30" t="str">
        <x:f>'Raw Results'!F22</x:f>
        <x:v>1</x:v>
      </x:c>
      <x:c r="H82" s="30" t="str">
        <x:f>'Raw Results'!G22</x:f>
        <x:v>100</x:v>
      </x:c>
      <x:c r="I82" s="32" t="str">
        <x:f>'Raw Results'!H22</x:f>
        <x:v>48.66</x:v>
      </x:c>
      <x:c r="J82" s="33" t="str">
        <x:f>'Raw Results'!I22</x:f>
        <x:v>0.4915151515151515</x:v>
      </x:c>
      <x:c r="K82" s="30" t="str">
        <x:f>'Raw Results'!L22</x:f>
        <x:v>80</x:v>
      </x:c>
      <x:c r="L82" s="30" t="str">
        <x:f>'Raw Results'!M22</x:f>
        <x:v>23</x:v>
      </x:c>
      <x:c r="M82" s="33" t="str">
        <x:f>'Raw Results'!N22</x:f>
        <x:v>0.12261160009074956</x:v>
      </x:c>
      <x:c r="N82" s="30" t="n">
        <x:f>IF('Raw Results'!O22="True",1,0)</x:f>
        <x:v>1</x:v>
      </x:c>
      <x:c r="O82" s="30" t="str">
        <x:f>'Raw Results'!P22</x:f>
        <x:v>21</x:v>
      </x:c>
      <x:c r="P82" s="30" t="str">
        <x:f>'Raw Results'!Q22</x:f>
        <x:v>21</x:v>
      </x:c>
      <x:c r="Q82" s="33" t="str">
        <x:f>'Raw Results'!R22</x:f>
        <x:v>0.07020519999787211</x:v>
      </x:c>
      <x:c r="R82" s="30" t="n">
        <x:f>IF('Raw Results'!S22="True",1,0)</x:f>
        <x:v>1</x:v>
      </x:c>
      <x:c r="S82" s="30" t="n">
        <x:f>N82*R82</x:f>
        <x:v>1</x:v>
      </x:c>
      <x:c r="T82" s="30" t="n">
        <x:f>P82-L82</x:f>
        <x:v>-2</x:v>
      </x:c>
      <x:c r="U82" s="30" t="n">
        <x:f>O82-K82</x:f>
        <x:v>-59</x:v>
      </x:c>
      <x:c r="V82" s="34" t="n">
        <x:f>Q82-M82</x:f>
        <x:v>-0.05240640009287745</x:v>
      </x:c>
      <x:c r="W82" s="35" t="n">
        <x:f>IF(L82=0,"",P82/L82)</x:f>
        <x:v>0.9130434782608695</x:v>
      </x:c>
      <x:c r="X82" s="30" t="n">
        <x:f>K82-L82</x:f>
        <x:v>57</x:v>
      </x:c>
      <x:c r="Y82" s="30" t="n">
        <x:f>O82-P82</x:f>
        <x:v>0</x:v>
      </x:c>
      <x:c r="Z82" s="29" t="str">
        <x:f>IF(S82=0,"Excluded",IF(T82&lt;0,"Collision",IF(T82&gt;0,"Entropy","Tie")))</x:f>
        <x:v>Collision</x:v>
      </x:c>
      <x:c r="AA82" s="29" t="str">
        <x:f>IF(V82&lt;0,"Collision",IF(V82&gt;0,"Entropy","Tie"))</x:f>
        <x:v>Collision</x:v>
      </x:c>
      <x:c r="AB82" s="29" t="str">
        <x:f>'Raw Results'!AC22</x:f>
        <x:v>none</x:v>
      </x:c>
    </x:row>
    <x:row r="83">
      <x:c r="A83" s="29" t="str">
        <x:v>Circle</x:v>
      </x:c>
      <x:c r="B83" s="30" t="str">
        <x:f>'Raw Results'!A22</x:f>
        <x:v>100</x:v>
      </x:c>
      <x:c r="C83" s="31" t="str">
        <x:f>'Raw Results'!B22</x:f>
        <x:v>0.5</x:v>
      </x:c>
      <x:c r="D83" s="30" t="str">
        <x:f>'Raw Results'!C22</x:f>
        <x:v>3</x:v>
      </x:c>
      <x:c r="E83" s="30" t="str">
        <x:f>'Raw Results'!D22</x:f>
        <x:v>2509545635</x:v>
      </x:c>
      <x:c r="F83" s="30" t="str">
        <x:f>'Raw Results'!E22</x:f>
        <x:v>2433</x:v>
      </x:c>
      <x:c r="G83" s="30" t="str">
        <x:f>'Raw Results'!F22</x:f>
        <x:v>1</x:v>
      </x:c>
      <x:c r="H83" s="30" t="str">
        <x:f>'Raw Results'!G22</x:f>
        <x:v>100</x:v>
      </x:c>
      <x:c r="I83" s="32" t="str">
        <x:f>'Raw Results'!H22</x:f>
        <x:v>48.66</x:v>
      </x:c>
      <x:c r="J83" s="33" t="str">
        <x:f>'Raw Results'!I22</x:f>
        <x:v>0.4915151515151515</x:v>
      </x:c>
      <x:c r="K83" s="30" t="str">
        <x:f>'Raw Results'!AD22</x:f>
        <x:v>78</x:v>
      </x:c>
      <x:c r="L83" s="30" t="str">
        <x:f>'Raw Results'!AE22</x:f>
        <x:v>23</x:v>
      </x:c>
      <x:c r="M83" s="33" t="str">
        <x:f>'Raw Results'!AF22</x:f>
        <x:v>0.02808059996459633</x:v>
      </x:c>
      <x:c r="N83" s="30" t="n">
        <x:f>IF('Raw Results'!AG22="True",1,0)</x:f>
        <x:v>1</x:v>
      </x:c>
      <x:c r="O83" s="30" t="str">
        <x:f>'Raw Results'!AH22</x:f>
        <x:v>59</x:v>
      </x:c>
      <x:c r="P83" s="30" t="str">
        <x:f>'Raw Results'!AI22</x:f>
        <x:v>26</x:v>
      </x:c>
      <x:c r="Q83" s="33" t="str">
        <x:f>'Raw Results'!AJ22</x:f>
        <x:v>0.020969699951820076</x:v>
      </x:c>
      <x:c r="R83" s="30" t="n">
        <x:f>IF('Raw Results'!AK22="True",1,0)</x:f>
        <x:v>1</x:v>
      </x:c>
      <x:c r="S83" s="30" t="n">
        <x:f>N83*R83</x:f>
        <x:v>1</x:v>
      </x:c>
      <x:c r="T83" s="30" t="n">
        <x:f>P83-L83</x:f>
        <x:v>3</x:v>
      </x:c>
      <x:c r="U83" s="30" t="n">
        <x:f>O83-K83</x:f>
        <x:v>-19</x:v>
      </x:c>
      <x:c r="V83" s="34" t="n">
        <x:f>Q83-M83</x:f>
        <x:v>-0.007110900012776256</x:v>
      </x:c>
      <x:c r="W83" s="35" t="n">
        <x:f>IF(L83=0,"",P83/L83)</x:f>
        <x:v>1.1304347826086956</x:v>
      </x:c>
      <x:c r="X83" s="30" t="n">
        <x:f>K83-L83</x:f>
        <x:v>55</x:v>
      </x:c>
      <x:c r="Y83" s="30" t="n">
        <x:f>O83-P83</x:f>
        <x:v>33</x:v>
      </x:c>
      <x:c r="Z83" s="29" t="str">
        <x:f>IF(S83=0,"Excluded",IF(T83&lt;0,"Collision",IF(T83&gt;0,"Entropy","Tie")))</x:f>
        <x:v>Entropy</x:v>
      </x:c>
      <x:c r="AA83" s="29" t="str">
        <x:f>IF(V83&lt;0,"Collision",IF(V83&gt;0,"Entropy","Tie"))</x:f>
        <x:v>Collision</x:v>
      </x:c>
      <x:c r="AB83" s="29" t="str">
        <x:f>'Raw Results'!AU22</x:f>
        <x:v>none</x:v>
      </x:c>
    </x:row>
    <x:row r="84">
      <x:c r="A84" s="29" t="str">
        <x:v>Zoomed Square</x:v>
      </x:c>
      <x:c r="B84" s="30" t="str">
        <x:f>'Raw Results'!A22</x:f>
        <x:v>100</x:v>
      </x:c>
      <x:c r="C84" s="31" t="str">
        <x:f>'Raw Results'!B22</x:f>
        <x:v>0.5</x:v>
      </x:c>
      <x:c r="D84" s="30" t="str">
        <x:f>'Raw Results'!C22</x:f>
        <x:v>3</x:v>
      </x:c>
      <x:c r="E84" s="30" t="str">
        <x:f>'Raw Results'!D22</x:f>
        <x:v>2509545635</x:v>
      </x:c>
      <x:c r="F84" s="30" t="str">
        <x:f>'Raw Results'!E22</x:f>
        <x:v>2433</x:v>
      </x:c>
      <x:c r="G84" s="30" t="str">
        <x:f>'Raw Results'!F22</x:f>
        <x:v>1</x:v>
      </x:c>
      <x:c r="H84" s="30" t="str">
        <x:f>'Raw Results'!G22</x:f>
        <x:v>100</x:v>
      </x:c>
      <x:c r="I84" s="32" t="str">
        <x:f>'Raw Results'!H22</x:f>
        <x:v>48.66</x:v>
      </x:c>
      <x:c r="J84" s="33" t="str">
        <x:f>'Raw Results'!I22</x:f>
        <x:v>0.4915151515151515</x:v>
      </x:c>
      <x:c r="K84" s="30" t="str">
        <x:f>'Raw Results'!AV22</x:f>
        <x:v>73</x:v>
      </x:c>
      <x:c r="L84" s="30" t="str">
        <x:f>'Raw Results'!AW22</x:f>
        <x:v>25</x:v>
      </x:c>
      <x:c r="M84" s="33" t="str">
        <x:f>'Raw Results'!AX22</x:f>
        <x:v>0.06129390001296997</x:v>
      </x:c>
      <x:c r="N84" s="30" t="n">
        <x:f>IF('Raw Results'!AY22="True",1,0)</x:f>
        <x:v>1</x:v>
      </x:c>
      <x:c r="O84" s="30" t="str">
        <x:f>'Raw Results'!AZ22</x:f>
        <x:v>43</x:v>
      </x:c>
      <x:c r="P84" s="30" t="str">
        <x:f>'Raw Results'!BA22</x:f>
        <x:v>24</x:v>
      </x:c>
      <x:c r="Q84" s="33" t="str">
        <x:f>'Raw Results'!BB22</x:f>
        <x:v>0.04773089999798685</x:v>
      </x:c>
      <x:c r="R84" s="30" t="n">
        <x:f>IF('Raw Results'!BC22="True",1,0)</x:f>
        <x:v>1</x:v>
      </x:c>
      <x:c r="S84" s="30" t="n">
        <x:f>N84*R84</x:f>
        <x:v>1</x:v>
      </x:c>
      <x:c r="T84" s="30" t="n">
        <x:f>P84-L84</x:f>
        <x:v>-1</x:v>
      </x:c>
      <x:c r="U84" s="30" t="n">
        <x:f>O84-K84</x:f>
        <x:v>-30</x:v>
      </x:c>
      <x:c r="V84" s="34" t="n">
        <x:f>Q84-M84</x:f>
        <x:v>-0.013563000014983118</x:v>
      </x:c>
      <x:c r="W84" s="35" t="n">
        <x:f>IF(L84=0,"",P84/L84)</x:f>
        <x:v>0.96</x:v>
      </x:c>
      <x:c r="X84" s="30" t="n">
        <x:f>K84-L84</x:f>
        <x:v>48</x:v>
      </x:c>
      <x:c r="Y84" s="30" t="n">
        <x:f>O84-P84</x:f>
        <x:v>19</x:v>
      </x:c>
      <x:c r="Z84" s="29" t="str">
        <x:f>IF(S84=0,"Excluded",IF(T84&lt;0,"Collision",IF(T84&gt;0,"Entropy","Tie")))</x:f>
        <x:v>Collision</x:v>
      </x:c>
      <x:c r="AA84" s="29" t="str">
        <x:f>IF(V84&lt;0,"Collision",IF(V84&gt;0,"Entropy","Tie"))</x:f>
        <x:v>Collision</x:v>
      </x:c>
      <x:c r="AB84" s="29" t="str">
        <x:f>'Raw Results'!BM22</x:f>
        <x:v>none</x:v>
      </x:c>
    </x:row>
    <x:row r="85">
      <x:c r="A85" s="29" t="str">
        <x:v>ICH</x:v>
      </x:c>
      <x:c r="B85" s="30" t="str">
        <x:f>'Raw Results'!A22</x:f>
        <x:v>100</x:v>
      </x:c>
      <x:c r="C85" s="31" t="str">
        <x:f>'Raw Results'!B22</x:f>
        <x:v>0.5</x:v>
      </x:c>
      <x:c r="D85" s="30" t="str">
        <x:f>'Raw Results'!C22</x:f>
        <x:v>3</x:v>
      </x:c>
      <x:c r="E85" s="30" t="str">
        <x:f>'Raw Results'!D22</x:f>
        <x:v>2509545635</x:v>
      </x:c>
      <x:c r="F85" s="30" t="str">
        <x:f>'Raw Results'!E22</x:f>
        <x:v>2433</x:v>
      </x:c>
      <x:c r="G85" s="30" t="str">
        <x:f>'Raw Results'!F22</x:f>
        <x:v>1</x:v>
      </x:c>
      <x:c r="H85" s="30" t="str">
        <x:f>'Raw Results'!G22</x:f>
        <x:v>100</x:v>
      </x:c>
      <x:c r="I85" s="32" t="str">
        <x:f>'Raw Results'!H22</x:f>
        <x:v>48.66</x:v>
      </x:c>
      <x:c r="J85" s="33" t="str">
        <x:f>'Raw Results'!I22</x:f>
        <x:v>0.4915151515151515</x:v>
      </x:c>
      <x:c r="K85" s="30" t="str">
        <x:f>'Raw Results'!BN22</x:f>
        <x:v>22</x:v>
      </x:c>
      <x:c r="L85" s="30" t="str">
        <x:f>'Raw Results'!BO22</x:f>
        <x:v>22</x:v>
      </x:c>
      <x:c r="M85" s="33" t="str">
        <x:f>'Raw Results'!BP22</x:f>
        <x:v>0.1866517000598833</x:v>
      </x:c>
      <x:c r="N85" s="30" t="n">
        <x:f>IF('Raw Results'!BQ22="True",1,0)</x:f>
        <x:v>1</x:v>
      </x:c>
      <x:c r="O85" s="30" t="str">
        <x:f>'Raw Results'!BR22</x:f>
        <x:v>21</x:v>
      </x:c>
      <x:c r="P85" s="30" t="str">
        <x:f>'Raw Results'!BS22</x:f>
        <x:v>21</x:v>
      </x:c>
      <x:c r="Q85" s="33" t="str">
        <x:f>'Raw Results'!BT22</x:f>
        <x:v>0.15347679995466024</x:v>
      </x:c>
      <x:c r="R85" s="30" t="n">
        <x:f>IF('Raw Results'!BU22="True",1,0)</x:f>
        <x:v>1</x:v>
      </x:c>
      <x:c r="S85" s="30" t="n">
        <x:f>N85*R85</x:f>
        <x:v>1</x:v>
      </x:c>
      <x:c r="T85" s="30" t="n">
        <x:f>P85-L85</x:f>
        <x:v>-1</x:v>
      </x:c>
      <x:c r="U85" s="30" t="n">
        <x:f>O85-K85</x:f>
        <x:v>-1</x:v>
      </x:c>
      <x:c r="V85" s="34" t="n">
        <x:f>Q85-M85</x:f>
        <x:v>-0.03317490010522306</x:v>
      </x:c>
      <x:c r="W85" s="35" t="n">
        <x:f>IF(L85=0,"",P85/L85)</x:f>
        <x:v>0.9545454545454546</x:v>
      </x:c>
      <x:c r="X85" s="30" t="n">
        <x:f>K85-L85</x:f>
        <x:v>0</x:v>
      </x:c>
      <x:c r="Y85" s="30" t="n">
        <x:f>O85-P85</x:f>
        <x:v>0</x:v>
      </x:c>
      <x:c r="Z85" s="29" t="str">
        <x:f>IF(S85=0,"Excluded",IF(T85&lt;0,"Collision",IF(T85&gt;0,"Entropy","Tie")))</x:f>
        <x:v>Collision</x:v>
      </x:c>
      <x:c r="AA85" s="29" t="str">
        <x:f>IF(V85&lt;0,"Collision",IF(V85&gt;0,"Entropy","Tie"))</x:f>
        <x:v>Collision</x:v>
      </x:c>
      <x:c r="AB85" s="29" t="str">
        <x:f>'Raw Results'!CE22</x:f>
        <x:v>none</x:v>
      </x:c>
    </x:row>
    <x:row r="86">
      <x:c r="A86" s="29" t="str">
        <x:v>Grid</x:v>
      </x:c>
      <x:c r="B86" s="30" t="str">
        <x:f>'Raw Results'!A23</x:f>
        <x:v>100</x:v>
      </x:c>
      <x:c r="C86" s="31" t="str">
        <x:f>'Raw Results'!B23</x:f>
        <x:v>0.7</x:v>
      </x:c>
      <x:c r="D86" s="30" t="str">
        <x:f>'Raw Results'!C23</x:f>
        <x:v>1</x:v>
      </x:c>
      <x:c r="E86" s="30" t="str">
        <x:f>'Raw Results'!D23</x:f>
        <x:v>388144498</x:v>
      </x:c>
      <x:c r="F86" s="30" t="str">
        <x:f>'Raw Results'!E23</x:f>
        <x:v>3654</x:v>
      </x:c>
      <x:c r="G86" s="30" t="str">
        <x:f>'Raw Results'!F23</x:f>
        <x:v>1</x:v>
      </x:c>
      <x:c r="H86" s="30" t="str">
        <x:f>'Raw Results'!G23</x:f>
        <x:v>100</x:v>
      </x:c>
      <x:c r="I86" s="32" t="str">
        <x:f>'Raw Results'!H23</x:f>
        <x:v>73.08</x:v>
      </x:c>
      <x:c r="J86" s="33" t="str">
        <x:f>'Raw Results'!I23</x:f>
        <x:v>0.7381818181818182</x:v>
      </x:c>
      <x:c r="K86" s="30" t="str">
        <x:f>'Raw Results'!L23</x:f>
        <x:v>83</x:v>
      </x:c>
      <x:c r="L86" s="30" t="str">
        <x:f>'Raw Results'!M23</x:f>
        <x:v>34</x:v>
      </x:c>
      <x:c r="M86" s="33" t="str">
        <x:f>'Raw Results'!N23</x:f>
        <x:v>0.13773059996310622</x:v>
      </x:c>
      <x:c r="N86" s="30" t="n">
        <x:f>IF('Raw Results'!O23="True",1,0)</x:f>
        <x:v>1</x:v>
      </x:c>
      <x:c r="O86" s="30" t="str">
        <x:f>'Raw Results'!P23</x:f>
        <x:v>30</x:v>
      </x:c>
      <x:c r="P86" s="30" t="str">
        <x:f>'Raw Results'!Q23</x:f>
        <x:v>29</x:v>
      </x:c>
      <x:c r="Q86" s="33" t="str">
        <x:f>'Raw Results'!R23</x:f>
        <x:v>0.11655250005424023</x:v>
      </x:c>
      <x:c r="R86" s="30" t="n">
        <x:f>IF('Raw Results'!S23="True",1,0)</x:f>
        <x:v>1</x:v>
      </x:c>
      <x:c r="S86" s="30" t="n">
        <x:f>N86*R86</x:f>
        <x:v>1</x:v>
      </x:c>
      <x:c r="T86" s="30" t="n">
        <x:f>P86-L86</x:f>
        <x:v>-5</x:v>
      </x:c>
      <x:c r="U86" s="30" t="n">
        <x:f>O86-K86</x:f>
        <x:v>-53</x:v>
      </x:c>
      <x:c r="V86" s="34" t="n">
        <x:f>Q86-M86</x:f>
        <x:v>-0.021178099908865988</x:v>
      </x:c>
      <x:c r="W86" s="35" t="n">
        <x:f>IF(L86=0,"",P86/L86)</x:f>
        <x:v>0.8529411764705882</x:v>
      </x:c>
      <x:c r="X86" s="30" t="n">
        <x:f>K86-L86</x:f>
        <x:v>49</x:v>
      </x:c>
      <x:c r="Y86" s="30" t="n">
        <x:f>O86-P86</x:f>
        <x:v>1</x:v>
      </x:c>
      <x:c r="Z86" s="29" t="str">
        <x:f>IF(S86=0,"Excluded",IF(T86&lt;0,"Collision",IF(T86&gt;0,"Entropy","Tie")))</x:f>
        <x:v>Collision</x:v>
      </x:c>
      <x:c r="AA86" s="29" t="str">
        <x:f>IF(V86&lt;0,"Collision",IF(V86&gt;0,"Entropy","Tie"))</x:f>
        <x:v>Collision</x:v>
      </x:c>
      <x:c r="AB86" s="29" t="str">
        <x:f>'Raw Results'!AC23</x:f>
        <x:v>none</x:v>
      </x:c>
    </x:row>
    <x:row r="87">
      <x:c r="A87" s="29" t="str">
        <x:v>Circle</x:v>
      </x:c>
      <x:c r="B87" s="30" t="str">
        <x:f>'Raw Results'!A23</x:f>
        <x:v>100</x:v>
      </x:c>
      <x:c r="C87" s="31" t="str">
        <x:f>'Raw Results'!B23</x:f>
        <x:v>0.7</x:v>
      </x:c>
      <x:c r="D87" s="30" t="str">
        <x:f>'Raw Results'!C23</x:f>
        <x:v>1</x:v>
      </x:c>
      <x:c r="E87" s="30" t="str">
        <x:f>'Raw Results'!D23</x:f>
        <x:v>388144498</x:v>
      </x:c>
      <x:c r="F87" s="30" t="str">
        <x:f>'Raw Results'!E23</x:f>
        <x:v>3654</x:v>
      </x:c>
      <x:c r="G87" s="30" t="str">
        <x:f>'Raw Results'!F23</x:f>
        <x:v>1</x:v>
      </x:c>
      <x:c r="H87" s="30" t="str">
        <x:f>'Raw Results'!G23</x:f>
        <x:v>100</x:v>
      </x:c>
      <x:c r="I87" s="32" t="str">
        <x:f>'Raw Results'!H23</x:f>
        <x:v>73.08</x:v>
      </x:c>
      <x:c r="J87" s="33" t="str">
        <x:f>'Raw Results'!I23</x:f>
        <x:v>0.7381818181818182</x:v>
      </x:c>
      <x:c r="K87" s="30" t="str">
        <x:f>'Raw Results'!AD23</x:f>
        <x:v>87</x:v>
      </x:c>
      <x:c r="L87" s="30" t="str">
        <x:f>'Raw Results'!AE23</x:f>
        <x:v>37</x:v>
      </x:c>
      <x:c r="M87" s="33" t="str">
        <x:f>'Raw Results'!AF23</x:f>
        <x:v>0.04257950000464916</x:v>
      </x:c>
      <x:c r="N87" s="30" t="n">
        <x:f>IF('Raw Results'!AG23="True",1,0)</x:f>
        <x:v>1</x:v>
      </x:c>
      <x:c r="O87" s="30" t="str">
        <x:f>'Raw Results'!AH23</x:f>
        <x:v>79</x:v>
      </x:c>
      <x:c r="P87" s="30" t="str">
        <x:f>'Raw Results'!AI23</x:f>
        <x:v>36</x:v>
      </x:c>
      <x:c r="Q87" s="33" t="str">
        <x:f>'Raw Results'!AJ23</x:f>
        <x:v>0.04316319990903139</x:v>
      </x:c>
      <x:c r="R87" s="30" t="n">
        <x:f>IF('Raw Results'!AK23="True",1,0)</x:f>
        <x:v>1</x:v>
      </x:c>
      <x:c r="S87" s="30" t="n">
        <x:f>N87*R87</x:f>
        <x:v>1</x:v>
      </x:c>
      <x:c r="T87" s="30" t="n">
        <x:f>P87-L87</x:f>
        <x:v>-1</x:v>
      </x:c>
      <x:c r="U87" s="30" t="n">
        <x:f>O87-K87</x:f>
        <x:v>-8</x:v>
      </x:c>
      <x:c r="V87" s="34" t="n">
        <x:f>Q87-M87</x:f>
        <x:v>0.0005836999043822289</x:v>
      </x:c>
      <x:c r="W87" s="35" t="n">
        <x:f>IF(L87=0,"",P87/L87)</x:f>
        <x:v>0.972972972972973</x:v>
      </x:c>
      <x:c r="X87" s="30" t="n">
        <x:f>K87-L87</x:f>
        <x:v>50</x:v>
      </x:c>
      <x:c r="Y87" s="30" t="n">
        <x:f>O87-P87</x:f>
        <x:v>43</x:v>
      </x:c>
      <x:c r="Z87" s="29" t="str">
        <x:f>IF(S87=0,"Excluded",IF(T87&lt;0,"Collision",IF(T87&gt;0,"Entropy","Tie")))</x:f>
        <x:v>Collision</x:v>
      </x:c>
      <x:c r="AA87" s="29" t="str">
        <x:f>IF(V87&lt;0,"Collision",IF(V87&gt;0,"Entropy","Tie"))</x:f>
        <x:v>Entropy</x:v>
      </x:c>
      <x:c r="AB87" s="29" t="str">
        <x:f>'Raw Results'!AU23</x:f>
        <x:v>none</x:v>
      </x:c>
    </x:row>
    <x:row r="88">
      <x:c r="A88" s="29" t="str">
        <x:v>Zoomed Square</x:v>
      </x:c>
      <x:c r="B88" s="30" t="str">
        <x:f>'Raw Results'!A23</x:f>
        <x:v>100</x:v>
      </x:c>
      <x:c r="C88" s="31" t="str">
        <x:f>'Raw Results'!B23</x:f>
        <x:v>0.7</x:v>
      </x:c>
      <x:c r="D88" s="30" t="str">
        <x:f>'Raw Results'!C23</x:f>
        <x:v>1</x:v>
      </x:c>
      <x:c r="E88" s="30" t="str">
        <x:f>'Raw Results'!D23</x:f>
        <x:v>388144498</x:v>
      </x:c>
      <x:c r="F88" s="30" t="str">
        <x:f>'Raw Results'!E23</x:f>
        <x:v>3654</x:v>
      </x:c>
      <x:c r="G88" s="30" t="str">
        <x:f>'Raw Results'!F23</x:f>
        <x:v>1</x:v>
      </x:c>
      <x:c r="H88" s="30" t="str">
        <x:f>'Raw Results'!G23</x:f>
        <x:v>100</x:v>
      </x:c>
      <x:c r="I88" s="32" t="str">
        <x:f>'Raw Results'!H23</x:f>
        <x:v>73.08</x:v>
      </x:c>
      <x:c r="J88" s="33" t="str">
        <x:f>'Raw Results'!I23</x:f>
        <x:v>0.7381818181818182</x:v>
      </x:c>
      <x:c r="K88" s="30" t="str">
        <x:f>'Raw Results'!AV23</x:f>
        <x:v>97</x:v>
      </x:c>
      <x:c r="L88" s="30" t="str">
        <x:f>'Raw Results'!AW23</x:f>
        <x:v>36</x:v>
      </x:c>
      <x:c r="M88" s="33" t="str">
        <x:f>'Raw Results'!AX23</x:f>
        <x:v>0.08080880006309599</x:v>
      </x:c>
      <x:c r="N88" s="30" t="n">
        <x:f>IF('Raw Results'!AY23="True",1,0)</x:f>
        <x:v>1</x:v>
      </x:c>
      <x:c r="O88" s="30" t="str">
        <x:f>'Raw Results'!AZ23</x:f>
        <x:v>57</x:v>
      </x:c>
      <x:c r="P88" s="30" t="str">
        <x:f>'Raw Results'!BA23</x:f>
        <x:v>34</x:v>
      </x:c>
      <x:c r="Q88" s="33" t="str">
        <x:f>'Raw Results'!BB23</x:f>
        <x:v>0.0668173999292776</x:v>
      </x:c>
      <x:c r="R88" s="30" t="n">
        <x:f>IF('Raw Results'!BC23="True",1,0)</x:f>
        <x:v>1</x:v>
      </x:c>
      <x:c r="S88" s="30" t="n">
        <x:f>N88*R88</x:f>
        <x:v>1</x:v>
      </x:c>
      <x:c r="T88" s="30" t="n">
        <x:f>P88-L88</x:f>
        <x:v>-2</x:v>
      </x:c>
      <x:c r="U88" s="30" t="n">
        <x:f>O88-K88</x:f>
        <x:v>-40</x:v>
      </x:c>
      <x:c r="V88" s="34" t="n">
        <x:f>Q88-M88</x:f>
        <x:v>-0.013991400133818388</x:v>
      </x:c>
      <x:c r="W88" s="35" t="n">
        <x:f>IF(L88=0,"",P88/L88)</x:f>
        <x:v>0.9444444444444444</x:v>
      </x:c>
      <x:c r="X88" s="30" t="n">
        <x:f>K88-L88</x:f>
        <x:v>61</x:v>
      </x:c>
      <x:c r="Y88" s="30" t="n">
        <x:f>O88-P88</x:f>
        <x:v>23</x:v>
      </x:c>
      <x:c r="Z88" s="29" t="str">
        <x:f>IF(S88=0,"Excluded",IF(T88&lt;0,"Collision",IF(T88&gt;0,"Entropy","Tie")))</x:f>
        <x:v>Collision</x:v>
      </x:c>
      <x:c r="AA88" s="29" t="str">
        <x:f>IF(V88&lt;0,"Collision",IF(V88&gt;0,"Entropy","Tie"))</x:f>
        <x:v>Collision</x:v>
      </x:c>
      <x:c r="AB88" s="29" t="str">
        <x:f>'Raw Results'!BM23</x:f>
        <x:v>none</x:v>
      </x:c>
    </x:row>
    <x:row r="89">
      <x:c r="A89" s="29" t="str">
        <x:v>ICH</x:v>
      </x:c>
      <x:c r="B89" s="30" t="str">
        <x:f>'Raw Results'!A23</x:f>
        <x:v>100</x:v>
      </x:c>
      <x:c r="C89" s="31" t="str">
        <x:f>'Raw Results'!B23</x:f>
        <x:v>0.7</x:v>
      </x:c>
      <x:c r="D89" s="30" t="str">
        <x:f>'Raw Results'!C23</x:f>
        <x:v>1</x:v>
      </x:c>
      <x:c r="E89" s="30" t="str">
        <x:f>'Raw Results'!D23</x:f>
        <x:v>388144498</x:v>
      </x:c>
      <x:c r="F89" s="30" t="str">
        <x:f>'Raw Results'!E23</x:f>
        <x:v>3654</x:v>
      </x:c>
      <x:c r="G89" s="30" t="str">
        <x:f>'Raw Results'!F23</x:f>
        <x:v>1</x:v>
      </x:c>
      <x:c r="H89" s="30" t="str">
        <x:f>'Raw Results'!G23</x:f>
        <x:v>100</x:v>
      </x:c>
      <x:c r="I89" s="32" t="str">
        <x:f>'Raw Results'!H23</x:f>
        <x:v>73.08</x:v>
      </x:c>
      <x:c r="J89" s="33" t="str">
        <x:f>'Raw Results'!I23</x:f>
        <x:v>0.7381818181818182</x:v>
      </x:c>
      <x:c r="K89" s="30" t="str">
        <x:f>'Raw Results'!BN23</x:f>
        <x:v>30</x:v>
      </x:c>
      <x:c r="L89" s="30" t="str">
        <x:f>'Raw Results'!BO23</x:f>
        <x:v>30</x:v>
      </x:c>
      <x:c r="M89" s="33" t="str">
        <x:f>'Raw Results'!BP23</x:f>
        <x:v>0.21950730006210506</x:v>
      </x:c>
      <x:c r="N89" s="30" t="n">
        <x:f>IF('Raw Results'!BQ23="True",1,0)</x:f>
        <x:v>1</x:v>
      </x:c>
      <x:c r="O89" s="30" t="str">
        <x:f>'Raw Results'!BR23</x:f>
        <x:v>30</x:v>
      </x:c>
      <x:c r="P89" s="30" t="str">
        <x:f>'Raw Results'!BS23</x:f>
        <x:v>30</x:v>
      </x:c>
      <x:c r="Q89" s="33" t="str">
        <x:f>'Raw Results'!BT23</x:f>
        <x:v>0.20186239993199706</x:v>
      </x:c>
      <x:c r="R89" s="30" t="n">
        <x:f>IF('Raw Results'!BU23="True",1,0)</x:f>
        <x:v>1</x:v>
      </x:c>
      <x:c r="S89" s="30" t="n">
        <x:f>N89*R89</x:f>
        <x:v>1</x:v>
      </x:c>
      <x:c r="T89" s="30" t="n">
        <x:f>P89-L89</x:f>
        <x:v>0</x:v>
      </x:c>
      <x:c r="U89" s="30" t="n">
        <x:f>O89-K89</x:f>
        <x:v>0</x:v>
      </x:c>
      <x:c r="V89" s="34" t="n">
        <x:f>Q89-M89</x:f>
        <x:v>-0.017644900130108</x:v>
      </x:c>
      <x:c r="W89" s="35" t="n">
        <x:f>IF(L89=0,"",P89/L89)</x:f>
        <x:v>1</x:v>
      </x:c>
      <x:c r="X89" s="30" t="n">
        <x:f>K89-L89</x:f>
        <x:v>0</x:v>
      </x:c>
      <x:c r="Y89" s="30" t="n">
        <x:f>O89-P89</x:f>
        <x:v>0</x:v>
      </x:c>
      <x:c r="Z89" s="29" t="str">
        <x:f>IF(S89=0,"Excluded",IF(T89&lt;0,"Collision",IF(T89&gt;0,"Entropy","Tie")))</x:f>
        <x:v>Tie</x:v>
      </x:c>
      <x:c r="AA89" s="29" t="str">
        <x:f>IF(V89&lt;0,"Collision",IF(V89&gt;0,"Entropy","Tie"))</x:f>
        <x:v>Collision</x:v>
      </x:c>
      <x:c r="AB89" s="29" t="str">
        <x:f>'Raw Results'!CE23</x:f>
        <x:v>none</x:v>
      </x:c>
    </x:row>
    <x:row r="90">
      <x:c r="A90" s="29" t="str">
        <x:v>Grid</x:v>
      </x:c>
      <x:c r="B90" s="30" t="str">
        <x:f>'Raw Results'!A24</x:f>
        <x:v>100</x:v>
      </x:c>
      <x:c r="C90" s="31" t="str">
        <x:f>'Raw Results'!B24</x:f>
        <x:v>0.7</x:v>
      </x:c>
      <x:c r="D90" s="30" t="str">
        <x:f>'Raw Results'!C24</x:f>
        <x:v>2</x:v>
      </x:c>
      <x:c r="E90" s="30" t="str">
        <x:f>'Raw Results'!D24</x:f>
        <x:v>2882482730</x:v>
      </x:c>
      <x:c r="F90" s="30" t="str">
        <x:f>'Raw Results'!E24</x:f>
        <x:v>3580</x:v>
      </x:c>
      <x:c r="G90" s="30" t="str">
        <x:f>'Raw Results'!F24</x:f>
        <x:v>1</x:v>
      </x:c>
      <x:c r="H90" s="30" t="str">
        <x:f>'Raw Results'!G24</x:f>
        <x:v>100</x:v>
      </x:c>
      <x:c r="I90" s="32" t="str">
        <x:f>'Raw Results'!H24</x:f>
        <x:v>71.6</x:v>
      </x:c>
      <x:c r="J90" s="33" t="str">
        <x:f>'Raw Results'!I24</x:f>
        <x:v>0.7232323232323232</x:v>
      </x:c>
      <x:c r="K90" s="30" t="str">
        <x:f>'Raw Results'!L24</x:f>
        <x:v>80</x:v>
      </x:c>
      <x:c r="L90" s="30" t="str">
        <x:f>'Raw Results'!M24</x:f>
        <x:v>31</x:v>
      </x:c>
      <x:c r="M90" s="33" t="str">
        <x:f>'Raw Results'!N24</x:f>
        <x:v>0.13903030008077621</x:v>
      </x:c>
      <x:c r="N90" s="30" t="n">
        <x:f>IF('Raw Results'!O24="True",1,0)</x:f>
        <x:v>1</x:v>
      </x:c>
      <x:c r="O90" s="30" t="str">
        <x:f>'Raw Results'!P24</x:f>
        <x:v>33</x:v>
      </x:c>
      <x:c r="P90" s="30" t="str">
        <x:f>'Raw Results'!Q24</x:f>
        <x:v>32</x:v>
      </x:c>
      <x:c r="Q90" s="33" t="str">
        <x:f>'Raw Results'!R24</x:f>
        <x:v>0.105930499965325</x:v>
      </x:c>
      <x:c r="R90" s="30" t="n">
        <x:f>IF('Raw Results'!S24="True",1,0)</x:f>
        <x:v>1</x:v>
      </x:c>
      <x:c r="S90" s="30" t="n">
        <x:f>N90*R90</x:f>
        <x:v>1</x:v>
      </x:c>
      <x:c r="T90" s="30" t="n">
        <x:f>P90-L90</x:f>
        <x:v>1</x:v>
      </x:c>
      <x:c r="U90" s="30" t="n">
        <x:f>O90-K90</x:f>
        <x:v>-47</x:v>
      </x:c>
      <x:c r="V90" s="34" t="n">
        <x:f>Q90-M90</x:f>
        <x:v>-0.03309980011545122</x:v>
      </x:c>
      <x:c r="W90" s="35" t="n">
        <x:f>IF(L90=0,"",P90/L90)</x:f>
        <x:v>1.032258064516129</x:v>
      </x:c>
      <x:c r="X90" s="30" t="n">
        <x:f>K90-L90</x:f>
        <x:v>49</x:v>
      </x:c>
      <x:c r="Y90" s="30" t="n">
        <x:f>O90-P90</x:f>
        <x:v>1</x:v>
      </x:c>
      <x:c r="Z90" s="29" t="str">
        <x:f>IF(S90=0,"Excluded",IF(T90&lt;0,"Collision",IF(T90&gt;0,"Entropy","Tie")))</x:f>
        <x:v>Entropy</x:v>
      </x:c>
      <x:c r="AA90" s="29" t="str">
        <x:f>IF(V90&lt;0,"Collision",IF(V90&gt;0,"Entropy","Tie"))</x:f>
        <x:v>Collision</x:v>
      </x:c>
      <x:c r="AB90" s="29" t="str">
        <x:f>'Raw Results'!AC24</x:f>
        <x:v>none</x:v>
      </x:c>
    </x:row>
    <x:row r="91">
      <x:c r="A91" s="29" t="str">
        <x:v>Circle</x:v>
      </x:c>
      <x:c r="B91" s="30" t="str">
        <x:f>'Raw Results'!A24</x:f>
        <x:v>100</x:v>
      </x:c>
      <x:c r="C91" s="31" t="str">
        <x:f>'Raw Results'!B24</x:f>
        <x:v>0.7</x:v>
      </x:c>
      <x:c r="D91" s="30" t="str">
        <x:f>'Raw Results'!C24</x:f>
        <x:v>2</x:v>
      </x:c>
      <x:c r="E91" s="30" t="str">
        <x:f>'Raw Results'!D24</x:f>
        <x:v>2882482730</x:v>
      </x:c>
      <x:c r="F91" s="30" t="str">
        <x:f>'Raw Results'!E24</x:f>
        <x:v>3580</x:v>
      </x:c>
      <x:c r="G91" s="30" t="str">
        <x:f>'Raw Results'!F24</x:f>
        <x:v>1</x:v>
      </x:c>
      <x:c r="H91" s="30" t="str">
        <x:f>'Raw Results'!G24</x:f>
        <x:v>100</x:v>
      </x:c>
      <x:c r="I91" s="32" t="str">
        <x:f>'Raw Results'!H24</x:f>
        <x:v>71.6</x:v>
      </x:c>
      <x:c r="J91" s="33" t="str">
        <x:f>'Raw Results'!I24</x:f>
        <x:v>0.7232323232323232</x:v>
      </x:c>
      <x:c r="K91" s="30" t="str">
        <x:f>'Raw Results'!AD24</x:f>
        <x:v>76</x:v>
      </x:c>
      <x:c r="L91" s="30" t="str">
        <x:f>'Raw Results'!AE24</x:f>
        <x:v>43</x:v>
      </x:c>
      <x:c r="M91" s="33" t="str">
        <x:f>'Raw Results'!AF24</x:f>
        <x:v>0.06621590000577271</x:v>
      </x:c>
      <x:c r="N91" s="30" t="n">
        <x:f>IF('Raw Results'!AG24="True",1,0)</x:f>
        <x:v>1</x:v>
      </x:c>
      <x:c r="O91" s="30" t="str">
        <x:f>'Raw Results'!AH24</x:f>
        <x:v>85</x:v>
      </x:c>
      <x:c r="P91" s="30" t="str">
        <x:f>'Raw Results'!AI24</x:f>
        <x:v>41</x:v>
      </x:c>
      <x:c r="Q91" s="33" t="str">
        <x:f>'Raw Results'!AJ24</x:f>
        <x:v>0.059011599980294704</x:v>
      </x:c>
      <x:c r="R91" s="30" t="n">
        <x:f>IF('Raw Results'!AK24="True",1,0)</x:f>
        <x:v>1</x:v>
      </x:c>
      <x:c r="S91" s="30" t="n">
        <x:f>N91*R91</x:f>
        <x:v>1</x:v>
      </x:c>
      <x:c r="T91" s="30" t="n">
        <x:f>P91-L91</x:f>
        <x:v>-2</x:v>
      </x:c>
      <x:c r="U91" s="30" t="n">
        <x:f>O91-K91</x:f>
        <x:v>9</x:v>
      </x:c>
      <x:c r="V91" s="34" t="n">
        <x:f>Q91-M91</x:f>
        <x:v>-0.007204300025478005</x:v>
      </x:c>
      <x:c r="W91" s="35" t="n">
        <x:f>IF(L91=0,"",P91/L91)</x:f>
        <x:v>0.9534883720930233</x:v>
      </x:c>
      <x:c r="X91" s="30" t="n">
        <x:f>K91-L91</x:f>
        <x:v>33</x:v>
      </x:c>
      <x:c r="Y91" s="30" t="n">
        <x:f>O91-P91</x:f>
        <x:v>44</x:v>
      </x:c>
      <x:c r="Z91" s="29" t="str">
        <x:f>IF(S91=0,"Excluded",IF(T91&lt;0,"Collision",IF(T91&gt;0,"Entropy","Tie")))</x:f>
        <x:v>Collision</x:v>
      </x:c>
      <x:c r="AA91" s="29" t="str">
        <x:f>IF(V91&lt;0,"Collision",IF(V91&gt;0,"Entropy","Tie"))</x:f>
        <x:v>Collision</x:v>
      </x:c>
      <x:c r="AB91" s="29" t="str">
        <x:f>'Raw Results'!AU24</x:f>
        <x:v>none</x:v>
      </x:c>
    </x:row>
    <x:row r="92">
      <x:c r="A92" s="29" t="str">
        <x:v>Zoomed Square</x:v>
      </x:c>
      <x:c r="B92" s="30" t="str">
        <x:f>'Raw Results'!A24</x:f>
        <x:v>100</x:v>
      </x:c>
      <x:c r="C92" s="31" t="str">
        <x:f>'Raw Results'!B24</x:f>
        <x:v>0.7</x:v>
      </x:c>
      <x:c r="D92" s="30" t="str">
        <x:f>'Raw Results'!C24</x:f>
        <x:v>2</x:v>
      </x:c>
      <x:c r="E92" s="30" t="str">
        <x:f>'Raw Results'!D24</x:f>
        <x:v>2882482730</x:v>
      </x:c>
      <x:c r="F92" s="30" t="str">
        <x:f>'Raw Results'!E24</x:f>
        <x:v>3580</x:v>
      </x:c>
      <x:c r="G92" s="30" t="str">
        <x:f>'Raw Results'!F24</x:f>
        <x:v>1</x:v>
      </x:c>
      <x:c r="H92" s="30" t="str">
        <x:f>'Raw Results'!G24</x:f>
        <x:v>100</x:v>
      </x:c>
      <x:c r="I92" s="32" t="str">
        <x:f>'Raw Results'!H24</x:f>
        <x:v>71.6</x:v>
      </x:c>
      <x:c r="J92" s="33" t="str">
        <x:f>'Raw Results'!I24</x:f>
        <x:v>0.7232323232323232</x:v>
      </x:c>
      <x:c r="K92" s="30" t="str">
        <x:f>'Raw Results'!AV24</x:f>
        <x:v>81</x:v>
      </x:c>
      <x:c r="L92" s="30" t="str">
        <x:f>'Raw Results'!AW24</x:f>
        <x:v>38</x:v>
      </x:c>
      <x:c r="M92" s="33" t="str">
        <x:f>'Raw Results'!AX24</x:f>
        <x:v>0.11886440007947385</x:v>
      </x:c>
      <x:c r="N92" s="30" t="n">
        <x:f>IF('Raw Results'!AY24="True",1,0)</x:f>
        <x:v>1</x:v>
      </x:c>
      <x:c r="O92" s="30" t="str">
        <x:f>'Raw Results'!AZ24</x:f>
        <x:v>39</x:v>
      </x:c>
      <x:c r="P92" s="30" t="str">
        <x:f>'Raw Results'!BA24</x:f>
        <x:v>38</x:v>
      </x:c>
      <x:c r="Q92" s="33" t="str">
        <x:f>'Raw Results'!BB24</x:f>
        <x:v>0.09590970003046095</x:v>
      </x:c>
      <x:c r="R92" s="30" t="n">
        <x:f>IF('Raw Results'!BC24="True",1,0)</x:f>
        <x:v>1</x:v>
      </x:c>
      <x:c r="S92" s="30" t="n">
        <x:f>N92*R92</x:f>
        <x:v>1</x:v>
      </x:c>
      <x:c r="T92" s="30" t="n">
        <x:f>P92-L92</x:f>
        <x:v>0</x:v>
      </x:c>
      <x:c r="U92" s="30" t="n">
        <x:f>O92-K92</x:f>
        <x:v>-42</x:v>
      </x:c>
      <x:c r="V92" s="34" t="n">
        <x:f>Q92-M92</x:f>
        <x:v>-0.0229547000490129</x:v>
      </x:c>
      <x:c r="W92" s="35" t="n">
        <x:f>IF(L92=0,"",P92/L92)</x:f>
        <x:v>1</x:v>
      </x:c>
      <x:c r="X92" s="30" t="n">
        <x:f>K92-L92</x:f>
        <x:v>43</x:v>
      </x:c>
      <x:c r="Y92" s="30" t="n">
        <x:f>O92-P92</x:f>
        <x:v>1</x:v>
      </x:c>
      <x:c r="Z92" s="29" t="str">
        <x:f>IF(S92=0,"Excluded",IF(T92&lt;0,"Collision",IF(T92&gt;0,"Entropy","Tie")))</x:f>
        <x:v>Tie</x:v>
      </x:c>
      <x:c r="AA92" s="29" t="str">
        <x:f>IF(V92&lt;0,"Collision",IF(V92&gt;0,"Entropy","Tie"))</x:f>
        <x:v>Collision</x:v>
      </x:c>
      <x:c r="AB92" s="29" t="str">
        <x:f>'Raw Results'!BM24</x:f>
        <x:v>none</x:v>
      </x:c>
    </x:row>
    <x:row r="93">
      <x:c r="A93" s="29" t="str">
        <x:v>ICH</x:v>
      </x:c>
      <x:c r="B93" s="30" t="str">
        <x:f>'Raw Results'!A24</x:f>
        <x:v>100</x:v>
      </x:c>
      <x:c r="C93" s="31" t="str">
        <x:f>'Raw Results'!B24</x:f>
        <x:v>0.7</x:v>
      </x:c>
      <x:c r="D93" s="30" t="str">
        <x:f>'Raw Results'!C24</x:f>
        <x:v>2</x:v>
      </x:c>
      <x:c r="E93" s="30" t="str">
        <x:f>'Raw Results'!D24</x:f>
        <x:v>2882482730</x:v>
      </x:c>
      <x:c r="F93" s="30" t="str">
        <x:f>'Raw Results'!E24</x:f>
        <x:v>3580</x:v>
      </x:c>
      <x:c r="G93" s="30" t="str">
        <x:f>'Raw Results'!F24</x:f>
        <x:v>1</x:v>
      </x:c>
      <x:c r="H93" s="30" t="str">
        <x:f>'Raw Results'!G24</x:f>
        <x:v>100</x:v>
      </x:c>
      <x:c r="I93" s="32" t="str">
        <x:f>'Raw Results'!H24</x:f>
        <x:v>71.6</x:v>
      </x:c>
      <x:c r="J93" s="33" t="str">
        <x:f>'Raw Results'!I24</x:f>
        <x:v>0.7232323232323232</x:v>
      </x:c>
      <x:c r="K93" s="30" t="str">
        <x:f>'Raw Results'!BN24</x:f>
        <x:v>31</x:v>
      </x:c>
      <x:c r="L93" s="30" t="str">
        <x:f>'Raw Results'!BO24</x:f>
        <x:v>31</x:v>
      </x:c>
      <x:c r="M93" s="33" t="str">
        <x:f>'Raw Results'!BP24</x:f>
        <x:v>0.23325010004919022</x:v>
      </x:c>
      <x:c r="N93" s="30" t="n">
        <x:f>IF('Raw Results'!BQ24="True",1,0)</x:f>
        <x:v>1</x:v>
      </x:c>
      <x:c r="O93" s="30" t="str">
        <x:f>'Raw Results'!BR24</x:f>
        <x:v>31</x:v>
      </x:c>
      <x:c r="P93" s="30" t="str">
        <x:f>'Raw Results'!BS24</x:f>
        <x:v>31</x:v>
      </x:c>
      <x:c r="Q93" s="33" t="str">
        <x:f>'Raw Results'!BT24</x:f>
        <x:v>0.24480499990750104</x:v>
      </x:c>
      <x:c r="R93" s="30" t="n">
        <x:f>IF('Raw Results'!BU24="True",1,0)</x:f>
        <x:v>1</x:v>
      </x:c>
      <x:c r="S93" s="30" t="n">
        <x:f>N93*R93</x:f>
        <x:v>1</x:v>
      </x:c>
      <x:c r="T93" s="30" t="n">
        <x:f>P93-L93</x:f>
        <x:v>0</x:v>
      </x:c>
      <x:c r="U93" s="30" t="n">
        <x:f>O93-K93</x:f>
        <x:v>0</x:v>
      </x:c>
      <x:c r="V93" s="34" t="n">
        <x:f>Q93-M93</x:f>
        <x:v>0.011554899858310819</x:v>
      </x:c>
      <x:c r="W93" s="35" t="n">
        <x:f>IF(L93=0,"",P93/L93)</x:f>
        <x:v>1</x:v>
      </x:c>
      <x:c r="X93" s="30" t="n">
        <x:f>K93-L93</x:f>
        <x:v>0</x:v>
      </x:c>
      <x:c r="Y93" s="30" t="n">
        <x:f>O93-P93</x:f>
        <x:v>0</x:v>
      </x:c>
      <x:c r="Z93" s="29" t="str">
        <x:f>IF(S93=0,"Excluded",IF(T93&lt;0,"Collision",IF(T93&gt;0,"Entropy","Tie")))</x:f>
        <x:v>Tie</x:v>
      </x:c>
      <x:c r="AA93" s="29" t="str">
        <x:f>IF(V93&lt;0,"Collision",IF(V93&gt;0,"Entropy","Tie"))</x:f>
        <x:v>Entropy</x:v>
      </x:c>
      <x:c r="AB93" s="29" t="str">
        <x:f>'Raw Results'!CE24</x:f>
        <x:v>none</x:v>
      </x:c>
    </x:row>
    <x:row r="94">
      <x:c r="A94" s="29" t="str">
        <x:v>Grid</x:v>
      </x:c>
      <x:c r="B94" s="30" t="str">
        <x:f>'Raw Results'!A25</x:f>
        <x:v>100</x:v>
      </x:c>
      <x:c r="C94" s="31" t="str">
        <x:f>'Raw Results'!B25</x:f>
        <x:v>0.7</x:v>
      </x:c>
      <x:c r="D94" s="30" t="str">
        <x:f>'Raw Results'!C25</x:f>
        <x:v>3</x:v>
      </x:c>
      <x:c r="E94" s="30" t="str">
        <x:f>'Raw Results'!D25</x:f>
        <x:v>4029645260</x:v>
      </x:c>
      <x:c r="F94" s="30" t="str">
        <x:f>'Raw Results'!E25</x:f>
        <x:v>3743</x:v>
      </x:c>
      <x:c r="G94" s="30" t="str">
        <x:f>'Raw Results'!F25</x:f>
        <x:v>1</x:v>
      </x:c>
      <x:c r="H94" s="30" t="str">
        <x:f>'Raw Results'!G25</x:f>
        <x:v>100</x:v>
      </x:c>
      <x:c r="I94" s="32" t="str">
        <x:f>'Raw Results'!H25</x:f>
        <x:v>74.86</x:v>
      </x:c>
      <x:c r="J94" s="33" t="str">
        <x:f>'Raw Results'!I25</x:f>
        <x:v>0.7561616161616161</x:v>
      </x:c>
      <x:c r="K94" s="30" t="str">
        <x:f>'Raw Results'!L25</x:f>
        <x:v>83</x:v>
      </x:c>
      <x:c r="L94" s="30" t="str">
        <x:f>'Raw Results'!M25</x:f>
        <x:v>37</x:v>
      </x:c>
      <x:c r="M94" s="33" t="str">
        <x:f>'Raw Results'!N25</x:f>
        <x:v>0.1418143999762833</x:v>
      </x:c>
      <x:c r="N94" s="30" t="n">
        <x:f>IF('Raw Results'!O25="True",1,0)</x:f>
        <x:v>1</x:v>
      </x:c>
      <x:c r="O94" s="30" t="str">
        <x:f>'Raw Results'!P25</x:f>
        <x:v>37</x:v>
      </x:c>
      <x:c r="P94" s="30" t="str">
        <x:f>'Raw Results'!Q25</x:f>
        <x:v>35</x:v>
      </x:c>
      <x:c r="Q94" s="33" t="str">
        <x:f>'Raw Results'!R25</x:f>
        <x:v>0.1226916000014171</x:v>
      </x:c>
      <x:c r="R94" s="30" t="n">
        <x:f>IF('Raw Results'!S25="True",1,0)</x:f>
        <x:v>1</x:v>
      </x:c>
      <x:c r="S94" s="30" t="n">
        <x:f>N94*R94</x:f>
        <x:v>1</x:v>
      </x:c>
      <x:c r="T94" s="30" t="n">
        <x:f>P94-L94</x:f>
        <x:v>-2</x:v>
      </x:c>
      <x:c r="U94" s="30" t="n">
        <x:f>O94-K94</x:f>
        <x:v>-46</x:v>
      </x:c>
      <x:c r="V94" s="34" t="n">
        <x:f>Q94-M94</x:f>
        <x:v>-0.01912279997486621</x:v>
      </x:c>
      <x:c r="W94" s="35" t="n">
        <x:f>IF(L94=0,"",P94/L94)</x:f>
        <x:v>0.9459459459459459</x:v>
      </x:c>
      <x:c r="X94" s="30" t="n">
        <x:f>K94-L94</x:f>
        <x:v>46</x:v>
      </x:c>
      <x:c r="Y94" s="30" t="n">
        <x:f>O94-P94</x:f>
        <x:v>2</x:v>
      </x:c>
      <x:c r="Z94" s="29" t="str">
        <x:f>IF(S94=0,"Excluded",IF(T94&lt;0,"Collision",IF(T94&gt;0,"Entropy","Tie")))</x:f>
        <x:v>Collision</x:v>
      </x:c>
      <x:c r="AA94" s="29" t="str">
        <x:f>IF(V94&lt;0,"Collision",IF(V94&gt;0,"Entropy","Tie"))</x:f>
        <x:v>Collision</x:v>
      </x:c>
      <x:c r="AB94" s="29" t="str">
        <x:f>'Raw Results'!AC25</x:f>
        <x:v>none</x:v>
      </x:c>
    </x:row>
    <x:row r="95">
      <x:c r="A95" s="29" t="str">
        <x:v>Circle</x:v>
      </x:c>
      <x:c r="B95" s="30" t="str">
        <x:f>'Raw Results'!A25</x:f>
        <x:v>100</x:v>
      </x:c>
      <x:c r="C95" s="31" t="str">
        <x:f>'Raw Results'!B25</x:f>
        <x:v>0.7</x:v>
      </x:c>
      <x:c r="D95" s="30" t="str">
        <x:f>'Raw Results'!C25</x:f>
        <x:v>3</x:v>
      </x:c>
      <x:c r="E95" s="30" t="str">
        <x:f>'Raw Results'!D25</x:f>
        <x:v>4029645260</x:v>
      </x:c>
      <x:c r="F95" s="30" t="str">
        <x:f>'Raw Results'!E25</x:f>
        <x:v>3743</x:v>
      </x:c>
      <x:c r="G95" s="30" t="str">
        <x:f>'Raw Results'!F25</x:f>
        <x:v>1</x:v>
      </x:c>
      <x:c r="H95" s="30" t="str">
        <x:f>'Raw Results'!G25</x:f>
        <x:v>100</x:v>
      </x:c>
      <x:c r="I95" s="32" t="str">
        <x:f>'Raw Results'!H25</x:f>
        <x:v>74.86</x:v>
      </x:c>
      <x:c r="J95" s="33" t="str">
        <x:f>'Raw Results'!I25</x:f>
        <x:v>0.7561616161616161</x:v>
      </x:c>
      <x:c r="K95" s="30" t="str">
        <x:f>'Raw Results'!AD25</x:f>
        <x:v>85</x:v>
      </x:c>
      <x:c r="L95" s="30" t="str">
        <x:f>'Raw Results'!AE25</x:f>
        <x:v>44</x:v>
      </x:c>
      <x:c r="M95" s="33" t="str">
        <x:f>'Raw Results'!AF25</x:f>
        <x:v>0.06153230008203536</x:v>
      </x:c>
      <x:c r="N95" s="30" t="n">
        <x:f>IF('Raw Results'!AG25="True",1,0)</x:f>
        <x:v>1</x:v>
      </x:c>
      <x:c r="O95" s="30" t="str">
        <x:f>'Raw Results'!AH25</x:f>
        <x:v>72</x:v>
      </x:c>
      <x:c r="P95" s="30" t="str">
        <x:f>'Raw Results'!AI25</x:f>
        <x:v>47</x:v>
      </x:c>
      <x:c r="Q95" s="33" t="str">
        <x:f>'Raw Results'!AJ25</x:f>
        <x:v>0.06100909993983805</x:v>
      </x:c>
      <x:c r="R95" s="30" t="n">
        <x:f>IF('Raw Results'!AK25="True",1,0)</x:f>
        <x:v>1</x:v>
      </x:c>
      <x:c r="S95" s="30" t="n">
        <x:f>N95*R95</x:f>
        <x:v>1</x:v>
      </x:c>
      <x:c r="T95" s="30" t="n">
        <x:f>P95-L95</x:f>
        <x:v>3</x:v>
      </x:c>
      <x:c r="U95" s="30" t="n">
        <x:f>O95-K95</x:f>
        <x:v>-13</x:v>
      </x:c>
      <x:c r="V95" s="34" t="n">
        <x:f>Q95-M95</x:f>
        <x:v>-0.0005232001421973109</x:v>
      </x:c>
      <x:c r="W95" s="35" t="n">
        <x:f>IF(L95=0,"",P95/L95)</x:f>
        <x:v>1.0681818181818181</x:v>
      </x:c>
      <x:c r="X95" s="30" t="n">
        <x:f>K95-L95</x:f>
        <x:v>41</x:v>
      </x:c>
      <x:c r="Y95" s="30" t="n">
        <x:f>O95-P95</x:f>
        <x:v>25</x:v>
      </x:c>
      <x:c r="Z95" s="29" t="str">
        <x:f>IF(S95=0,"Excluded",IF(T95&lt;0,"Collision",IF(T95&gt;0,"Entropy","Tie")))</x:f>
        <x:v>Entropy</x:v>
      </x:c>
      <x:c r="AA95" s="29" t="str">
        <x:f>IF(V95&lt;0,"Collision",IF(V95&gt;0,"Entropy","Tie"))</x:f>
        <x:v>Collision</x:v>
      </x:c>
      <x:c r="AB95" s="29" t="str">
        <x:f>'Raw Results'!AU25</x:f>
        <x:v>none</x:v>
      </x:c>
    </x:row>
    <x:row r="96">
      <x:c r="A96" s="29" t="str">
        <x:v>Zoomed Square</x:v>
      </x:c>
      <x:c r="B96" s="30" t="str">
        <x:f>'Raw Results'!A25</x:f>
        <x:v>100</x:v>
      </x:c>
      <x:c r="C96" s="31" t="str">
        <x:f>'Raw Results'!B25</x:f>
        <x:v>0.7</x:v>
      </x:c>
      <x:c r="D96" s="30" t="str">
        <x:f>'Raw Results'!C25</x:f>
        <x:v>3</x:v>
      </x:c>
      <x:c r="E96" s="30" t="str">
        <x:f>'Raw Results'!D25</x:f>
        <x:v>4029645260</x:v>
      </x:c>
      <x:c r="F96" s="30" t="str">
        <x:f>'Raw Results'!E25</x:f>
        <x:v>3743</x:v>
      </x:c>
      <x:c r="G96" s="30" t="str">
        <x:f>'Raw Results'!F25</x:f>
        <x:v>1</x:v>
      </x:c>
      <x:c r="H96" s="30" t="str">
        <x:f>'Raw Results'!G25</x:f>
        <x:v>100</x:v>
      </x:c>
      <x:c r="I96" s="32" t="str">
        <x:f>'Raw Results'!H25</x:f>
        <x:v>74.86</x:v>
      </x:c>
      <x:c r="J96" s="33" t="str">
        <x:f>'Raw Results'!I25</x:f>
        <x:v>0.7561616161616161</x:v>
      </x:c>
      <x:c r="K96" s="30" t="str">
        <x:f>'Raw Results'!AV25</x:f>
        <x:v>96</x:v>
      </x:c>
      <x:c r="L96" s="30" t="str">
        <x:f>'Raw Results'!AW25</x:f>
        <x:v>39</x:v>
      </x:c>
      <x:c r="M96" s="33" t="str">
        <x:f>'Raw Results'!AX25</x:f>
        <x:v>0.08186319994274527</x:v>
      </x:c>
      <x:c r="N96" s="30" t="n">
        <x:f>IF('Raw Results'!AY25="True",1,0)</x:f>
        <x:v>1</x:v>
      </x:c>
      <x:c r="O96" s="30" t="str">
        <x:f>'Raw Results'!AZ25</x:f>
        <x:v>58</x:v>
      </x:c>
      <x:c r="P96" s="30" t="str">
        <x:f>'Raw Results'!BA25</x:f>
        <x:v>36</x:v>
      </x:c>
      <x:c r="Q96" s="33" t="str">
        <x:f>'Raw Results'!BB25</x:f>
        <x:v>0.08233550004661083</x:v>
      </x:c>
      <x:c r="R96" s="30" t="n">
        <x:f>IF('Raw Results'!BC25="True",1,0)</x:f>
        <x:v>1</x:v>
      </x:c>
      <x:c r="S96" s="30" t="n">
        <x:f>N96*R96</x:f>
        <x:v>1</x:v>
      </x:c>
      <x:c r="T96" s="30" t="n">
        <x:f>P96-L96</x:f>
        <x:v>-3</x:v>
      </x:c>
      <x:c r="U96" s="30" t="n">
        <x:f>O96-K96</x:f>
        <x:v>-38</x:v>
      </x:c>
      <x:c r="V96" s="34" t="n">
        <x:f>Q96-M96</x:f>
        <x:v>0.00047230010386556387</x:v>
      </x:c>
      <x:c r="W96" s="35" t="n">
        <x:f>IF(L96=0,"",P96/L96)</x:f>
        <x:v>0.9230769230769231</x:v>
      </x:c>
      <x:c r="X96" s="30" t="n">
        <x:f>K96-L96</x:f>
        <x:v>57</x:v>
      </x:c>
      <x:c r="Y96" s="30" t="n">
        <x:f>O96-P96</x:f>
        <x:v>22</x:v>
      </x:c>
      <x:c r="Z96" s="29" t="str">
        <x:f>IF(S96=0,"Excluded",IF(T96&lt;0,"Collision",IF(T96&gt;0,"Entropy","Tie")))</x:f>
        <x:v>Collision</x:v>
      </x:c>
      <x:c r="AA96" s="29" t="str">
        <x:f>IF(V96&lt;0,"Collision",IF(V96&gt;0,"Entropy","Tie"))</x:f>
        <x:v>Entropy</x:v>
      </x:c>
      <x:c r="AB96" s="29" t="str">
        <x:f>'Raw Results'!BM25</x:f>
        <x:v>none</x:v>
      </x:c>
    </x:row>
    <x:row r="97">
      <x:c r="A97" s="29" t="str">
        <x:v>ICH</x:v>
      </x:c>
      <x:c r="B97" s="30" t="str">
        <x:f>'Raw Results'!A25</x:f>
        <x:v>100</x:v>
      </x:c>
      <x:c r="C97" s="31" t="str">
        <x:f>'Raw Results'!B25</x:f>
        <x:v>0.7</x:v>
      </x:c>
      <x:c r="D97" s="30" t="str">
        <x:f>'Raw Results'!C25</x:f>
        <x:v>3</x:v>
      </x:c>
      <x:c r="E97" s="30" t="str">
        <x:f>'Raw Results'!D25</x:f>
        <x:v>4029645260</x:v>
      </x:c>
      <x:c r="F97" s="30" t="str">
        <x:f>'Raw Results'!E25</x:f>
        <x:v>3743</x:v>
      </x:c>
      <x:c r="G97" s="30" t="str">
        <x:f>'Raw Results'!F25</x:f>
        <x:v>1</x:v>
      </x:c>
      <x:c r="H97" s="30" t="str">
        <x:f>'Raw Results'!G25</x:f>
        <x:v>100</x:v>
      </x:c>
      <x:c r="I97" s="32" t="str">
        <x:f>'Raw Results'!H25</x:f>
        <x:v>74.86</x:v>
      </x:c>
      <x:c r="J97" s="33" t="str">
        <x:f>'Raw Results'!I25</x:f>
        <x:v>0.7561616161616161</x:v>
      </x:c>
      <x:c r="K97" s="30" t="str">
        <x:f>'Raw Results'!BN25</x:f>
        <x:v>36</x:v>
      </x:c>
      <x:c r="L97" s="30" t="str">
        <x:f>'Raw Results'!BO25</x:f>
        <x:v>36</x:v>
      </x:c>
      <x:c r="M97" s="33" t="str">
        <x:f>'Raw Results'!BP25</x:f>
        <x:v>0.30019280000124127</x:v>
      </x:c>
      <x:c r="N97" s="30" t="n">
        <x:f>IF('Raw Results'!BQ25="True",1,0)</x:f>
        <x:v>1</x:v>
      </x:c>
      <x:c r="O97" s="30" t="str">
        <x:f>'Raw Results'!BR25</x:f>
        <x:v>36</x:v>
      </x:c>
      <x:c r="P97" s="30" t="str">
        <x:f>'Raw Results'!BS25</x:f>
        <x:v>36</x:v>
      </x:c>
      <x:c r="Q97" s="33" t="str">
        <x:f>'Raw Results'!BT25</x:f>
        <x:v>0.21963329997379333</x:v>
      </x:c>
      <x:c r="R97" s="30" t="n">
        <x:f>IF('Raw Results'!BU25="True",1,0)</x:f>
        <x:v>1</x:v>
      </x:c>
      <x:c r="S97" s="30" t="n">
        <x:f>N97*R97</x:f>
        <x:v>1</x:v>
      </x:c>
      <x:c r="T97" s="30" t="n">
        <x:f>P97-L97</x:f>
        <x:v>0</x:v>
      </x:c>
      <x:c r="U97" s="30" t="n">
        <x:f>O97-K97</x:f>
        <x:v>0</x:v>
      </x:c>
      <x:c r="V97" s="34" t="n">
        <x:f>Q97-M97</x:f>
        <x:v>-0.08055950002744794</x:v>
      </x:c>
      <x:c r="W97" s="35" t="n">
        <x:f>IF(L97=0,"",P97/L97)</x:f>
        <x:v>1</x:v>
      </x:c>
      <x:c r="X97" s="30" t="n">
        <x:f>K97-L97</x:f>
        <x:v>0</x:v>
      </x:c>
      <x:c r="Y97" s="30" t="n">
        <x:f>O97-P97</x:f>
        <x:v>0</x:v>
      </x:c>
      <x:c r="Z97" s="29" t="str">
        <x:f>IF(S97=0,"Excluded",IF(T97&lt;0,"Collision",IF(T97&gt;0,"Entropy","Tie")))</x:f>
        <x:v>Tie</x:v>
      </x:c>
      <x:c r="AA97" s="29" t="str">
        <x:f>IF(V97&lt;0,"Collision",IF(V97&gt;0,"Entropy","Tie"))</x:f>
        <x:v>Collision</x:v>
      </x:c>
      <x:c r="AB97" s="29" t="str">
        <x:f>'Raw Results'!CE25</x:f>
        <x:v>none</x:v>
      </x:c>
    </x:row>
    <x:row r="98">
      <x:c r="A98" s="29" t="str">
        <x:v>Grid</x:v>
      </x:c>
      <x:c r="B98" s="30" t="str">
        <x:f>'Raw Results'!A26</x:f>
        <x:v>200</x:v>
      </x:c>
      <x:c r="C98" s="31" t="str">
        <x:f>'Raw Results'!B26</x:f>
        <x:v>0.1</x:v>
      </x:c>
      <x:c r="D98" s="30" t="str">
        <x:f>'Raw Results'!C26</x:f>
        <x:v>1</x:v>
      </x:c>
      <x:c r="E98" s="30" t="str">
        <x:f>'Raw Results'!D26</x:f>
        <x:v>1851999943</x:v>
      </x:c>
      <x:c r="F98" s="30" t="str">
        <x:f>'Raw Results'!E26</x:f>
        <x:v>626</x:v>
      </x:c>
      <x:c r="G98" s="30" t="str">
        <x:f>'Raw Results'!F26</x:f>
        <x:v>4</x:v>
      </x:c>
      <x:c r="H98" s="30" t="str">
        <x:f>'Raw Results'!G26</x:f>
        <x:v>196</x:v>
      </x:c>
      <x:c r="I98" s="32" t="str">
        <x:f>'Raw Results'!H26</x:f>
        <x:v>6.26</x:v>
      </x:c>
      <x:c r="J98" s="33" t="str">
        <x:f>'Raw Results'!I26</x:f>
        <x:v>0.0314572864321608</x:v>
      </x:c>
      <x:c r="K98" s="30" t="str">
        <x:f>'Raw Results'!L26</x:f>
        <x:v>117</x:v>
      </x:c>
      <x:c r="L98" s="30" t="str">
        <x:f>'Raw Results'!M26</x:f>
        <x:v>117</x:v>
      </x:c>
      <x:c r="M98" s="33" t="str">
        <x:f>'Raw Results'!N26</x:f>
        <x:v>0.03343090007547289</x:v>
      </x:c>
      <x:c r="N98" s="30" t="n">
        <x:f>IF('Raw Results'!O26="True",1,0)</x:f>
        <x:v>0</x:v>
      </x:c>
      <x:c r="O98" s="30" t="str">
        <x:f>'Raw Results'!P26</x:f>
        <x:v>82</x:v>
      </x:c>
      <x:c r="P98" s="30" t="str">
        <x:f>'Raw Results'!Q26</x:f>
        <x:v>82</x:v>
      </x:c>
      <x:c r="Q98" s="33" t="str">
        <x:f>'Raw Results'!R26</x:f>
        <x:v>0.025929199997335672</x:v>
      </x:c>
      <x:c r="R98" s="30" t="n">
        <x:f>IF('Raw Results'!S26="True",1,0)</x:f>
        <x:v>0</x:v>
      </x:c>
      <x:c r="S98" s="30" t="n">
        <x:f>N98*R98</x:f>
        <x:v>0</x:v>
      </x:c>
      <x:c r="T98" s="30" t="n">
        <x:f>P98-L98</x:f>
        <x:v>-35</x:v>
      </x:c>
      <x:c r="U98" s="30" t="n">
        <x:f>O98-K98</x:f>
        <x:v>-35</x:v>
      </x:c>
      <x:c r="V98" s="34" t="n">
        <x:f>Q98-M98</x:f>
        <x:v>-0.007501700078137219</x:v>
      </x:c>
      <x:c r="W98" s="35" t="n">
        <x:f>IF(L98=0,"",P98/L98)</x:f>
        <x:v>0.7008547008547008</x:v>
      </x:c>
      <x:c r="X98" s="30" t="n">
        <x:f>K98-L98</x:f>
        <x:v>0</x:v>
      </x:c>
      <x:c r="Y98" s="30" t="n">
        <x:f>O98-P98</x:f>
        <x:v>0</x:v>
      </x:c>
      <x:c r="Z98" s="29" t="str">
        <x:f>IF(S98=0,"Excluded",IF(T98&lt;0,"Collision",IF(T98&gt;0,"Entropy","Tie")))</x:f>
        <x:v>Excluded</x:v>
      </x:c>
      <x:c r="AA98" s="29" t="str">
        <x:f>IF(V98&lt;0,"Collision",IF(V98&gt;0,"Entropy","Tie"))</x:f>
        <x:v>Collision</x:v>
      </x:c>
      <x:c r="AB98" s="29" t="str">
        <x:f>'Raw Results'!AC26</x:f>
        <x:v>none</x:v>
      </x:c>
    </x:row>
    <x:row r="99">
      <x:c r="A99" s="29" t="str">
        <x:v>Circle</x:v>
      </x:c>
      <x:c r="B99" s="30" t="str">
        <x:f>'Raw Results'!A26</x:f>
        <x:v>200</x:v>
      </x:c>
      <x:c r="C99" s="31" t="str">
        <x:f>'Raw Results'!B26</x:f>
        <x:v>0.1</x:v>
      </x:c>
      <x:c r="D99" s="30" t="str">
        <x:f>'Raw Results'!C26</x:f>
        <x:v>1</x:v>
      </x:c>
      <x:c r="E99" s="30" t="str">
        <x:f>'Raw Results'!D26</x:f>
        <x:v>1851999943</x:v>
      </x:c>
      <x:c r="F99" s="30" t="str">
        <x:f>'Raw Results'!E26</x:f>
        <x:v>626</x:v>
      </x:c>
      <x:c r="G99" s="30" t="str">
        <x:f>'Raw Results'!F26</x:f>
        <x:v>4</x:v>
      </x:c>
      <x:c r="H99" s="30" t="str">
        <x:f>'Raw Results'!G26</x:f>
        <x:v>196</x:v>
      </x:c>
      <x:c r="I99" s="32" t="str">
        <x:f>'Raw Results'!H26</x:f>
        <x:v>6.26</x:v>
      </x:c>
      <x:c r="J99" s="33" t="str">
        <x:f>'Raw Results'!I26</x:f>
        <x:v>0.0314572864321608</x:v>
      </x:c>
      <x:c r="K99" s="30" t="str">
        <x:f>'Raw Results'!AD26</x:f>
        <x:v>122</x:v>
      </x:c>
      <x:c r="L99" s="30" t="str">
        <x:f>'Raw Results'!AE26</x:f>
        <x:v>31</x:v>
      </x:c>
      <x:c r="M99" s="33" t="str">
        <x:f>'Raw Results'!AF26</x:f>
        <x:v>0.1056455000070855</x:v>
      </x:c>
      <x:c r="N99" s="30" t="n">
        <x:f>IF('Raw Results'!AG26="True",1,0)</x:f>
        <x:v>1</x:v>
      </x:c>
      <x:c r="O99" s="30" t="str">
        <x:f>'Raw Results'!AH26</x:f>
        <x:v>111</x:v>
      </x:c>
      <x:c r="P99" s="30" t="str">
        <x:f>'Raw Results'!AI26</x:f>
        <x:v>32</x:v>
      </x:c>
      <x:c r="Q99" s="33" t="str">
        <x:f>'Raw Results'!AJ26</x:f>
        <x:v>0.09225499990861863</x:v>
      </x:c>
      <x:c r="R99" s="30" t="n">
        <x:f>IF('Raw Results'!AK26="True",1,0)</x:f>
        <x:v>1</x:v>
      </x:c>
      <x:c r="S99" s="30" t="n">
        <x:f>N99*R99</x:f>
        <x:v>1</x:v>
      </x:c>
      <x:c r="T99" s="30" t="n">
        <x:f>P99-L99</x:f>
        <x:v>1</x:v>
      </x:c>
      <x:c r="U99" s="30" t="n">
        <x:f>O99-K99</x:f>
        <x:v>-11</x:v>
      </x:c>
      <x:c r="V99" s="34" t="n">
        <x:f>Q99-M99</x:f>
        <x:v>-0.013390500098466873</x:v>
      </x:c>
      <x:c r="W99" s="35" t="n">
        <x:f>IF(L99=0,"",P99/L99)</x:f>
        <x:v>1.032258064516129</x:v>
      </x:c>
      <x:c r="X99" s="30" t="n">
        <x:f>K99-L99</x:f>
        <x:v>91</x:v>
      </x:c>
      <x:c r="Y99" s="30" t="n">
        <x:f>O99-P99</x:f>
        <x:v>79</x:v>
      </x:c>
      <x:c r="Z99" s="29" t="str">
        <x:f>IF(S99=0,"Excluded",IF(T99&lt;0,"Collision",IF(T99&gt;0,"Entropy","Tie")))</x:f>
        <x:v>Entropy</x:v>
      </x:c>
      <x:c r="AA99" s="29" t="str">
        <x:f>IF(V99&lt;0,"Collision",IF(V99&gt;0,"Entropy","Tie"))</x:f>
        <x:v>Collision</x:v>
      </x:c>
      <x:c r="AB99" s="29" t="str">
        <x:f>'Raw Results'!AU26</x:f>
        <x:v>none</x:v>
      </x:c>
    </x:row>
    <x:row r="100">
      <x:c r="A100" s="29" t="str">
        <x:v>Zoomed Square</x:v>
      </x:c>
      <x:c r="B100" s="30" t="str">
        <x:f>'Raw Results'!A26</x:f>
        <x:v>200</x:v>
      </x:c>
      <x:c r="C100" s="31" t="str">
        <x:f>'Raw Results'!B26</x:f>
        <x:v>0.1</x:v>
      </x:c>
      <x:c r="D100" s="30" t="str">
        <x:f>'Raw Results'!C26</x:f>
        <x:v>1</x:v>
      </x:c>
      <x:c r="E100" s="30" t="str">
        <x:f>'Raw Results'!D26</x:f>
        <x:v>1851999943</x:v>
      </x:c>
      <x:c r="F100" s="30" t="str">
        <x:f>'Raw Results'!E26</x:f>
        <x:v>626</x:v>
      </x:c>
      <x:c r="G100" s="30" t="str">
        <x:f>'Raw Results'!F26</x:f>
        <x:v>4</x:v>
      </x:c>
      <x:c r="H100" s="30" t="str">
        <x:f>'Raw Results'!G26</x:f>
        <x:v>196</x:v>
      </x:c>
      <x:c r="I100" s="32" t="str">
        <x:f>'Raw Results'!H26</x:f>
        <x:v>6.26</x:v>
      </x:c>
      <x:c r="J100" s="33" t="str">
        <x:f>'Raw Results'!I26</x:f>
        <x:v>0.0314572864321608</x:v>
      </x:c>
      <x:c r="K100" s="30" t="str">
        <x:f>'Raw Results'!AV26</x:f>
        <x:v>129</x:v>
      </x:c>
      <x:c r="L100" s="30" t="str">
        <x:f>'Raw Results'!AW26</x:f>
        <x:v>33</x:v>
      </x:c>
      <x:c r="M100" s="33" t="str">
        <x:f>'Raw Results'!AX26</x:f>
        <x:v>0.10092989995609969</x:v>
      </x:c>
      <x:c r="N100" s="30" t="n">
        <x:f>IF('Raw Results'!AY26="True",1,0)</x:f>
        <x:v>1</x:v>
      </x:c>
      <x:c r="O100" s="30" t="str">
        <x:f>'Raw Results'!AZ26</x:f>
        <x:v>110</x:v>
      </x:c>
      <x:c r="P100" s="30" t="str">
        <x:f>'Raw Results'!BA26</x:f>
        <x:v>32</x:v>
      </x:c>
      <x:c r="Q100" s="33" t="str">
        <x:f>'Raw Results'!BB26</x:f>
        <x:v>0.09291720006149262</x:v>
      </x:c>
      <x:c r="R100" s="30" t="n">
        <x:f>IF('Raw Results'!BC26="True",1,0)</x:f>
        <x:v>1</x:v>
      </x:c>
      <x:c r="S100" s="30" t="n">
        <x:f>N100*R100</x:f>
        <x:v>1</x:v>
      </x:c>
      <x:c r="T100" s="30" t="n">
        <x:f>P100-L100</x:f>
        <x:v>-1</x:v>
      </x:c>
      <x:c r="U100" s="30" t="n">
        <x:f>O100-K100</x:f>
        <x:v>-19</x:v>
      </x:c>
      <x:c r="V100" s="34" t="n">
        <x:f>Q100-M100</x:f>
        <x:v>-0.008012699894607067</x:v>
      </x:c>
      <x:c r="W100" s="35" t="n">
        <x:f>IF(L100=0,"",P100/L100)</x:f>
        <x:v>0.9696969696969697</x:v>
      </x:c>
      <x:c r="X100" s="30" t="n">
        <x:f>K100-L100</x:f>
        <x:v>96</x:v>
      </x:c>
      <x:c r="Y100" s="30" t="n">
        <x:f>O100-P100</x:f>
        <x:v>78</x:v>
      </x:c>
      <x:c r="Z100" s="29" t="str">
        <x:f>IF(S100=0,"Excluded",IF(T100&lt;0,"Collision",IF(T100&gt;0,"Entropy","Tie")))</x:f>
        <x:v>Collision</x:v>
      </x:c>
      <x:c r="AA100" s="29" t="str">
        <x:f>IF(V100&lt;0,"Collision",IF(V100&gt;0,"Entropy","Tie"))</x:f>
        <x:v>Collision</x:v>
      </x:c>
      <x:c r="AB100" s="29" t="str">
        <x:f>'Raw Results'!BM26</x:f>
        <x:v>none</x:v>
      </x:c>
    </x:row>
    <x:row r="101">
      <x:c r="A101" s="29" t="str">
        <x:v>ICH</x:v>
      </x:c>
      <x:c r="B101" s="30" t="str">
        <x:f>'Raw Results'!A26</x:f>
        <x:v>200</x:v>
      </x:c>
      <x:c r="C101" s="31" t="str">
        <x:f>'Raw Results'!B26</x:f>
        <x:v>0.1</x:v>
      </x:c>
      <x:c r="D101" s="30" t="str">
        <x:f>'Raw Results'!C26</x:f>
        <x:v>1</x:v>
      </x:c>
      <x:c r="E101" s="30" t="str">
        <x:f>'Raw Results'!D26</x:f>
        <x:v>1851999943</x:v>
      </x:c>
      <x:c r="F101" s="30" t="str">
        <x:f>'Raw Results'!E26</x:f>
        <x:v>626</x:v>
      </x:c>
      <x:c r="G101" s="30" t="str">
        <x:f>'Raw Results'!F26</x:f>
        <x:v>4</x:v>
      </x:c>
      <x:c r="H101" s="30" t="str">
        <x:f>'Raw Results'!G26</x:f>
        <x:v>196</x:v>
      </x:c>
      <x:c r="I101" s="32" t="str">
        <x:f>'Raw Results'!H26</x:f>
        <x:v>6.26</x:v>
      </x:c>
      <x:c r="J101" s="33" t="str">
        <x:f>'Raw Results'!I26</x:f>
        <x:v>0.0314572864321608</x:v>
      </x:c>
      <x:c r="K101" s="30" t="str">
        <x:f>'Raw Results'!BN26</x:f>
        <x:v>33</x:v>
      </x:c>
      <x:c r="L101" s="30" t="str">
        <x:f>'Raw Results'!BO26</x:f>
        <x:v>33</x:v>
      </x:c>
      <x:c r="M101" s="33" t="str">
        <x:f>'Raw Results'!BP26</x:f>
        <x:v>1.5109264999628067</x:v>
      </x:c>
      <x:c r="N101" s="30" t="n">
        <x:f>IF('Raw Results'!BQ26="True",1,0)</x:f>
        <x:v>1</x:v>
      </x:c>
      <x:c r="O101" s="30" t="str">
        <x:f>'Raw Results'!BR26</x:f>
        <x:v>33</x:v>
      </x:c>
      <x:c r="P101" s="30" t="str">
        <x:f>'Raw Results'!BS26</x:f>
        <x:v>33</x:v>
      </x:c>
      <x:c r="Q101" s="33" t="str">
        <x:f>'Raw Results'!BT26</x:f>
        <x:v>1.5220879999687895</x:v>
      </x:c>
      <x:c r="R101" s="30" t="n">
        <x:f>IF('Raw Results'!BU26="True",1,0)</x:f>
        <x:v>1</x:v>
      </x:c>
      <x:c r="S101" s="30" t="n">
        <x:f>N101*R101</x:f>
        <x:v>1</x:v>
      </x:c>
      <x:c r="T101" s="30" t="n">
        <x:f>P101-L101</x:f>
        <x:v>0</x:v>
      </x:c>
      <x:c r="U101" s="30" t="n">
        <x:f>O101-K101</x:f>
        <x:v>0</x:v>
      </x:c>
      <x:c r="V101" s="34" t="n">
        <x:f>Q101-M101</x:f>
        <x:v>0.011161500005982816</x:v>
      </x:c>
      <x:c r="W101" s="35" t="n">
        <x:f>IF(L101=0,"",P101/L101)</x:f>
        <x:v>1</x:v>
      </x:c>
      <x:c r="X101" s="30" t="n">
        <x:f>K101-L101</x:f>
        <x:v>0</x:v>
      </x:c>
      <x:c r="Y101" s="30" t="n">
        <x:f>O101-P101</x:f>
        <x:v>0</x:v>
      </x:c>
      <x:c r="Z101" s="29" t="str">
        <x:f>IF(S101=0,"Excluded",IF(T101&lt;0,"Collision",IF(T101&gt;0,"Entropy","Tie")))</x:f>
        <x:v>Tie</x:v>
      </x:c>
      <x:c r="AA101" s="29" t="str">
        <x:f>IF(V101&lt;0,"Collision",IF(V101&gt;0,"Entropy","Tie"))</x:f>
        <x:v>Entropy</x:v>
      </x:c>
      <x:c r="AB101" s="29" t="str">
        <x:f>'Raw Results'!CE26</x:f>
        <x:v>none</x:v>
      </x:c>
    </x:row>
    <x:row r="102">
      <x:c r="A102" s="29" t="str">
        <x:v>Grid</x:v>
      </x:c>
      <x:c r="B102" s="30" t="str">
        <x:f>'Raw Results'!A27</x:f>
        <x:v>200</x:v>
      </x:c>
      <x:c r="C102" s="31" t="str">
        <x:f>'Raw Results'!B27</x:f>
        <x:v>0.1</x:v>
      </x:c>
      <x:c r="D102" s="30" t="str">
        <x:f>'Raw Results'!C27</x:f>
        <x:v>2</x:v>
      </x:c>
      <x:c r="E102" s="30" t="str">
        <x:f>'Raw Results'!D27</x:f>
        <x:v>1039340281</x:v>
      </x:c>
      <x:c r="F102" s="30" t="str">
        <x:f>'Raw Results'!E27</x:f>
        <x:v>593</x:v>
      </x:c>
      <x:c r="G102" s="30" t="str">
        <x:f>'Raw Results'!F27</x:f>
        <x:v>4</x:v>
      </x:c>
      <x:c r="H102" s="30" t="str">
        <x:f>'Raw Results'!G27</x:f>
        <x:v>190</x:v>
      </x:c>
      <x:c r="I102" s="32" t="str">
        <x:f>'Raw Results'!H27</x:f>
        <x:v>5.93</x:v>
      </x:c>
      <x:c r="J102" s="33" t="str">
        <x:f>'Raw Results'!I27</x:f>
        <x:v>0.02979899497487437</x:v>
      </x:c>
      <x:c r="K102" s="30" t="str">
        <x:f>'Raw Results'!L27</x:f>
        <x:v>122</x:v>
      </x:c>
      <x:c r="L102" s="30" t="str">
        <x:f>'Raw Results'!M27</x:f>
        <x:v>44</x:v>
      </x:c>
      <x:c r="M102" s="33" t="str">
        <x:f>'Raw Results'!N27</x:f>
        <x:v>0.08387530001346022</x:v>
      </x:c>
      <x:c r="N102" s="30" t="n">
        <x:f>IF('Raw Results'!O27="True",1,0)</x:f>
        <x:v>1</x:v>
      </x:c>
      <x:c r="O102" s="30" t="str">
        <x:f>'Raw Results'!P27</x:f>
        <x:v>87</x:v>
      </x:c>
      <x:c r="P102" s="30" t="str">
        <x:f>'Raw Results'!Q27</x:f>
        <x:v>87</x:v>
      </x:c>
      <x:c r="Q102" s="33" t="str">
        <x:f>'Raw Results'!R27</x:f>
        <x:v>0.0197779000736773</x:v>
      </x:c>
      <x:c r="R102" s="30" t="n">
        <x:f>IF('Raw Results'!S27="True",1,0)</x:f>
        <x:v>0</x:v>
      </x:c>
      <x:c r="S102" s="30" t="n">
        <x:f>N102*R102</x:f>
        <x:v>0</x:v>
      </x:c>
      <x:c r="T102" s="30" t="n">
        <x:f>P102-L102</x:f>
        <x:v>43</x:v>
      </x:c>
      <x:c r="U102" s="30" t="n">
        <x:f>O102-K102</x:f>
        <x:v>-35</x:v>
      </x:c>
      <x:c r="V102" s="34" t="n">
        <x:f>Q102-M102</x:f>
        <x:v>-0.06409739993978292</x:v>
      </x:c>
      <x:c r="W102" s="35" t="n">
        <x:f>IF(L102=0,"",P102/L102)</x:f>
        <x:v>1.9772727272727273</x:v>
      </x:c>
      <x:c r="X102" s="30" t="n">
        <x:f>K102-L102</x:f>
        <x:v>78</x:v>
      </x:c>
      <x:c r="Y102" s="30" t="n">
        <x:f>O102-P102</x:f>
        <x:v>0</x:v>
      </x:c>
      <x:c r="Z102" s="29" t="str">
        <x:f>IF(S102=0,"Excluded",IF(T102&lt;0,"Collision",IF(T102&gt;0,"Entropy","Tie")))</x:f>
        <x:v>Excluded</x:v>
      </x:c>
      <x:c r="AA102" s="29" t="str">
        <x:f>IF(V102&lt;0,"Collision",IF(V102&gt;0,"Entropy","Tie"))</x:f>
        <x:v>Collision</x:v>
      </x:c>
      <x:c r="AB102" s="29" t="str">
        <x:f>'Raw Results'!AC27</x:f>
        <x:v>large_and_invalid</x:v>
      </x:c>
    </x:row>
    <x:row r="103">
      <x:c r="A103" s="29" t="str">
        <x:v>Circle</x:v>
      </x:c>
      <x:c r="B103" s="30" t="str">
        <x:f>'Raw Results'!A27</x:f>
        <x:v>200</x:v>
      </x:c>
      <x:c r="C103" s="31" t="str">
        <x:f>'Raw Results'!B27</x:f>
        <x:v>0.1</x:v>
      </x:c>
      <x:c r="D103" s="30" t="str">
        <x:f>'Raw Results'!C27</x:f>
        <x:v>2</x:v>
      </x:c>
      <x:c r="E103" s="30" t="str">
        <x:f>'Raw Results'!D27</x:f>
        <x:v>1039340281</x:v>
      </x:c>
      <x:c r="F103" s="30" t="str">
        <x:f>'Raw Results'!E27</x:f>
        <x:v>593</x:v>
      </x:c>
      <x:c r="G103" s="30" t="str">
        <x:f>'Raw Results'!F27</x:f>
        <x:v>4</x:v>
      </x:c>
      <x:c r="H103" s="30" t="str">
        <x:f>'Raw Results'!G27</x:f>
        <x:v>190</x:v>
      </x:c>
      <x:c r="I103" s="32" t="str">
        <x:f>'Raw Results'!H27</x:f>
        <x:v>5.93</x:v>
      </x:c>
      <x:c r="J103" s="33" t="str">
        <x:f>'Raw Results'!I27</x:f>
        <x:v>0.02979899497487437</x:v>
      </x:c>
      <x:c r="K103" s="30" t="str">
        <x:f>'Raw Results'!AD27</x:f>
        <x:v>118</x:v>
      </x:c>
      <x:c r="L103" s="30" t="str">
        <x:f>'Raw Results'!AE27</x:f>
        <x:v>45</x:v>
      </x:c>
      <x:c r="M103" s="33" t="str">
        <x:f>'Raw Results'!AF27</x:f>
        <x:v>0.1516734000761062</x:v>
      </x:c>
      <x:c r="N103" s="30" t="n">
        <x:f>IF('Raw Results'!AG27="True",1,0)</x:f>
        <x:v>1</x:v>
      </x:c>
      <x:c r="O103" s="30" t="str">
        <x:f>'Raw Results'!AH27</x:f>
        <x:v>106</x:v>
      </x:c>
      <x:c r="P103" s="30" t="str">
        <x:f>'Raw Results'!AI27</x:f>
        <x:v>45</x:v>
      </x:c>
      <x:c r="Q103" s="33" t="str">
        <x:f>'Raw Results'!AJ27</x:f>
        <x:v>0.13965420005843043</x:v>
      </x:c>
      <x:c r="R103" s="30" t="n">
        <x:f>IF('Raw Results'!AK27="True",1,0)</x:f>
        <x:v>1</x:v>
      </x:c>
      <x:c r="S103" s="30" t="n">
        <x:f>N103*R103</x:f>
        <x:v>1</x:v>
      </x:c>
      <x:c r="T103" s="30" t="n">
        <x:f>P103-L103</x:f>
        <x:v>0</x:v>
      </x:c>
      <x:c r="U103" s="30" t="n">
        <x:f>O103-K103</x:f>
        <x:v>-12</x:v>
      </x:c>
      <x:c r="V103" s="34" t="n">
        <x:f>Q103-M103</x:f>
        <x:v>-0.012019200017675757</x:v>
      </x:c>
      <x:c r="W103" s="35" t="n">
        <x:f>IF(L103=0,"",P103/L103)</x:f>
        <x:v>1</x:v>
      </x:c>
      <x:c r="X103" s="30" t="n">
        <x:f>K103-L103</x:f>
        <x:v>73</x:v>
      </x:c>
      <x:c r="Y103" s="30" t="n">
        <x:f>O103-P103</x:f>
        <x:v>61</x:v>
      </x:c>
      <x:c r="Z103" s="29" t="str">
        <x:f>IF(S103=0,"Excluded",IF(T103&lt;0,"Collision",IF(T103&gt;0,"Entropy","Tie")))</x:f>
        <x:v>Tie</x:v>
      </x:c>
      <x:c r="AA103" s="29" t="str">
        <x:f>IF(V103&lt;0,"Collision",IF(V103&gt;0,"Entropy","Tie"))</x:f>
        <x:v>Collision</x:v>
      </x:c>
      <x:c r="AB103" s="29" t="str">
        <x:f>'Raw Results'!AU27</x:f>
        <x:v>none</x:v>
      </x:c>
    </x:row>
    <x:row r="104">
      <x:c r="A104" s="29" t="str">
        <x:v>Zoomed Square</x:v>
      </x:c>
      <x:c r="B104" s="30" t="str">
        <x:f>'Raw Results'!A27</x:f>
        <x:v>200</x:v>
      </x:c>
      <x:c r="C104" s="31" t="str">
        <x:f>'Raw Results'!B27</x:f>
        <x:v>0.1</x:v>
      </x:c>
      <x:c r="D104" s="30" t="str">
        <x:f>'Raw Results'!C27</x:f>
        <x:v>2</x:v>
      </x:c>
      <x:c r="E104" s="30" t="str">
        <x:f>'Raw Results'!D27</x:f>
        <x:v>1039340281</x:v>
      </x:c>
      <x:c r="F104" s="30" t="str">
        <x:f>'Raw Results'!E27</x:f>
        <x:v>593</x:v>
      </x:c>
      <x:c r="G104" s="30" t="str">
        <x:f>'Raw Results'!F27</x:f>
        <x:v>4</x:v>
      </x:c>
      <x:c r="H104" s="30" t="str">
        <x:f>'Raw Results'!G27</x:f>
        <x:v>190</x:v>
      </x:c>
      <x:c r="I104" s="32" t="str">
        <x:f>'Raw Results'!H27</x:f>
        <x:v>5.93</x:v>
      </x:c>
      <x:c r="J104" s="33" t="str">
        <x:f>'Raw Results'!I27</x:f>
        <x:v>0.02979899497487437</x:v>
      </x:c>
      <x:c r="K104" s="30" t="str">
        <x:f>'Raw Results'!AV27</x:f>
        <x:v>130</x:v>
      </x:c>
      <x:c r="L104" s="30" t="str">
        <x:f>'Raw Results'!AW27</x:f>
        <x:v>44</x:v>
      </x:c>
      <x:c r="M104" s="33" t="str">
        <x:f>'Raw Results'!AX27</x:f>
        <x:v>0.12246049998793751</x:v>
      </x:c>
      <x:c r="N104" s="30" t="n">
        <x:f>IF('Raw Results'!AY27="True",1,0)</x:f>
        <x:v>1</x:v>
      </x:c>
      <x:c r="O104" s="30" t="str">
        <x:f>'Raw Results'!AZ27</x:f>
        <x:v>117</x:v>
      </x:c>
      <x:c r="P104" s="30" t="str">
        <x:f>'Raw Results'!BA27</x:f>
        <x:v>45</x:v>
      </x:c>
      <x:c r="Q104" s="33" t="str">
        <x:f>'Raw Results'!BB27</x:f>
        <x:v>0.10952689999248832</x:v>
      </x:c>
      <x:c r="R104" s="30" t="n">
        <x:f>IF('Raw Results'!BC27="True",1,0)</x:f>
        <x:v>1</x:v>
      </x:c>
      <x:c r="S104" s="30" t="n">
        <x:f>N104*R104</x:f>
        <x:v>1</x:v>
      </x:c>
      <x:c r="T104" s="30" t="n">
        <x:f>P104-L104</x:f>
        <x:v>1</x:v>
      </x:c>
      <x:c r="U104" s="30" t="n">
        <x:f>O104-K104</x:f>
        <x:v>-13</x:v>
      </x:c>
      <x:c r="V104" s="34" t="n">
        <x:f>Q104-M104</x:f>
        <x:v>-0.012933599995449185</x:v>
      </x:c>
      <x:c r="W104" s="35" t="n">
        <x:f>IF(L104=0,"",P104/L104)</x:f>
        <x:v>1.0227272727272727</x:v>
      </x:c>
      <x:c r="X104" s="30" t="n">
        <x:f>K104-L104</x:f>
        <x:v>86</x:v>
      </x:c>
      <x:c r="Y104" s="30" t="n">
        <x:f>O104-P104</x:f>
        <x:v>72</x:v>
      </x:c>
      <x:c r="Z104" s="29" t="str">
        <x:f>IF(S104=0,"Excluded",IF(T104&lt;0,"Collision",IF(T104&gt;0,"Entropy","Tie")))</x:f>
        <x:v>Entropy</x:v>
      </x:c>
      <x:c r="AA104" s="29" t="str">
        <x:f>IF(V104&lt;0,"Collision",IF(V104&gt;0,"Entropy","Tie"))</x:f>
        <x:v>Collision</x:v>
      </x:c>
      <x:c r="AB104" s="29" t="str">
        <x:f>'Raw Results'!BM27</x:f>
        <x:v>none</x:v>
      </x:c>
    </x:row>
    <x:row r="105">
      <x:c r="A105" s="29" t="str">
        <x:v>ICH</x:v>
      </x:c>
      <x:c r="B105" s="30" t="str">
        <x:f>'Raw Results'!A27</x:f>
        <x:v>200</x:v>
      </x:c>
      <x:c r="C105" s="31" t="str">
        <x:f>'Raw Results'!B27</x:f>
        <x:v>0.1</x:v>
      </x:c>
      <x:c r="D105" s="30" t="str">
        <x:f>'Raw Results'!C27</x:f>
        <x:v>2</x:v>
      </x:c>
      <x:c r="E105" s="30" t="str">
        <x:f>'Raw Results'!D27</x:f>
        <x:v>1039340281</x:v>
      </x:c>
      <x:c r="F105" s="30" t="str">
        <x:f>'Raw Results'!E27</x:f>
        <x:v>593</x:v>
      </x:c>
      <x:c r="G105" s="30" t="str">
        <x:f>'Raw Results'!F27</x:f>
        <x:v>4</x:v>
      </x:c>
      <x:c r="H105" s="30" t="str">
        <x:f>'Raw Results'!G27</x:f>
        <x:v>190</x:v>
      </x:c>
      <x:c r="I105" s="32" t="str">
        <x:f>'Raw Results'!H27</x:f>
        <x:v>5.93</x:v>
      </x:c>
      <x:c r="J105" s="33" t="str">
        <x:f>'Raw Results'!I27</x:f>
        <x:v>0.02979899497487437</x:v>
      </x:c>
      <x:c r="K105" s="30" t="str">
        <x:f>'Raw Results'!BN27</x:f>
        <x:v>43</x:v>
      </x:c>
      <x:c r="L105" s="30" t="str">
        <x:f>'Raw Results'!BO27</x:f>
        <x:v>43</x:v>
      </x:c>
      <x:c r="M105" s="33" t="str">
        <x:f>'Raw Results'!BP27</x:f>
        <x:v>1.377234200015664</x:v>
      </x:c>
      <x:c r="N105" s="30" t="n">
        <x:f>IF('Raw Results'!BQ27="True",1,0)</x:f>
        <x:v>1</x:v>
      </x:c>
      <x:c r="O105" s="30" t="str">
        <x:f>'Raw Results'!BR27</x:f>
        <x:v>43</x:v>
      </x:c>
      <x:c r="P105" s="30" t="str">
        <x:f>'Raw Results'!BS27</x:f>
        <x:v>43</x:v>
      </x:c>
      <x:c r="Q105" s="33" t="str">
        <x:f>'Raw Results'!BT27</x:f>
        <x:v>1.4358604999724776</x:v>
      </x:c>
      <x:c r="R105" s="30" t="n">
        <x:f>IF('Raw Results'!BU27="True",1,0)</x:f>
        <x:v>1</x:v>
      </x:c>
      <x:c r="S105" s="30" t="n">
        <x:f>N105*R105</x:f>
        <x:v>1</x:v>
      </x:c>
      <x:c r="T105" s="30" t="n">
        <x:f>P105-L105</x:f>
        <x:v>0</x:v>
      </x:c>
      <x:c r="U105" s="30" t="n">
        <x:f>O105-K105</x:f>
        <x:v>0</x:v>
      </x:c>
      <x:c r="V105" s="34" t="n">
        <x:f>Q105-M105</x:f>
        <x:v>0.058626299956813455</x:v>
      </x:c>
      <x:c r="W105" s="35" t="n">
        <x:f>IF(L105=0,"",P105/L105)</x:f>
        <x:v>1</x:v>
      </x:c>
      <x:c r="X105" s="30" t="n">
        <x:f>K105-L105</x:f>
        <x:v>0</x:v>
      </x:c>
      <x:c r="Y105" s="30" t="n">
        <x:f>O105-P105</x:f>
        <x:v>0</x:v>
      </x:c>
      <x:c r="Z105" s="29" t="str">
        <x:f>IF(S105=0,"Excluded",IF(T105&lt;0,"Collision",IF(T105&gt;0,"Entropy","Tie")))</x:f>
        <x:v>Tie</x:v>
      </x:c>
      <x:c r="AA105" s="29" t="str">
        <x:f>IF(V105&lt;0,"Collision",IF(V105&gt;0,"Entropy","Tie"))</x:f>
        <x:v>Entropy</x:v>
      </x:c>
      <x:c r="AB105" s="29" t="str">
        <x:f>'Raw Results'!CE27</x:f>
        <x:v>none</x:v>
      </x:c>
    </x:row>
    <x:row r="106">
      <x:c r="A106" s="29" t="str">
        <x:v>Grid</x:v>
      </x:c>
      <x:c r="B106" s="30" t="str">
        <x:f>'Raw Results'!A28</x:f>
        <x:v>200</x:v>
      </x:c>
      <x:c r="C106" s="31" t="str">
        <x:f>'Raw Results'!B28</x:f>
        <x:v>0.1</x:v>
      </x:c>
      <x:c r="D106" s="30" t="str">
        <x:f>'Raw Results'!C28</x:f>
        <x:v>3</x:v>
      </x:c>
      <x:c r="E106" s="30" t="str">
        <x:f>'Raw Results'!D28</x:f>
        <x:v>1100460246</x:v>
      </x:c>
      <x:c r="F106" s="30" t="str">
        <x:f>'Raw Results'!E28</x:f>
        <x:v>594</x:v>
      </x:c>
      <x:c r="G106" s="30" t="str">
        <x:f>'Raw Results'!F28</x:f>
        <x:v>5</x:v>
      </x:c>
      <x:c r="H106" s="30" t="str">
        <x:f>'Raw Results'!G28</x:f>
        <x:v>185</x:v>
      </x:c>
      <x:c r="I106" s="32" t="str">
        <x:f>'Raw Results'!H28</x:f>
        <x:v>5.94</x:v>
      </x:c>
      <x:c r="J106" s="33" t="str">
        <x:f>'Raw Results'!I28</x:f>
        <x:v>0.029849246231155778</x:v>
      </x:c>
      <x:c r="K106" s="30" t="str">
        <x:f>'Raw Results'!L28</x:f>
        <x:v>118</x:v>
      </x:c>
      <x:c r="L106" s="30" t="str">
        <x:f>'Raw Results'!M28</x:f>
        <x:v>118</x:v>
      </x:c>
      <x:c r="M106" s="33" t="str">
        <x:f>'Raw Results'!N28</x:f>
        <x:v>0.02980240003671497</x:v>
      </x:c>
      <x:c r="N106" s="30" t="n">
        <x:f>IF('Raw Results'!O28="True",1,0)</x:f>
        <x:v>0</x:v>
      </x:c>
      <x:c r="O106" s="30" t="str">
        <x:f>'Raw Results'!P28</x:f>
        <x:v>84</x:v>
      </x:c>
      <x:c r="P106" s="30" t="str">
        <x:f>'Raw Results'!Q28</x:f>
        <x:v>84</x:v>
      </x:c>
      <x:c r="Q106" s="33" t="str">
        <x:f>'Raw Results'!R28</x:f>
        <x:v>0.025537300040014088</x:v>
      </x:c>
      <x:c r="R106" s="30" t="n">
        <x:f>IF('Raw Results'!S28="True",1,0)</x:f>
        <x:v>0</x:v>
      </x:c>
      <x:c r="S106" s="30" t="n">
        <x:f>N106*R106</x:f>
        <x:v>0</x:v>
      </x:c>
      <x:c r="T106" s="30" t="n">
        <x:f>P106-L106</x:f>
        <x:v>-34</x:v>
      </x:c>
      <x:c r="U106" s="30" t="n">
        <x:f>O106-K106</x:f>
        <x:v>-34</x:v>
      </x:c>
      <x:c r="V106" s="34" t="n">
        <x:f>Q106-M106</x:f>
        <x:v>-0.004265099996700883</x:v>
      </x:c>
      <x:c r="W106" s="35" t="n">
        <x:f>IF(L106=0,"",P106/L106)</x:f>
        <x:v>0.711864406779661</x:v>
      </x:c>
      <x:c r="X106" s="30" t="n">
        <x:f>K106-L106</x:f>
        <x:v>0</x:v>
      </x:c>
      <x:c r="Y106" s="30" t="n">
        <x:f>O106-P106</x:f>
        <x:v>0</x:v>
      </x:c>
      <x:c r="Z106" s="29" t="str">
        <x:f>IF(S106=0,"Excluded",IF(T106&lt;0,"Collision",IF(T106&gt;0,"Entropy","Tie")))</x:f>
        <x:v>Excluded</x:v>
      </x:c>
      <x:c r="AA106" s="29" t="str">
        <x:f>IF(V106&lt;0,"Collision",IF(V106&gt;0,"Entropy","Tie"))</x:f>
        <x:v>Collision</x:v>
      </x:c>
      <x:c r="AB106" s="29" t="str">
        <x:f>'Raw Results'!AC28</x:f>
        <x:v>none</x:v>
      </x:c>
    </x:row>
    <x:row r="107">
      <x:c r="A107" s="29" t="str">
        <x:v>Circle</x:v>
      </x:c>
      <x:c r="B107" s="30" t="str">
        <x:f>'Raw Results'!A28</x:f>
        <x:v>200</x:v>
      </x:c>
      <x:c r="C107" s="31" t="str">
        <x:f>'Raw Results'!B28</x:f>
        <x:v>0.1</x:v>
      </x:c>
      <x:c r="D107" s="30" t="str">
        <x:f>'Raw Results'!C28</x:f>
        <x:v>3</x:v>
      </x:c>
      <x:c r="E107" s="30" t="str">
        <x:f>'Raw Results'!D28</x:f>
        <x:v>1100460246</x:v>
      </x:c>
      <x:c r="F107" s="30" t="str">
        <x:f>'Raw Results'!E28</x:f>
        <x:v>594</x:v>
      </x:c>
      <x:c r="G107" s="30" t="str">
        <x:f>'Raw Results'!F28</x:f>
        <x:v>5</x:v>
      </x:c>
      <x:c r="H107" s="30" t="str">
        <x:f>'Raw Results'!G28</x:f>
        <x:v>185</x:v>
      </x:c>
      <x:c r="I107" s="32" t="str">
        <x:f>'Raw Results'!H28</x:f>
        <x:v>5.94</x:v>
      </x:c>
      <x:c r="J107" s="33" t="str">
        <x:f>'Raw Results'!I28</x:f>
        <x:v>0.029849246231155778</x:v>
      </x:c>
      <x:c r="K107" s="30" t="str">
        <x:f>'Raw Results'!AD28</x:f>
        <x:v>133</x:v>
      </x:c>
      <x:c r="L107" s="30" t="str">
        <x:f>'Raw Results'!AE28</x:f>
        <x:v>45</x:v>
      </x:c>
      <x:c r="M107" s="33" t="str">
        <x:f>'Raw Results'!AF28</x:f>
        <x:v>0.12719289993401617</x:v>
      </x:c>
      <x:c r="N107" s="30" t="n">
        <x:f>IF('Raw Results'!AG28="True",1,0)</x:f>
        <x:v>1</x:v>
      </x:c>
      <x:c r="O107" s="30" t="str">
        <x:f>'Raw Results'!AH28</x:f>
        <x:v>117</x:v>
      </x:c>
      <x:c r="P107" s="30" t="str">
        <x:f>'Raw Results'!AI28</x:f>
        <x:v>46</x:v>
      </x:c>
      <x:c r="Q107" s="33" t="str">
        <x:f>'Raw Results'!AJ28</x:f>
        <x:v>0.10558460000902414</x:v>
      </x:c>
      <x:c r="R107" s="30" t="n">
        <x:f>IF('Raw Results'!AK28="True",1,0)</x:f>
        <x:v>1</x:v>
      </x:c>
      <x:c r="S107" s="30" t="n">
        <x:f>N107*R107</x:f>
        <x:v>1</x:v>
      </x:c>
      <x:c r="T107" s="30" t="n">
        <x:f>P107-L107</x:f>
        <x:v>1</x:v>
      </x:c>
      <x:c r="U107" s="30" t="n">
        <x:f>O107-K107</x:f>
        <x:v>-16</x:v>
      </x:c>
      <x:c r="V107" s="34" t="n">
        <x:f>Q107-M107</x:f>
        <x:v>-0.021608299924992025</x:v>
      </x:c>
      <x:c r="W107" s="35" t="n">
        <x:f>IF(L107=0,"",P107/L107)</x:f>
        <x:v>1.0222222222222221</x:v>
      </x:c>
      <x:c r="X107" s="30" t="n">
        <x:f>K107-L107</x:f>
        <x:v>88</x:v>
      </x:c>
      <x:c r="Y107" s="30" t="n">
        <x:f>O107-P107</x:f>
        <x:v>71</x:v>
      </x:c>
      <x:c r="Z107" s="29" t="str">
        <x:f>IF(S107=0,"Excluded",IF(T107&lt;0,"Collision",IF(T107&gt;0,"Entropy","Tie")))</x:f>
        <x:v>Entropy</x:v>
      </x:c>
      <x:c r="AA107" s="29" t="str">
        <x:f>IF(V107&lt;0,"Collision",IF(V107&gt;0,"Entropy","Tie"))</x:f>
        <x:v>Collision</x:v>
      </x:c>
      <x:c r="AB107" s="29" t="str">
        <x:f>'Raw Results'!AU28</x:f>
        <x:v>none</x:v>
      </x:c>
    </x:row>
    <x:row r="108">
      <x:c r="A108" s="29" t="str">
        <x:v>Zoomed Square</x:v>
      </x:c>
      <x:c r="B108" s="30" t="str">
        <x:f>'Raw Results'!A28</x:f>
        <x:v>200</x:v>
      </x:c>
      <x:c r="C108" s="31" t="str">
        <x:f>'Raw Results'!B28</x:f>
        <x:v>0.1</x:v>
      </x:c>
      <x:c r="D108" s="30" t="str">
        <x:f>'Raw Results'!C28</x:f>
        <x:v>3</x:v>
      </x:c>
      <x:c r="E108" s="30" t="str">
        <x:f>'Raw Results'!D28</x:f>
        <x:v>1100460246</x:v>
      </x:c>
      <x:c r="F108" s="30" t="str">
        <x:f>'Raw Results'!E28</x:f>
        <x:v>594</x:v>
      </x:c>
      <x:c r="G108" s="30" t="str">
        <x:f>'Raw Results'!F28</x:f>
        <x:v>5</x:v>
      </x:c>
      <x:c r="H108" s="30" t="str">
        <x:f>'Raw Results'!G28</x:f>
        <x:v>185</x:v>
      </x:c>
      <x:c r="I108" s="32" t="str">
        <x:f>'Raw Results'!H28</x:f>
        <x:v>5.94</x:v>
      </x:c>
      <x:c r="J108" s="33" t="str">
        <x:f>'Raw Results'!I28</x:f>
        <x:v>0.029849246231155778</x:v>
      </x:c>
      <x:c r="K108" s="30" t="str">
        <x:f>'Raw Results'!AV28</x:f>
        <x:v>121</x:v>
      </x:c>
      <x:c r="L108" s="30" t="str">
        <x:f>'Raw Results'!AW28</x:f>
        <x:v>45</x:v>
      </x:c>
      <x:c r="M108" s="33" t="str">
        <x:f>'Raw Results'!AX28</x:f>
        <x:v>0.11096630000974983</x:v>
      </x:c>
      <x:c r="N108" s="30" t="n">
        <x:f>IF('Raw Results'!AY28="True",1,0)</x:f>
        <x:v>1</x:v>
      </x:c>
      <x:c r="O108" s="30" t="str">
        <x:f>'Raw Results'!AZ28</x:f>
        <x:v>108</x:v>
      </x:c>
      <x:c r="P108" s="30" t="str">
        <x:f>'Raw Results'!BA28</x:f>
        <x:v>45</x:v>
      </x:c>
      <x:c r="Q108" s="33" t="str">
        <x:f>'Raw Results'!BB28</x:f>
        <x:v>0.10855350003112108</x:v>
      </x:c>
      <x:c r="R108" s="30" t="n">
        <x:f>IF('Raw Results'!BC28="True",1,0)</x:f>
        <x:v>1</x:v>
      </x:c>
      <x:c r="S108" s="30" t="n">
        <x:f>N108*R108</x:f>
        <x:v>1</x:v>
      </x:c>
      <x:c r="T108" s="30" t="n">
        <x:f>P108-L108</x:f>
        <x:v>0</x:v>
      </x:c>
      <x:c r="U108" s="30" t="n">
        <x:f>O108-K108</x:f>
        <x:v>-13</x:v>
      </x:c>
      <x:c r="V108" s="34" t="n">
        <x:f>Q108-M108</x:f>
        <x:v>-0.0024127999786287546</x:v>
      </x:c>
      <x:c r="W108" s="35" t="n">
        <x:f>IF(L108=0,"",P108/L108)</x:f>
        <x:v>1</x:v>
      </x:c>
      <x:c r="X108" s="30" t="n">
        <x:f>K108-L108</x:f>
        <x:v>76</x:v>
      </x:c>
      <x:c r="Y108" s="30" t="n">
        <x:f>O108-P108</x:f>
        <x:v>63</x:v>
      </x:c>
      <x:c r="Z108" s="29" t="str">
        <x:f>IF(S108=0,"Excluded",IF(T108&lt;0,"Collision",IF(T108&gt;0,"Entropy","Tie")))</x:f>
        <x:v>Tie</x:v>
      </x:c>
      <x:c r="AA108" s="29" t="str">
        <x:f>IF(V108&lt;0,"Collision",IF(V108&gt;0,"Entropy","Tie"))</x:f>
        <x:v>Collision</x:v>
      </x:c>
      <x:c r="AB108" s="29" t="str">
        <x:f>'Raw Results'!BM28</x:f>
        <x:v>none</x:v>
      </x:c>
    </x:row>
    <x:row r="109">
      <x:c r="A109" s="29" t="str">
        <x:v>ICH</x:v>
      </x:c>
      <x:c r="B109" s="30" t="str">
        <x:f>'Raw Results'!A28</x:f>
        <x:v>200</x:v>
      </x:c>
      <x:c r="C109" s="31" t="str">
        <x:f>'Raw Results'!B28</x:f>
        <x:v>0.1</x:v>
      </x:c>
      <x:c r="D109" s="30" t="str">
        <x:f>'Raw Results'!C28</x:f>
        <x:v>3</x:v>
      </x:c>
      <x:c r="E109" s="30" t="str">
        <x:f>'Raw Results'!D28</x:f>
        <x:v>1100460246</x:v>
      </x:c>
      <x:c r="F109" s="30" t="str">
        <x:f>'Raw Results'!E28</x:f>
        <x:v>594</x:v>
      </x:c>
      <x:c r="G109" s="30" t="str">
        <x:f>'Raw Results'!F28</x:f>
        <x:v>5</x:v>
      </x:c>
      <x:c r="H109" s="30" t="str">
        <x:f>'Raw Results'!G28</x:f>
        <x:v>185</x:v>
      </x:c>
      <x:c r="I109" s="32" t="str">
        <x:f>'Raw Results'!H28</x:f>
        <x:v>5.94</x:v>
      </x:c>
      <x:c r="J109" s="33" t="str">
        <x:f>'Raw Results'!I28</x:f>
        <x:v>0.029849246231155778</x:v>
      </x:c>
      <x:c r="K109" s="30" t="str">
        <x:f>'Raw Results'!BN28</x:f>
        <x:v>46</x:v>
      </x:c>
      <x:c r="L109" s="30" t="str">
        <x:f>'Raw Results'!BO28</x:f>
        <x:v>46</x:v>
      </x:c>
      <x:c r="M109" s="33" t="str">
        <x:f>'Raw Results'!BP28</x:f>
        <x:v>1.5348123000003397</x:v>
      </x:c>
      <x:c r="N109" s="30" t="n">
        <x:f>IF('Raw Results'!BQ28="True",1,0)</x:f>
        <x:v>1</x:v>
      </x:c>
      <x:c r="O109" s="30" t="str">
        <x:f>'Raw Results'!BR28</x:f>
        <x:v>46</x:v>
      </x:c>
      <x:c r="P109" s="30" t="str">
        <x:f>'Raw Results'!BS28</x:f>
        <x:v>46</x:v>
      </x:c>
      <x:c r="Q109" s="33" t="str">
        <x:f>'Raw Results'!BT28</x:f>
        <x:v>1.7053782000439242</x:v>
      </x:c>
      <x:c r="R109" s="30" t="n">
        <x:f>IF('Raw Results'!BU28="True",1,0)</x:f>
        <x:v>1</x:v>
      </x:c>
      <x:c r="S109" s="30" t="n">
        <x:f>N109*R109</x:f>
        <x:v>1</x:v>
      </x:c>
      <x:c r="T109" s="30" t="n">
        <x:f>P109-L109</x:f>
        <x:v>0</x:v>
      </x:c>
      <x:c r="U109" s="30" t="n">
        <x:f>O109-K109</x:f>
        <x:v>0</x:v>
      </x:c>
      <x:c r="V109" s="34" t="n">
        <x:f>Q109-M109</x:f>
        <x:v>0.1705659000435844</x:v>
      </x:c>
      <x:c r="W109" s="35" t="n">
        <x:f>IF(L109=0,"",P109/L109)</x:f>
        <x:v>1</x:v>
      </x:c>
      <x:c r="X109" s="30" t="n">
        <x:f>K109-L109</x:f>
        <x:v>0</x:v>
      </x:c>
      <x:c r="Y109" s="30" t="n">
        <x:f>O109-P109</x:f>
        <x:v>0</x:v>
      </x:c>
      <x:c r="Z109" s="29" t="str">
        <x:f>IF(S109=0,"Excluded",IF(T109&lt;0,"Collision",IF(T109&gt;0,"Entropy","Tie")))</x:f>
        <x:v>Tie</x:v>
      </x:c>
      <x:c r="AA109" s="29" t="str">
        <x:f>IF(V109&lt;0,"Collision",IF(V109&gt;0,"Entropy","Tie"))</x:f>
        <x:v>Entropy</x:v>
      </x:c>
      <x:c r="AB109" s="29" t="str">
        <x:f>'Raw Results'!CE28</x:f>
        <x:v>none</x:v>
      </x:c>
    </x:row>
    <x:row r="110">
      <x:c r="A110" s="29" t="str">
        <x:v>Grid</x:v>
      </x:c>
      <x:c r="B110" s="30" t="str">
        <x:f>'Raw Results'!A29</x:f>
        <x:v>200</x:v>
      </x:c>
      <x:c r="C110" s="31" t="str">
        <x:f>'Raw Results'!B29</x:f>
        <x:v>0.3</x:v>
      </x:c>
      <x:c r="D110" s="30" t="str">
        <x:f>'Raw Results'!C29</x:f>
        <x:v>1</x:v>
      </x:c>
      <x:c r="E110" s="30" t="str">
        <x:f>'Raw Results'!D29</x:f>
        <x:v>785756839</x:v>
      </x:c>
      <x:c r="F110" s="30" t="str">
        <x:f>'Raw Results'!E29</x:f>
        <x:v>4268</x:v>
      </x:c>
      <x:c r="G110" s="30" t="str">
        <x:f>'Raw Results'!F29</x:f>
        <x:v>1</x:v>
      </x:c>
      <x:c r="H110" s="30" t="str">
        <x:f>'Raw Results'!G29</x:f>
        <x:v>200</x:v>
      </x:c>
      <x:c r="I110" s="32" t="str">
        <x:f>'Raw Results'!H29</x:f>
        <x:v>42.68</x:v>
      </x:c>
      <x:c r="J110" s="33" t="str">
        <x:f>'Raw Results'!I29</x:f>
        <x:v>0.21447236180904522</x:v>
      </x:c>
      <x:c r="K110" s="30" t="str">
        <x:f>'Raw Results'!L29</x:f>
        <x:v>147</x:v>
      </x:c>
      <x:c r="L110" s="30" t="str">
        <x:f>'Raw Results'!M29</x:f>
        <x:v>30</x:v>
      </x:c>
      <x:c r="M110" s="33" t="str">
        <x:f>'Raw Results'!N29</x:f>
        <x:v>0.22175000002607703</x:v>
      </x:c>
      <x:c r="N110" s="30" t="n">
        <x:f>IF('Raw Results'!O29="True",1,0)</x:f>
        <x:v>1</x:v>
      </x:c>
      <x:c r="O110" s="30" t="str">
        <x:f>'Raw Results'!P29</x:f>
        <x:v>66</x:v>
      </x:c>
      <x:c r="P110" s="30" t="str">
        <x:f>'Raw Results'!Q29</x:f>
        <x:v>31</x:v>
      </x:c>
      <x:c r="Q110" s="33" t="str">
        <x:f>'Raw Results'!R29</x:f>
        <x:v>0.14168939995579422</x:v>
      </x:c>
      <x:c r="R110" s="30" t="n">
        <x:f>IF('Raw Results'!S29="True",1,0)</x:f>
        <x:v>1</x:v>
      </x:c>
      <x:c r="S110" s="30" t="n">
        <x:f>N110*R110</x:f>
        <x:v>1</x:v>
      </x:c>
      <x:c r="T110" s="30" t="n">
        <x:f>P110-L110</x:f>
        <x:v>1</x:v>
      </x:c>
      <x:c r="U110" s="30" t="n">
        <x:f>O110-K110</x:f>
        <x:v>-81</x:v>
      </x:c>
      <x:c r="V110" s="34" t="n">
        <x:f>Q110-M110</x:f>
        <x:v>-0.08006060007028282</x:v>
      </x:c>
      <x:c r="W110" s="35" t="n">
        <x:f>IF(L110=0,"",P110/L110)</x:f>
        <x:v>1.0333333333333334</x:v>
      </x:c>
      <x:c r="X110" s="30" t="n">
        <x:f>K110-L110</x:f>
        <x:v>117</x:v>
      </x:c>
      <x:c r="Y110" s="30" t="n">
        <x:f>O110-P110</x:f>
        <x:v>35</x:v>
      </x:c>
      <x:c r="Z110" s="29" t="str">
        <x:f>IF(S110=0,"Excluded",IF(T110&lt;0,"Collision",IF(T110&gt;0,"Entropy","Tie")))</x:f>
        <x:v>Entropy</x:v>
      </x:c>
      <x:c r="AA110" s="29" t="str">
        <x:f>IF(V110&lt;0,"Collision",IF(V110&gt;0,"Entropy","Tie"))</x:f>
        <x:v>Collision</x:v>
      </x:c>
      <x:c r="AB110" s="29" t="str">
        <x:f>'Raw Results'!AC29</x:f>
        <x:v>none</x:v>
      </x:c>
    </x:row>
    <x:row r="111">
      <x:c r="A111" s="29" t="str">
        <x:v>Circle</x:v>
      </x:c>
      <x:c r="B111" s="30" t="str">
        <x:f>'Raw Results'!A29</x:f>
        <x:v>200</x:v>
      </x:c>
      <x:c r="C111" s="31" t="str">
        <x:f>'Raw Results'!B29</x:f>
        <x:v>0.3</x:v>
      </x:c>
      <x:c r="D111" s="30" t="str">
        <x:f>'Raw Results'!C29</x:f>
        <x:v>1</x:v>
      </x:c>
      <x:c r="E111" s="30" t="str">
        <x:f>'Raw Results'!D29</x:f>
        <x:v>785756839</x:v>
      </x:c>
      <x:c r="F111" s="30" t="str">
        <x:f>'Raw Results'!E29</x:f>
        <x:v>4268</x:v>
      </x:c>
      <x:c r="G111" s="30" t="str">
        <x:f>'Raw Results'!F29</x:f>
        <x:v>1</x:v>
      </x:c>
      <x:c r="H111" s="30" t="str">
        <x:f>'Raw Results'!G29</x:f>
        <x:v>200</x:v>
      </x:c>
      <x:c r="I111" s="32" t="str">
        <x:f>'Raw Results'!H29</x:f>
        <x:v>42.68</x:v>
      </x:c>
      <x:c r="J111" s="33" t="str">
        <x:f>'Raw Results'!I29</x:f>
        <x:v>0.21447236180904522</x:v>
      </x:c>
      <x:c r="K111" s="30" t="str">
        <x:f>'Raw Results'!AD29</x:f>
        <x:v>161</x:v>
      </x:c>
      <x:c r="L111" s="30" t="str">
        <x:f>'Raw Results'!AE29</x:f>
        <x:v>31</x:v>
      </x:c>
      <x:c r="M111" s="33" t="str">
        <x:f>'Raw Results'!AF29</x:f>
        <x:v>0.09855220001190901</x:v>
      </x:c>
      <x:c r="N111" s="30" t="n">
        <x:f>IF('Raw Results'!AG29="True",1,0)</x:f>
        <x:v>1</x:v>
      </x:c>
      <x:c r="O111" s="30" t="str">
        <x:f>'Raw Results'!AH29</x:f>
        <x:v>134</x:v>
      </x:c>
      <x:c r="P111" s="30" t="str">
        <x:f>'Raw Results'!AI29</x:f>
        <x:v>31</x:v>
      </x:c>
      <x:c r="Q111" s="33" t="str">
        <x:f>'Raw Results'!AJ29</x:f>
        <x:v>0.0935135999461636</x:v>
      </x:c>
      <x:c r="R111" s="30" t="n">
        <x:f>IF('Raw Results'!AK29="True",1,0)</x:f>
        <x:v>1</x:v>
      </x:c>
      <x:c r="S111" s="30" t="n">
        <x:f>N111*R111</x:f>
        <x:v>1</x:v>
      </x:c>
      <x:c r="T111" s="30" t="n">
        <x:f>P111-L111</x:f>
        <x:v>0</x:v>
      </x:c>
      <x:c r="U111" s="30" t="n">
        <x:f>O111-K111</x:f>
        <x:v>-27</x:v>
      </x:c>
      <x:c r="V111" s="34" t="n">
        <x:f>Q111-M111</x:f>
        <x:v>-0.005038600065745413</x:v>
      </x:c>
      <x:c r="W111" s="35" t="n">
        <x:f>IF(L111=0,"",P111/L111)</x:f>
        <x:v>1</x:v>
      </x:c>
      <x:c r="X111" s="30" t="n">
        <x:f>K111-L111</x:f>
        <x:v>130</x:v>
      </x:c>
      <x:c r="Y111" s="30" t="n">
        <x:f>O111-P111</x:f>
        <x:v>103</x:v>
      </x:c>
      <x:c r="Z111" s="29" t="str">
        <x:f>IF(S111=0,"Excluded",IF(T111&lt;0,"Collision",IF(T111&gt;0,"Entropy","Tie")))</x:f>
        <x:v>Tie</x:v>
      </x:c>
      <x:c r="AA111" s="29" t="str">
        <x:f>IF(V111&lt;0,"Collision",IF(V111&gt;0,"Entropy","Tie"))</x:f>
        <x:v>Collision</x:v>
      </x:c>
      <x:c r="AB111" s="29" t="str">
        <x:f>'Raw Results'!AU29</x:f>
        <x:v>none</x:v>
      </x:c>
    </x:row>
    <x:row r="112">
      <x:c r="A112" s="29" t="str">
        <x:v>Zoomed Square</x:v>
      </x:c>
      <x:c r="B112" s="30" t="str">
        <x:f>'Raw Results'!A29</x:f>
        <x:v>200</x:v>
      </x:c>
      <x:c r="C112" s="31" t="str">
        <x:f>'Raw Results'!B29</x:f>
        <x:v>0.3</x:v>
      </x:c>
      <x:c r="D112" s="30" t="str">
        <x:f>'Raw Results'!C29</x:f>
        <x:v>1</x:v>
      </x:c>
      <x:c r="E112" s="30" t="str">
        <x:f>'Raw Results'!D29</x:f>
        <x:v>785756839</x:v>
      </x:c>
      <x:c r="F112" s="30" t="str">
        <x:f>'Raw Results'!E29</x:f>
        <x:v>4268</x:v>
      </x:c>
      <x:c r="G112" s="30" t="str">
        <x:f>'Raw Results'!F29</x:f>
        <x:v>1</x:v>
      </x:c>
      <x:c r="H112" s="30" t="str">
        <x:f>'Raw Results'!G29</x:f>
        <x:v>200</x:v>
      </x:c>
      <x:c r="I112" s="32" t="str">
        <x:f>'Raw Results'!H29</x:f>
        <x:v>42.68</x:v>
      </x:c>
      <x:c r="J112" s="33" t="str">
        <x:f>'Raw Results'!I29</x:f>
        <x:v>0.21447236180904522</x:v>
      </x:c>
      <x:c r="K112" s="30" t="str">
        <x:f>'Raw Results'!AV29</x:f>
        <x:v>144</x:v>
      </x:c>
      <x:c r="L112" s="30" t="str">
        <x:f>'Raw Results'!AW29</x:f>
        <x:v>30</x:v>
      </x:c>
      <x:c r="M112" s="33" t="str">
        <x:f>'Raw Results'!AX29</x:f>
        <x:v>0.14291609998326749</x:v>
      </x:c>
      <x:c r="N112" s="30" t="n">
        <x:f>IF('Raw Results'!AY29="True",1,0)</x:f>
        <x:v>1</x:v>
      </x:c>
      <x:c r="O112" s="30" t="str">
        <x:f>'Raw Results'!AZ29</x:f>
        <x:v>82</x:v>
      </x:c>
      <x:c r="P112" s="30" t="str">
        <x:f>'Raw Results'!BA29</x:f>
        <x:v>30</x:v>
      </x:c>
      <x:c r="Q112" s="33" t="str">
        <x:f>'Raw Results'!BB29</x:f>
        <x:v>0.08729970001149923</x:v>
      </x:c>
      <x:c r="R112" s="30" t="n">
        <x:f>IF('Raw Results'!BC29="True",1,0)</x:f>
        <x:v>1</x:v>
      </x:c>
      <x:c r="S112" s="30" t="n">
        <x:f>N112*R112</x:f>
        <x:v>1</x:v>
      </x:c>
      <x:c r="T112" s="30" t="n">
        <x:f>P112-L112</x:f>
        <x:v>0</x:v>
      </x:c>
      <x:c r="U112" s="30" t="n">
        <x:f>O112-K112</x:f>
        <x:v>-62</x:v>
      </x:c>
      <x:c r="V112" s="34" t="n">
        <x:f>Q112-M112</x:f>
        <x:v>-0.05561639997176826</x:v>
      </x:c>
      <x:c r="W112" s="35" t="n">
        <x:f>IF(L112=0,"",P112/L112)</x:f>
        <x:v>1</x:v>
      </x:c>
      <x:c r="X112" s="30" t="n">
        <x:f>K112-L112</x:f>
        <x:v>114</x:v>
      </x:c>
      <x:c r="Y112" s="30" t="n">
        <x:f>O112-P112</x:f>
        <x:v>52</x:v>
      </x:c>
      <x:c r="Z112" s="29" t="str">
        <x:f>IF(S112=0,"Excluded",IF(T112&lt;0,"Collision",IF(T112&gt;0,"Entropy","Tie")))</x:f>
        <x:v>Tie</x:v>
      </x:c>
      <x:c r="AA112" s="29" t="str">
        <x:f>IF(V112&lt;0,"Collision",IF(V112&gt;0,"Entropy","Tie"))</x:f>
        <x:v>Collision</x:v>
      </x:c>
      <x:c r="AB112" s="29" t="str">
        <x:f>'Raw Results'!BM29</x:f>
        <x:v>none</x:v>
      </x:c>
    </x:row>
    <x:row r="113">
      <x:c r="A113" s="29" t="str">
        <x:v>ICH</x:v>
      </x:c>
      <x:c r="B113" s="30" t="str">
        <x:f>'Raw Results'!A29</x:f>
        <x:v>200</x:v>
      </x:c>
      <x:c r="C113" s="31" t="str">
        <x:f>'Raw Results'!B29</x:f>
        <x:v>0.3</x:v>
      </x:c>
      <x:c r="D113" s="30" t="str">
        <x:f>'Raw Results'!C29</x:f>
        <x:v>1</x:v>
      </x:c>
      <x:c r="E113" s="30" t="str">
        <x:f>'Raw Results'!D29</x:f>
        <x:v>785756839</x:v>
      </x:c>
      <x:c r="F113" s="30" t="str">
        <x:f>'Raw Results'!E29</x:f>
        <x:v>4268</x:v>
      </x:c>
      <x:c r="G113" s="30" t="str">
        <x:f>'Raw Results'!F29</x:f>
        <x:v>1</x:v>
      </x:c>
      <x:c r="H113" s="30" t="str">
        <x:f>'Raw Results'!G29</x:f>
        <x:v>200</x:v>
      </x:c>
      <x:c r="I113" s="32" t="str">
        <x:f>'Raw Results'!H29</x:f>
        <x:v>42.68</x:v>
      </x:c>
      <x:c r="J113" s="33" t="str">
        <x:f>'Raw Results'!I29</x:f>
        <x:v>0.21447236180904522</x:v>
      </x:c>
      <x:c r="K113" s="30" t="str">
        <x:f>'Raw Results'!BN29</x:f>
        <x:v>29</x:v>
      </x:c>
      <x:c r="L113" s="30" t="str">
        <x:f>'Raw Results'!BO29</x:f>
        <x:v>29</x:v>
      </x:c>
      <x:c r="M113" s="33" t="str">
        <x:f>'Raw Results'!BP29</x:f>
        <x:v>1.463766900007613</x:v>
      </x:c>
      <x:c r="N113" s="30" t="n">
        <x:f>IF('Raw Results'!BQ29="True",1,0)</x:f>
        <x:v>1</x:v>
      </x:c>
      <x:c r="O113" s="30" t="str">
        <x:f>'Raw Results'!BR29</x:f>
        <x:v>33</x:v>
      </x:c>
      <x:c r="P113" s="30" t="str">
        <x:f>'Raw Results'!BS29</x:f>
        <x:v>33</x:v>
      </x:c>
      <x:c r="Q113" s="33" t="str">
        <x:f>'Raw Results'!BT29</x:f>
        <x:v>1.4843174000270665</x:v>
      </x:c>
      <x:c r="R113" s="30" t="n">
        <x:f>IF('Raw Results'!BU29="True",1,0)</x:f>
        <x:v>1</x:v>
      </x:c>
      <x:c r="S113" s="30" t="n">
        <x:f>N113*R113</x:f>
        <x:v>1</x:v>
      </x:c>
      <x:c r="T113" s="30" t="n">
        <x:f>P113-L113</x:f>
        <x:v>4</x:v>
      </x:c>
      <x:c r="U113" s="30" t="n">
        <x:f>O113-K113</x:f>
        <x:v>4</x:v>
      </x:c>
      <x:c r="V113" s="34" t="n">
        <x:f>Q113-M113</x:f>
        <x:v>0.020550500019453466</x:v>
      </x:c>
      <x:c r="W113" s="35" t="n">
        <x:f>IF(L113=0,"",P113/L113)</x:f>
        <x:v>1.1379310344827587</x:v>
      </x:c>
      <x:c r="X113" s="30" t="n">
        <x:f>K113-L113</x:f>
        <x:v>0</x:v>
      </x:c>
      <x:c r="Y113" s="30" t="n">
        <x:f>O113-P113</x:f>
        <x:v>0</x:v>
      </x:c>
      <x:c r="Z113" s="29" t="str">
        <x:f>IF(S113=0,"Excluded",IF(T113&lt;0,"Collision",IF(T113&gt;0,"Entropy","Tie")))</x:f>
        <x:v>Entropy</x:v>
      </x:c>
      <x:c r="AA113" s="29" t="str">
        <x:f>IF(V113&lt;0,"Collision",IF(V113&gt;0,"Entropy","Tie"))</x:f>
        <x:v>Entropy</x:v>
      </x:c>
      <x:c r="AB113" s="29" t="str">
        <x:f>'Raw Results'!CE29</x:f>
        <x:v>none</x:v>
      </x:c>
    </x:row>
    <x:row r="114">
      <x:c r="A114" s="29" t="str">
        <x:v>Grid</x:v>
      </x:c>
      <x:c r="B114" s="30" t="str">
        <x:f>'Raw Results'!A30</x:f>
        <x:v>200</x:v>
      </x:c>
      <x:c r="C114" s="31" t="str">
        <x:f>'Raw Results'!B30</x:f>
        <x:v>0.3</x:v>
      </x:c>
      <x:c r="D114" s="30" t="str">
        <x:f>'Raw Results'!C30</x:f>
        <x:v>2</x:v>
      </x:c>
      <x:c r="E114" s="30" t="str">
        <x:f>'Raw Results'!D30</x:f>
        <x:v>3176789117</x:v>
      </x:c>
      <x:c r="F114" s="30" t="str">
        <x:f>'Raw Results'!E30</x:f>
        <x:v>4272</x:v>
      </x:c>
      <x:c r="G114" s="30" t="str">
        <x:f>'Raw Results'!F30</x:f>
        <x:v>1</x:v>
      </x:c>
      <x:c r="H114" s="30" t="str">
        <x:f>'Raw Results'!G30</x:f>
        <x:v>200</x:v>
      </x:c>
      <x:c r="I114" s="32" t="str">
        <x:f>'Raw Results'!H30</x:f>
        <x:v>42.72</x:v>
      </x:c>
      <x:c r="J114" s="33" t="str">
        <x:f>'Raw Results'!I30</x:f>
        <x:v>0.21467336683417085</x:v>
      </x:c>
      <x:c r="K114" s="30" t="str">
        <x:f>'Raw Results'!L30</x:f>
        <x:v>160</x:v>
      </x:c>
      <x:c r="L114" s="30" t="str">
        <x:f>'Raw Results'!M30</x:f>
        <x:v>32</x:v>
      </x:c>
      <x:c r="M114" s="33" t="str">
        <x:f>'Raw Results'!N30</x:f>
        <x:v>0.15574990003369749</x:v>
      </x:c>
      <x:c r="N114" s="30" t="n">
        <x:f>IF('Raw Results'!O30="True",1,0)</x:f>
        <x:v>1</x:v>
      </x:c>
      <x:c r="O114" s="30" t="str">
        <x:f>'Raw Results'!P30</x:f>
        <x:v>64</x:v>
      </x:c>
      <x:c r="P114" s="30" t="str">
        <x:f>'Raw Results'!Q30</x:f>
        <x:v>34</x:v>
      </x:c>
      <x:c r="Q114" s="33" t="str">
        <x:f>'Raw Results'!R30</x:f>
        <x:v>0.09908110008109361</x:v>
      </x:c>
      <x:c r="R114" s="30" t="n">
        <x:f>IF('Raw Results'!S30="True",1,0)</x:f>
        <x:v>1</x:v>
      </x:c>
      <x:c r="S114" s="30" t="n">
        <x:f>N114*R114</x:f>
        <x:v>1</x:v>
      </x:c>
      <x:c r="T114" s="30" t="n">
        <x:f>P114-L114</x:f>
        <x:v>2</x:v>
      </x:c>
      <x:c r="U114" s="30" t="n">
        <x:f>O114-K114</x:f>
        <x:v>-96</x:v>
      </x:c>
      <x:c r="V114" s="34" t="n">
        <x:f>Q114-M114</x:f>
        <x:v>-0.05666879995260388</x:v>
      </x:c>
      <x:c r="W114" s="35" t="n">
        <x:f>IF(L114=0,"",P114/L114)</x:f>
        <x:v>1.0625</x:v>
      </x:c>
      <x:c r="X114" s="30" t="n">
        <x:f>K114-L114</x:f>
        <x:v>128</x:v>
      </x:c>
      <x:c r="Y114" s="30" t="n">
        <x:f>O114-P114</x:f>
        <x:v>30</x:v>
      </x:c>
      <x:c r="Z114" s="29" t="str">
        <x:f>IF(S114=0,"Excluded",IF(T114&lt;0,"Collision",IF(T114&gt;0,"Entropy","Tie")))</x:f>
        <x:v>Entropy</x:v>
      </x:c>
      <x:c r="AA114" s="29" t="str">
        <x:f>IF(V114&lt;0,"Collision",IF(V114&gt;0,"Entropy","Tie"))</x:f>
        <x:v>Collision</x:v>
      </x:c>
      <x:c r="AB114" s="29" t="str">
        <x:f>'Raw Results'!AC30</x:f>
        <x:v>none</x:v>
      </x:c>
    </x:row>
    <x:row r="115">
      <x:c r="A115" s="29" t="str">
        <x:v>Circle</x:v>
      </x:c>
      <x:c r="B115" s="30" t="str">
        <x:f>'Raw Results'!A30</x:f>
        <x:v>200</x:v>
      </x:c>
      <x:c r="C115" s="31" t="str">
        <x:f>'Raw Results'!B30</x:f>
        <x:v>0.3</x:v>
      </x:c>
      <x:c r="D115" s="30" t="str">
        <x:f>'Raw Results'!C30</x:f>
        <x:v>2</x:v>
      </x:c>
      <x:c r="E115" s="30" t="str">
        <x:f>'Raw Results'!D30</x:f>
        <x:v>3176789117</x:v>
      </x:c>
      <x:c r="F115" s="30" t="str">
        <x:f>'Raw Results'!E30</x:f>
        <x:v>4272</x:v>
      </x:c>
      <x:c r="G115" s="30" t="str">
        <x:f>'Raw Results'!F30</x:f>
        <x:v>1</x:v>
      </x:c>
      <x:c r="H115" s="30" t="str">
        <x:f>'Raw Results'!G30</x:f>
        <x:v>200</x:v>
      </x:c>
      <x:c r="I115" s="32" t="str">
        <x:f>'Raw Results'!H30</x:f>
        <x:v>42.72</x:v>
      </x:c>
      <x:c r="J115" s="33" t="str">
        <x:f>'Raw Results'!I30</x:f>
        <x:v>0.21467336683417085</x:v>
      </x:c>
      <x:c r="K115" s="30" t="str">
        <x:f>'Raw Results'!AD30</x:f>
        <x:v>160</x:v>
      </x:c>
      <x:c r="L115" s="30" t="str">
        <x:f>'Raw Results'!AE30</x:f>
        <x:v>34</x:v>
      </x:c>
      <x:c r="M115" s="33" t="str">
        <x:f>'Raw Results'!AF30</x:f>
        <x:v>0.10575089999474585</x:v>
      </x:c>
      <x:c r="N115" s="30" t="n">
        <x:f>IF('Raw Results'!AG30="True",1,0)</x:f>
        <x:v>1</x:v>
      </x:c>
      <x:c r="O115" s="30" t="str">
        <x:f>'Raw Results'!AH30</x:f>
        <x:v>141</x:v>
      </x:c>
      <x:c r="P115" s="30" t="str">
        <x:f>'Raw Results'!AI30</x:f>
        <x:v>34</x:v>
      </x:c>
      <x:c r="Q115" s="33" t="str">
        <x:f>'Raw Results'!AJ30</x:f>
        <x:v>0.08654209994710982</x:v>
      </x:c>
      <x:c r="R115" s="30" t="n">
        <x:f>IF('Raw Results'!AK30="True",1,0)</x:f>
        <x:v>1</x:v>
      </x:c>
      <x:c r="S115" s="30" t="n">
        <x:f>N115*R115</x:f>
        <x:v>1</x:v>
      </x:c>
      <x:c r="T115" s="30" t="n">
        <x:f>P115-L115</x:f>
        <x:v>0</x:v>
      </x:c>
      <x:c r="U115" s="30" t="n">
        <x:f>O115-K115</x:f>
        <x:v>-19</x:v>
      </x:c>
      <x:c r="V115" s="34" t="n">
        <x:f>Q115-M115</x:f>
        <x:v>-0.019208800047636032</x:v>
      </x:c>
      <x:c r="W115" s="35" t="n">
        <x:f>IF(L115=0,"",P115/L115)</x:f>
        <x:v>1</x:v>
      </x:c>
      <x:c r="X115" s="30" t="n">
        <x:f>K115-L115</x:f>
        <x:v>126</x:v>
      </x:c>
      <x:c r="Y115" s="30" t="n">
        <x:f>O115-P115</x:f>
        <x:v>107</x:v>
      </x:c>
      <x:c r="Z115" s="29" t="str">
        <x:f>IF(S115=0,"Excluded",IF(T115&lt;0,"Collision",IF(T115&gt;0,"Entropy","Tie")))</x:f>
        <x:v>Tie</x:v>
      </x:c>
      <x:c r="AA115" s="29" t="str">
        <x:f>IF(V115&lt;0,"Collision",IF(V115&gt;0,"Entropy","Tie"))</x:f>
        <x:v>Collision</x:v>
      </x:c>
      <x:c r="AB115" s="29" t="str">
        <x:f>'Raw Results'!AU30</x:f>
        <x:v>none</x:v>
      </x:c>
    </x:row>
    <x:row r="116">
      <x:c r="A116" s="29" t="str">
        <x:v>Zoomed Square</x:v>
      </x:c>
      <x:c r="B116" s="30" t="str">
        <x:f>'Raw Results'!A30</x:f>
        <x:v>200</x:v>
      </x:c>
      <x:c r="C116" s="31" t="str">
        <x:f>'Raw Results'!B30</x:f>
        <x:v>0.3</x:v>
      </x:c>
      <x:c r="D116" s="30" t="str">
        <x:f>'Raw Results'!C30</x:f>
        <x:v>2</x:v>
      </x:c>
      <x:c r="E116" s="30" t="str">
        <x:f>'Raw Results'!D30</x:f>
        <x:v>3176789117</x:v>
      </x:c>
      <x:c r="F116" s="30" t="str">
        <x:f>'Raw Results'!E30</x:f>
        <x:v>4272</x:v>
      </x:c>
      <x:c r="G116" s="30" t="str">
        <x:f>'Raw Results'!F30</x:f>
        <x:v>1</x:v>
      </x:c>
      <x:c r="H116" s="30" t="str">
        <x:f>'Raw Results'!G30</x:f>
        <x:v>200</x:v>
      </x:c>
      <x:c r="I116" s="32" t="str">
        <x:f>'Raw Results'!H30</x:f>
        <x:v>42.72</x:v>
      </x:c>
      <x:c r="J116" s="33" t="str">
        <x:f>'Raw Results'!I30</x:f>
        <x:v>0.21467336683417085</x:v>
      </x:c>
      <x:c r="K116" s="30" t="str">
        <x:f>'Raw Results'!AV30</x:f>
        <x:v>160</x:v>
      </x:c>
      <x:c r="L116" s="30" t="str">
        <x:f>'Raw Results'!AW30</x:f>
        <x:v>33</x:v>
      </x:c>
      <x:c r="M116" s="33" t="str">
        <x:f>'Raw Results'!AX30</x:f>
        <x:v>0.11761489999480546</x:v>
      </x:c>
      <x:c r="N116" s="30" t="n">
        <x:f>IF('Raw Results'!AY30="True",1,0)</x:f>
        <x:v>1</x:v>
      </x:c>
      <x:c r="O116" s="30" t="str">
        <x:f>'Raw Results'!AZ30</x:f>
        <x:v>104</x:v>
      </x:c>
      <x:c r="P116" s="30" t="str">
        <x:f>'Raw Results'!BA30</x:f>
        <x:v>28</x:v>
      </x:c>
      <x:c r="Q116" s="33" t="str">
        <x:f>'Raw Results'!BB30</x:f>
        <x:v>0.09703469998203218</x:v>
      </x:c>
      <x:c r="R116" s="30" t="n">
        <x:f>IF('Raw Results'!BC30="True",1,0)</x:f>
        <x:v>1</x:v>
      </x:c>
      <x:c r="S116" s="30" t="n">
        <x:f>N116*R116</x:f>
        <x:v>1</x:v>
      </x:c>
      <x:c r="T116" s="30" t="n">
        <x:f>P116-L116</x:f>
        <x:v>-5</x:v>
      </x:c>
      <x:c r="U116" s="30" t="n">
        <x:f>O116-K116</x:f>
        <x:v>-56</x:v>
      </x:c>
      <x:c r="V116" s="34" t="n">
        <x:f>Q116-M116</x:f>
        <x:v>-0.020580200012773275</x:v>
      </x:c>
      <x:c r="W116" s="35" t="n">
        <x:f>IF(L116=0,"",P116/L116)</x:f>
        <x:v>0.8484848484848485</x:v>
      </x:c>
      <x:c r="X116" s="30" t="n">
        <x:f>K116-L116</x:f>
        <x:v>127</x:v>
      </x:c>
      <x:c r="Y116" s="30" t="n">
        <x:f>O116-P116</x:f>
        <x:v>76</x:v>
      </x:c>
      <x:c r="Z116" s="29" t="str">
        <x:f>IF(S116=0,"Excluded",IF(T116&lt;0,"Collision",IF(T116&gt;0,"Entropy","Tie")))</x:f>
        <x:v>Collision</x:v>
      </x:c>
      <x:c r="AA116" s="29" t="str">
        <x:f>IF(V116&lt;0,"Collision",IF(V116&gt;0,"Entropy","Tie"))</x:f>
        <x:v>Collision</x:v>
      </x:c>
      <x:c r="AB116" s="29" t="str">
        <x:f>'Raw Results'!BM30</x:f>
        <x:v>none</x:v>
      </x:c>
    </x:row>
    <x:row r="117">
      <x:c r="A117" s="29" t="str">
        <x:v>ICH</x:v>
      </x:c>
      <x:c r="B117" s="30" t="str">
        <x:f>'Raw Results'!A30</x:f>
        <x:v>200</x:v>
      </x:c>
      <x:c r="C117" s="31" t="str">
        <x:f>'Raw Results'!B30</x:f>
        <x:v>0.3</x:v>
      </x:c>
      <x:c r="D117" s="30" t="str">
        <x:f>'Raw Results'!C30</x:f>
        <x:v>2</x:v>
      </x:c>
      <x:c r="E117" s="30" t="str">
        <x:f>'Raw Results'!D30</x:f>
        <x:v>3176789117</x:v>
      </x:c>
      <x:c r="F117" s="30" t="str">
        <x:f>'Raw Results'!E30</x:f>
        <x:v>4272</x:v>
      </x:c>
      <x:c r="G117" s="30" t="str">
        <x:f>'Raw Results'!F30</x:f>
        <x:v>1</x:v>
      </x:c>
      <x:c r="H117" s="30" t="str">
        <x:f>'Raw Results'!G30</x:f>
        <x:v>200</x:v>
      </x:c>
      <x:c r="I117" s="32" t="str">
        <x:f>'Raw Results'!H30</x:f>
        <x:v>42.72</x:v>
      </x:c>
      <x:c r="J117" s="33" t="str">
        <x:f>'Raw Results'!I30</x:f>
        <x:v>0.21467336683417085</x:v>
      </x:c>
      <x:c r="K117" s="30" t="str">
        <x:f>'Raw Results'!BN30</x:f>
        <x:v>33</x:v>
      </x:c>
      <x:c r="L117" s="30" t="str">
        <x:f>'Raw Results'!BO30</x:f>
        <x:v>33</x:v>
      </x:c>
      <x:c r="M117" s="33" t="str">
        <x:f>'Raw Results'!BP30</x:f>
        <x:v>1.2713439000071958</x:v>
      </x:c>
      <x:c r="N117" s="30" t="n">
        <x:f>IF('Raw Results'!BQ30="True",1,0)</x:f>
        <x:v>1</x:v>
      </x:c>
      <x:c r="O117" s="30" t="str">
        <x:f>'Raw Results'!BR30</x:f>
        <x:v>28</x:v>
      </x:c>
      <x:c r="P117" s="30" t="str">
        <x:f>'Raw Results'!BS30</x:f>
        <x:v>28</x:v>
      </x:c>
      <x:c r="Q117" s="33" t="str">
        <x:f>'Raw Results'!BT30</x:f>
        <x:v>1.092552899965085</x:v>
      </x:c>
      <x:c r="R117" s="30" t="n">
        <x:f>IF('Raw Results'!BU30="True",1,0)</x:f>
        <x:v>1</x:v>
      </x:c>
      <x:c r="S117" s="30" t="n">
        <x:f>N117*R117</x:f>
        <x:v>1</x:v>
      </x:c>
      <x:c r="T117" s="30" t="n">
        <x:f>P117-L117</x:f>
        <x:v>-5</x:v>
      </x:c>
      <x:c r="U117" s="30" t="n">
        <x:f>O117-K117</x:f>
        <x:v>-5</x:v>
      </x:c>
      <x:c r="V117" s="34" t="n">
        <x:f>Q117-M117</x:f>
        <x:v>-0.17879100004211068</x:v>
      </x:c>
      <x:c r="W117" s="35" t="n">
        <x:f>IF(L117=0,"",P117/L117)</x:f>
        <x:v>0.8484848484848485</x:v>
      </x:c>
      <x:c r="X117" s="30" t="n">
        <x:f>K117-L117</x:f>
        <x:v>0</x:v>
      </x:c>
      <x:c r="Y117" s="30" t="n">
        <x:f>O117-P117</x:f>
        <x:v>0</x:v>
      </x:c>
      <x:c r="Z117" s="29" t="str">
        <x:f>IF(S117=0,"Excluded",IF(T117&lt;0,"Collision",IF(T117&gt;0,"Entropy","Tie")))</x:f>
        <x:v>Collision</x:v>
      </x:c>
      <x:c r="AA117" s="29" t="str">
        <x:f>IF(V117&lt;0,"Collision",IF(V117&gt;0,"Entropy","Tie"))</x:f>
        <x:v>Collision</x:v>
      </x:c>
      <x:c r="AB117" s="29" t="str">
        <x:f>'Raw Results'!CE30</x:f>
        <x:v>none</x:v>
      </x:c>
    </x:row>
    <x:row r="118">
      <x:c r="A118" s="29" t="str">
        <x:v>Grid</x:v>
      </x:c>
      <x:c r="B118" s="30" t="str">
        <x:f>'Raw Results'!A31</x:f>
        <x:v>200</x:v>
      </x:c>
      <x:c r="C118" s="31" t="str">
        <x:f>'Raw Results'!B31</x:f>
        <x:v>0.3</x:v>
      </x:c>
      <x:c r="D118" s="30" t="str">
        <x:f>'Raw Results'!C31</x:f>
        <x:v>3</x:v>
      </x:c>
      <x:c r="E118" s="30" t="str">
        <x:f>'Raw Results'!D31</x:f>
        <x:v>1876551989</x:v>
      </x:c>
      <x:c r="F118" s="30" t="str">
        <x:f>'Raw Results'!E31</x:f>
        <x:v>4022</x:v>
      </x:c>
      <x:c r="G118" s="30" t="str">
        <x:f>'Raw Results'!F31</x:f>
        <x:v>1</x:v>
      </x:c>
      <x:c r="H118" s="30" t="str">
        <x:f>'Raw Results'!G31</x:f>
        <x:v>200</x:v>
      </x:c>
      <x:c r="I118" s="32" t="str">
        <x:f>'Raw Results'!H31</x:f>
        <x:v>40.22</x:v>
      </x:c>
      <x:c r="J118" s="33" t="str">
        <x:f>'Raw Results'!I31</x:f>
        <x:v>0.2021105527638191</x:v>
      </x:c>
      <x:c r="K118" s="30" t="str">
        <x:f>'Raw Results'!L31</x:f>
        <x:v>141</x:v>
      </x:c>
      <x:c r="L118" s="30" t="str">
        <x:f>'Raw Results'!M31</x:f>
        <x:v>32</x:v>
      </x:c>
      <x:c r="M118" s="33" t="str">
        <x:f>'Raw Results'!N31</x:f>
        <x:v>0.1316083000274375</x:v>
      </x:c>
      <x:c r="N118" s="30" t="n">
        <x:f>IF('Raw Results'!O31="True",1,0)</x:f>
        <x:v>1</x:v>
      </x:c>
      <x:c r="O118" s="30" t="str">
        <x:f>'Raw Results'!P31</x:f>
        <x:v>66</x:v>
      </x:c>
      <x:c r="P118" s="30" t="str">
        <x:f>'Raw Results'!Q31</x:f>
        <x:v>66</x:v>
      </x:c>
      <x:c r="Q118" s="33" t="str">
        <x:f>'Raw Results'!R31</x:f>
        <x:v>0.06933520000893623</x:v>
      </x:c>
      <x:c r="R118" s="30" t="n">
        <x:f>IF('Raw Results'!S31="True",1,0)</x:f>
        <x:v>0</x:v>
      </x:c>
      <x:c r="S118" s="30" t="n">
        <x:f>N118*R118</x:f>
        <x:v>0</x:v>
      </x:c>
      <x:c r="T118" s="30" t="n">
        <x:f>P118-L118</x:f>
        <x:v>34</x:v>
      </x:c>
      <x:c r="U118" s="30" t="n">
        <x:f>O118-K118</x:f>
        <x:v>-75</x:v>
      </x:c>
      <x:c r="V118" s="34" t="n">
        <x:f>Q118-M118</x:f>
        <x:v>-0.06227310001850128</x:v>
      </x:c>
      <x:c r="W118" s="35" t="n">
        <x:f>IF(L118=0,"",P118/L118)</x:f>
        <x:v>2.0625</x:v>
      </x:c>
      <x:c r="X118" s="30" t="n">
        <x:f>K118-L118</x:f>
        <x:v>109</x:v>
      </x:c>
      <x:c r="Y118" s="30" t="n">
        <x:f>O118-P118</x:f>
        <x:v>0</x:v>
      </x:c>
      <x:c r="Z118" s="29" t="str">
        <x:f>IF(S118=0,"Excluded",IF(T118&lt;0,"Collision",IF(T118&gt;0,"Entropy","Tie")))</x:f>
        <x:v>Excluded</x:v>
      </x:c>
      <x:c r="AA118" s="29" t="str">
        <x:f>IF(V118&lt;0,"Collision",IF(V118&gt;0,"Entropy","Tie"))</x:f>
        <x:v>Collision</x:v>
      </x:c>
      <x:c r="AB118" s="29" t="str">
        <x:f>'Raw Results'!AC31</x:f>
        <x:v>large_and_invalid</x:v>
      </x:c>
    </x:row>
    <x:row r="119">
      <x:c r="A119" s="29" t="str">
        <x:v>Circle</x:v>
      </x:c>
      <x:c r="B119" s="30" t="str">
        <x:f>'Raw Results'!A31</x:f>
        <x:v>200</x:v>
      </x:c>
      <x:c r="C119" s="31" t="str">
        <x:f>'Raw Results'!B31</x:f>
        <x:v>0.3</x:v>
      </x:c>
      <x:c r="D119" s="30" t="str">
        <x:f>'Raw Results'!C31</x:f>
        <x:v>3</x:v>
      </x:c>
      <x:c r="E119" s="30" t="str">
        <x:f>'Raw Results'!D31</x:f>
        <x:v>1876551989</x:v>
      </x:c>
      <x:c r="F119" s="30" t="str">
        <x:f>'Raw Results'!E31</x:f>
        <x:v>4022</x:v>
      </x:c>
      <x:c r="G119" s="30" t="str">
        <x:f>'Raw Results'!F31</x:f>
        <x:v>1</x:v>
      </x:c>
      <x:c r="H119" s="30" t="str">
        <x:f>'Raw Results'!G31</x:f>
        <x:v>200</x:v>
      </x:c>
      <x:c r="I119" s="32" t="str">
        <x:f>'Raw Results'!H31</x:f>
        <x:v>40.22</x:v>
      </x:c>
      <x:c r="J119" s="33" t="str">
        <x:f>'Raw Results'!I31</x:f>
        <x:v>0.2021105527638191</x:v>
      </x:c>
      <x:c r="K119" s="30" t="str">
        <x:f>'Raw Results'!AD31</x:f>
        <x:v>173</x:v>
      </x:c>
      <x:c r="L119" s="30" t="str">
        <x:f>'Raw Results'!AE31</x:f>
        <x:v>34</x:v>
      </x:c>
      <x:c r="M119" s="33" t="str">
        <x:f>'Raw Results'!AF31</x:f>
        <x:v>0.11706970003433526</x:v>
      </x:c>
      <x:c r="N119" s="30" t="n">
        <x:f>IF('Raw Results'!AG31="True",1,0)</x:f>
        <x:v>1</x:v>
      </x:c>
      <x:c r="O119" s="30" t="str">
        <x:f>'Raw Results'!AH31</x:f>
        <x:v>151</x:v>
      </x:c>
      <x:c r="P119" s="30" t="str">
        <x:f>'Raw Results'!AI31</x:f>
        <x:v>34</x:v>
      </x:c>
      <x:c r="Q119" s="33" t="str">
        <x:f>'Raw Results'!AJ31</x:f>
        <x:v>0.10083509993273765</x:v>
      </x:c>
      <x:c r="R119" s="30" t="n">
        <x:f>IF('Raw Results'!AK31="True",1,0)</x:f>
        <x:v>1</x:v>
      </x:c>
      <x:c r="S119" s="30" t="n">
        <x:f>N119*R119</x:f>
        <x:v>1</x:v>
      </x:c>
      <x:c r="T119" s="30" t="n">
        <x:f>P119-L119</x:f>
        <x:v>0</x:v>
      </x:c>
      <x:c r="U119" s="30" t="n">
        <x:f>O119-K119</x:f>
        <x:v>-22</x:v>
      </x:c>
      <x:c r="V119" s="34" t="n">
        <x:f>Q119-M119</x:f>
        <x:v>-0.016234600101597607</x:v>
      </x:c>
      <x:c r="W119" s="35" t="n">
        <x:f>IF(L119=0,"",P119/L119)</x:f>
        <x:v>1</x:v>
      </x:c>
      <x:c r="X119" s="30" t="n">
        <x:f>K119-L119</x:f>
        <x:v>139</x:v>
      </x:c>
      <x:c r="Y119" s="30" t="n">
        <x:f>O119-P119</x:f>
        <x:v>117</x:v>
      </x:c>
      <x:c r="Z119" s="29" t="str">
        <x:f>IF(S119=0,"Excluded",IF(T119&lt;0,"Collision",IF(T119&gt;0,"Entropy","Tie")))</x:f>
        <x:v>Tie</x:v>
      </x:c>
      <x:c r="AA119" s="29" t="str">
        <x:f>IF(V119&lt;0,"Collision",IF(V119&gt;0,"Entropy","Tie"))</x:f>
        <x:v>Collision</x:v>
      </x:c>
      <x:c r="AB119" s="29" t="str">
        <x:f>'Raw Results'!AU31</x:f>
        <x:v>none</x:v>
      </x:c>
    </x:row>
    <x:row r="120">
      <x:c r="A120" s="29" t="str">
        <x:v>Zoomed Square</x:v>
      </x:c>
      <x:c r="B120" s="30" t="str">
        <x:f>'Raw Results'!A31</x:f>
        <x:v>200</x:v>
      </x:c>
      <x:c r="C120" s="31" t="str">
        <x:f>'Raw Results'!B31</x:f>
        <x:v>0.3</x:v>
      </x:c>
      <x:c r="D120" s="30" t="str">
        <x:f>'Raw Results'!C31</x:f>
        <x:v>3</x:v>
      </x:c>
      <x:c r="E120" s="30" t="str">
        <x:f>'Raw Results'!D31</x:f>
        <x:v>1876551989</x:v>
      </x:c>
      <x:c r="F120" s="30" t="str">
        <x:f>'Raw Results'!E31</x:f>
        <x:v>4022</x:v>
      </x:c>
      <x:c r="G120" s="30" t="str">
        <x:f>'Raw Results'!F31</x:f>
        <x:v>1</x:v>
      </x:c>
      <x:c r="H120" s="30" t="str">
        <x:f>'Raw Results'!G31</x:f>
        <x:v>200</x:v>
      </x:c>
      <x:c r="I120" s="32" t="str">
        <x:f>'Raw Results'!H31</x:f>
        <x:v>40.22</x:v>
      </x:c>
      <x:c r="J120" s="33" t="str">
        <x:f>'Raw Results'!I31</x:f>
        <x:v>0.2021105527638191</x:v>
      </x:c>
      <x:c r="K120" s="30" t="str">
        <x:f>'Raw Results'!AV31</x:f>
        <x:v>136</x:v>
      </x:c>
      <x:c r="L120" s="30" t="str">
        <x:f>'Raw Results'!AW31</x:f>
        <x:v>34</x:v>
      </x:c>
      <x:c r="M120" s="33" t="str">
        <x:f>'Raw Results'!AX31</x:f>
        <x:v>0.10814060003031045</x:v>
      </x:c>
      <x:c r="N120" s="30" t="n">
        <x:f>IF('Raw Results'!AY31="True",1,0)</x:f>
        <x:v>1</x:v>
      </x:c>
      <x:c r="O120" s="30" t="str">
        <x:f>'Raw Results'!AZ31</x:f>
        <x:v>87</x:v>
      </x:c>
      <x:c r="P120" s="30" t="str">
        <x:f>'Raw Results'!BA31</x:f>
        <x:v>33</x:v>
      </x:c>
      <x:c r="Q120" s="33" t="str">
        <x:f>'Raw Results'!BB31</x:f>
        <x:v>0.07981579995248467</x:v>
      </x:c>
      <x:c r="R120" s="30" t="n">
        <x:f>IF('Raw Results'!BC31="True",1,0)</x:f>
        <x:v>1</x:v>
      </x:c>
      <x:c r="S120" s="30" t="n">
        <x:f>N120*R120</x:f>
        <x:v>1</x:v>
      </x:c>
      <x:c r="T120" s="30" t="n">
        <x:f>P120-L120</x:f>
        <x:v>-1</x:v>
      </x:c>
      <x:c r="U120" s="30" t="n">
        <x:f>O120-K120</x:f>
        <x:v>-49</x:v>
      </x:c>
      <x:c r="V120" s="34" t="n">
        <x:f>Q120-M120</x:f>
        <x:v>-0.028324800077825785</x:v>
      </x:c>
      <x:c r="W120" s="35" t="n">
        <x:f>IF(L120=0,"",P120/L120)</x:f>
        <x:v>0.9705882352941176</x:v>
      </x:c>
      <x:c r="X120" s="30" t="n">
        <x:f>K120-L120</x:f>
        <x:v>102</x:v>
      </x:c>
      <x:c r="Y120" s="30" t="n">
        <x:f>O120-P120</x:f>
        <x:v>54</x:v>
      </x:c>
      <x:c r="Z120" s="29" t="str">
        <x:f>IF(S120=0,"Excluded",IF(T120&lt;0,"Collision",IF(T120&gt;0,"Entropy","Tie")))</x:f>
        <x:v>Collision</x:v>
      </x:c>
      <x:c r="AA120" s="29" t="str">
        <x:f>IF(V120&lt;0,"Collision",IF(V120&gt;0,"Entropy","Tie"))</x:f>
        <x:v>Collision</x:v>
      </x:c>
      <x:c r="AB120" s="29" t="str">
        <x:f>'Raw Results'!BM31</x:f>
        <x:v>none</x:v>
      </x:c>
    </x:row>
    <x:row r="121">
      <x:c r="A121" s="29" t="str">
        <x:v>ICH</x:v>
      </x:c>
      <x:c r="B121" s="30" t="str">
        <x:f>'Raw Results'!A31</x:f>
        <x:v>200</x:v>
      </x:c>
      <x:c r="C121" s="31" t="str">
        <x:f>'Raw Results'!B31</x:f>
        <x:v>0.3</x:v>
      </x:c>
      <x:c r="D121" s="30" t="str">
        <x:f>'Raw Results'!C31</x:f>
        <x:v>3</x:v>
      </x:c>
      <x:c r="E121" s="30" t="str">
        <x:f>'Raw Results'!D31</x:f>
        <x:v>1876551989</x:v>
      </x:c>
      <x:c r="F121" s="30" t="str">
        <x:f>'Raw Results'!E31</x:f>
        <x:v>4022</x:v>
      </x:c>
      <x:c r="G121" s="30" t="str">
        <x:f>'Raw Results'!F31</x:f>
        <x:v>1</x:v>
      </x:c>
      <x:c r="H121" s="30" t="str">
        <x:f>'Raw Results'!G31</x:f>
        <x:v>200</x:v>
      </x:c>
      <x:c r="I121" s="32" t="str">
        <x:f>'Raw Results'!H31</x:f>
        <x:v>40.22</x:v>
      </x:c>
      <x:c r="J121" s="33" t="str">
        <x:f>'Raw Results'!I31</x:f>
        <x:v>0.2021105527638191</x:v>
      </x:c>
      <x:c r="K121" s="30" t="str">
        <x:f>'Raw Results'!BN31</x:f>
        <x:v>29</x:v>
      </x:c>
      <x:c r="L121" s="30" t="str">
        <x:f>'Raw Results'!BO31</x:f>
        <x:v>29</x:v>
      </x:c>
      <x:c r="M121" s="33" t="str">
        <x:f>'Raw Results'!BP31</x:f>
        <x:v>1.2424273999640718</x:v>
      </x:c>
      <x:c r="N121" s="30" t="n">
        <x:f>IF('Raw Results'!BQ31="True",1,0)</x:f>
        <x:v>1</x:v>
      </x:c>
      <x:c r="O121" s="30" t="str">
        <x:f>'Raw Results'!BR31</x:f>
        <x:v>32</x:v>
      </x:c>
      <x:c r="P121" s="30" t="str">
        <x:f>'Raw Results'!BS31</x:f>
        <x:v>32</x:v>
      </x:c>
      <x:c r="Q121" s="33" t="str">
        <x:f>'Raw Results'!BT31</x:f>
        <x:v>1.164716900093481</x:v>
      </x:c>
      <x:c r="R121" s="30" t="n">
        <x:f>IF('Raw Results'!BU31="True",1,0)</x:f>
        <x:v>1</x:v>
      </x:c>
      <x:c r="S121" s="30" t="n">
        <x:f>N121*R121</x:f>
        <x:v>1</x:v>
      </x:c>
      <x:c r="T121" s="30" t="n">
        <x:f>P121-L121</x:f>
        <x:v>3</x:v>
      </x:c>
      <x:c r="U121" s="30" t="n">
        <x:f>O121-K121</x:f>
        <x:v>3</x:v>
      </x:c>
      <x:c r="V121" s="34" t="n">
        <x:f>Q121-M121</x:f>
        <x:v>-0.07771049987059087</x:v>
      </x:c>
      <x:c r="W121" s="35" t="n">
        <x:f>IF(L121=0,"",P121/L121)</x:f>
        <x:v>1.103448275862069</x:v>
      </x:c>
      <x:c r="X121" s="30" t="n">
        <x:f>K121-L121</x:f>
        <x:v>0</x:v>
      </x:c>
      <x:c r="Y121" s="30" t="n">
        <x:f>O121-P121</x:f>
        <x:v>0</x:v>
      </x:c>
      <x:c r="Z121" s="29" t="str">
        <x:f>IF(S121=0,"Excluded",IF(T121&lt;0,"Collision",IF(T121&gt;0,"Entropy","Tie")))</x:f>
        <x:v>Entropy</x:v>
      </x:c>
      <x:c r="AA121" s="29" t="str">
        <x:f>IF(V121&lt;0,"Collision",IF(V121&gt;0,"Entropy","Tie"))</x:f>
        <x:v>Collision</x:v>
      </x:c>
      <x:c r="AB121" s="29" t="str">
        <x:f>'Raw Results'!CE31</x:f>
        <x:v>none</x:v>
      </x:c>
    </x:row>
    <x:row r="122">
      <x:c r="A122" s="29" t="str">
        <x:v>Grid</x:v>
      </x:c>
      <x:c r="B122" s="30" t="str">
        <x:f>'Raw Results'!A32</x:f>
        <x:v>200</x:v>
      </x:c>
      <x:c r="C122" s="31" t="str">
        <x:f>'Raw Results'!B32</x:f>
        <x:v>0.5</x:v>
      </x:c>
      <x:c r="D122" s="30" t="str">
        <x:f>'Raw Results'!C32</x:f>
        <x:v>1</x:v>
      </x:c>
      <x:c r="E122" s="30" t="str">
        <x:f>'Raw Results'!D32</x:f>
        <x:v>845036295</x:v>
      </x:c>
      <x:c r="F122" s="30" t="str">
        <x:f>'Raw Results'!E32</x:f>
        <x:v>8904</x:v>
      </x:c>
      <x:c r="G122" s="30" t="str">
        <x:f>'Raw Results'!F32</x:f>
        <x:v>1</x:v>
      </x:c>
      <x:c r="H122" s="30" t="str">
        <x:f>'Raw Results'!G32</x:f>
        <x:v>200</x:v>
      </x:c>
      <x:c r="I122" s="32" t="str">
        <x:f>'Raw Results'!H32</x:f>
        <x:v>89.04</x:v>
      </x:c>
      <x:c r="J122" s="33" t="str">
        <x:f>'Raw Results'!I32</x:f>
        <x:v>0.44743718592964826</x:v>
      </x:c>
      <x:c r="K122" s="30" t="str">
        <x:f>'Raw Results'!L32</x:f>
        <x:v>167</x:v>
      </x:c>
      <x:c r="L122" s="30" t="str">
        <x:f>'Raw Results'!M32</x:f>
        <x:v>49</x:v>
      </x:c>
      <x:c r="M122" s="33" t="str">
        <x:f>'Raw Results'!N32</x:f>
        <x:v>0.918060899944976</x:v>
      </x:c>
      <x:c r="N122" s="30" t="n">
        <x:f>IF('Raw Results'!O32="True",1,0)</x:f>
        <x:v>1</x:v>
      </x:c>
      <x:c r="O122" s="30" t="str">
        <x:f>'Raw Results'!P32</x:f>
        <x:v>44</x:v>
      </x:c>
      <x:c r="P122" s="30" t="str">
        <x:f>'Raw Results'!Q32</x:f>
        <x:v>42</x:v>
      </x:c>
      <x:c r="Q122" s="33" t="str">
        <x:f>'Raw Results'!R32</x:f>
        <x:v>0.610510699916631</x:v>
      </x:c>
      <x:c r="R122" s="30" t="n">
        <x:f>IF('Raw Results'!S32="True",1,0)</x:f>
        <x:v>1</x:v>
      </x:c>
      <x:c r="S122" s="30" t="n">
        <x:f>N122*R122</x:f>
        <x:v>1</x:v>
      </x:c>
      <x:c r="T122" s="30" t="n">
        <x:f>P122-L122</x:f>
        <x:v>-7</x:v>
      </x:c>
      <x:c r="U122" s="30" t="n">
        <x:f>O122-K122</x:f>
        <x:v>-123</x:v>
      </x:c>
      <x:c r="V122" s="34" t="n">
        <x:f>Q122-M122</x:f>
        <x:v>-0.307550200028345</x:v>
      </x:c>
      <x:c r="W122" s="35" t="n">
        <x:f>IF(L122=0,"",P122/L122)</x:f>
        <x:v>0.8571428571428571</x:v>
      </x:c>
      <x:c r="X122" s="30" t="n">
        <x:f>K122-L122</x:f>
        <x:v>118</x:v>
      </x:c>
      <x:c r="Y122" s="30" t="n">
        <x:f>O122-P122</x:f>
        <x:v>2</x:v>
      </x:c>
      <x:c r="Z122" s="29" t="str">
        <x:f>IF(S122=0,"Excluded",IF(T122&lt;0,"Collision",IF(T122&gt;0,"Entropy","Tie")))</x:f>
        <x:v>Collision</x:v>
      </x:c>
      <x:c r="AA122" s="29" t="str">
        <x:f>IF(V122&lt;0,"Collision",IF(V122&gt;0,"Entropy","Tie"))</x:f>
        <x:v>Collision</x:v>
      </x:c>
      <x:c r="AB122" s="29" t="str">
        <x:f>'Raw Results'!AC32</x:f>
        <x:v>none</x:v>
      </x:c>
    </x:row>
    <x:row r="123">
      <x:c r="A123" s="29" t="str">
        <x:v>Circle</x:v>
      </x:c>
      <x:c r="B123" s="30" t="str">
        <x:f>'Raw Results'!A32</x:f>
        <x:v>200</x:v>
      </x:c>
      <x:c r="C123" s="31" t="str">
        <x:f>'Raw Results'!B32</x:f>
        <x:v>0.5</x:v>
      </x:c>
      <x:c r="D123" s="30" t="str">
        <x:f>'Raw Results'!C32</x:f>
        <x:v>1</x:v>
      </x:c>
      <x:c r="E123" s="30" t="str">
        <x:f>'Raw Results'!D32</x:f>
        <x:v>845036295</x:v>
      </x:c>
      <x:c r="F123" s="30" t="str">
        <x:f>'Raw Results'!E32</x:f>
        <x:v>8904</x:v>
      </x:c>
      <x:c r="G123" s="30" t="str">
        <x:f>'Raw Results'!F32</x:f>
        <x:v>1</x:v>
      </x:c>
      <x:c r="H123" s="30" t="str">
        <x:f>'Raw Results'!G32</x:f>
        <x:v>200</x:v>
      </x:c>
      <x:c r="I123" s="32" t="str">
        <x:f>'Raw Results'!H32</x:f>
        <x:v>89.04</x:v>
      </x:c>
      <x:c r="J123" s="33" t="str">
        <x:f>'Raw Results'!I32</x:f>
        <x:v>0.44743718592964826</x:v>
      </x:c>
      <x:c r="K123" s="30" t="str">
        <x:f>'Raw Results'!AD32</x:f>
        <x:v>178</x:v>
      </x:c>
      <x:c r="L123" s="30" t="str">
        <x:f>'Raw Results'!AE32</x:f>
        <x:v>48</x:v>
      </x:c>
      <x:c r="M123" s="33" t="str">
        <x:f>'Raw Results'!AF32</x:f>
        <x:v>0.19581790000665933</x:v>
      </x:c>
      <x:c r="N123" s="30" t="n">
        <x:f>IF('Raw Results'!AG32="True",1,0)</x:f>
        <x:v>1</x:v>
      </x:c>
      <x:c r="O123" s="30" t="str">
        <x:f>'Raw Results'!AH32</x:f>
        <x:v>167</x:v>
      </x:c>
      <x:c r="P123" s="30" t="str">
        <x:f>'Raw Results'!AI32</x:f>
        <x:v>48</x:v>
      </x:c>
      <x:c r="Q123" s="33" t="str">
        <x:f>'Raw Results'!AJ32</x:f>
        <x:v>0.16814909991808236</x:v>
      </x:c>
      <x:c r="R123" s="30" t="n">
        <x:f>IF('Raw Results'!AK32="True",1,0)</x:f>
        <x:v>1</x:v>
      </x:c>
      <x:c r="S123" s="30" t="n">
        <x:f>N123*R123</x:f>
        <x:v>1</x:v>
      </x:c>
      <x:c r="T123" s="30" t="n">
        <x:f>P123-L123</x:f>
        <x:v>0</x:v>
      </x:c>
      <x:c r="U123" s="30" t="n">
        <x:f>O123-K123</x:f>
        <x:v>-11</x:v>
      </x:c>
      <x:c r="V123" s="34" t="n">
        <x:f>Q123-M123</x:f>
        <x:v>-0.027668800088576972</x:v>
      </x:c>
      <x:c r="W123" s="35" t="n">
        <x:f>IF(L123=0,"",P123/L123)</x:f>
        <x:v>1</x:v>
      </x:c>
      <x:c r="X123" s="30" t="n">
        <x:f>K123-L123</x:f>
        <x:v>130</x:v>
      </x:c>
      <x:c r="Y123" s="30" t="n">
        <x:f>O123-P123</x:f>
        <x:v>119</x:v>
      </x:c>
      <x:c r="Z123" s="29" t="str">
        <x:f>IF(S123=0,"Excluded",IF(T123&lt;0,"Collision",IF(T123&gt;0,"Entropy","Tie")))</x:f>
        <x:v>Tie</x:v>
      </x:c>
      <x:c r="AA123" s="29" t="str">
        <x:f>IF(V123&lt;0,"Collision",IF(V123&gt;0,"Entropy","Tie"))</x:f>
        <x:v>Collision</x:v>
      </x:c>
      <x:c r="AB123" s="29" t="str">
        <x:f>'Raw Results'!AU32</x:f>
        <x:v>none</x:v>
      </x:c>
    </x:row>
    <x:row r="124">
      <x:c r="A124" s="29" t="str">
        <x:v>Zoomed Square</x:v>
      </x:c>
      <x:c r="B124" s="30" t="str">
        <x:f>'Raw Results'!A32</x:f>
        <x:v>200</x:v>
      </x:c>
      <x:c r="C124" s="31" t="str">
        <x:f>'Raw Results'!B32</x:f>
        <x:v>0.5</x:v>
      </x:c>
      <x:c r="D124" s="30" t="str">
        <x:f>'Raw Results'!C32</x:f>
        <x:v>1</x:v>
      </x:c>
      <x:c r="E124" s="30" t="str">
        <x:f>'Raw Results'!D32</x:f>
        <x:v>845036295</x:v>
      </x:c>
      <x:c r="F124" s="30" t="str">
        <x:f>'Raw Results'!E32</x:f>
        <x:v>8904</x:v>
      </x:c>
      <x:c r="G124" s="30" t="str">
        <x:f>'Raw Results'!F32</x:f>
        <x:v>1</x:v>
      </x:c>
      <x:c r="H124" s="30" t="str">
        <x:f>'Raw Results'!G32</x:f>
        <x:v>200</x:v>
      </x:c>
      <x:c r="I124" s="32" t="str">
        <x:f>'Raw Results'!H32</x:f>
        <x:v>89.04</x:v>
      </x:c>
      <x:c r="J124" s="33" t="str">
        <x:f>'Raw Results'!I32</x:f>
        <x:v>0.44743718592964826</x:v>
      </x:c>
      <x:c r="K124" s="30" t="str">
        <x:f>'Raw Results'!AV32</x:f>
        <x:v>186</x:v>
      </x:c>
      <x:c r="L124" s="30" t="str">
        <x:f>'Raw Results'!AW32</x:f>
        <x:v>46</x:v>
      </x:c>
      <x:c r="M124" s="33" t="str">
        <x:f>'Raw Results'!AX32</x:f>
        <x:v>0.1835824999725446</x:v>
      </x:c>
      <x:c r="N124" s="30" t="n">
        <x:f>IF('Raw Results'!AY32="True",1,0)</x:f>
        <x:v>1</x:v>
      </x:c>
      <x:c r="O124" s="30" t="str">
        <x:f>'Raw Results'!AZ32</x:f>
        <x:v>113</x:v>
      </x:c>
      <x:c r="P124" s="30" t="str">
        <x:f>'Raw Results'!BA32</x:f>
        <x:v>45</x:v>
      </x:c>
      <x:c r="Q124" s="33" t="str">
        <x:f>'Raw Results'!BB32</x:f>
        <x:v>0.19904869992751628</x:v>
      </x:c>
      <x:c r="R124" s="30" t="n">
        <x:f>IF('Raw Results'!BC32="True",1,0)</x:f>
        <x:v>1</x:v>
      </x:c>
      <x:c r="S124" s="30" t="n">
        <x:f>N124*R124</x:f>
        <x:v>1</x:v>
      </x:c>
      <x:c r="T124" s="30" t="n">
        <x:f>P124-L124</x:f>
        <x:v>-1</x:v>
      </x:c>
      <x:c r="U124" s="30" t="n">
        <x:f>O124-K124</x:f>
        <x:v>-73</x:v>
      </x:c>
      <x:c r="V124" s="34" t="n">
        <x:f>Q124-M124</x:f>
        <x:v>0.015466199954971671</x:v>
      </x:c>
      <x:c r="W124" s="35" t="n">
        <x:f>IF(L124=0,"",P124/L124)</x:f>
        <x:v>0.9782608695652174</x:v>
      </x:c>
      <x:c r="X124" s="30" t="n">
        <x:f>K124-L124</x:f>
        <x:v>140</x:v>
      </x:c>
      <x:c r="Y124" s="30" t="n">
        <x:f>O124-P124</x:f>
        <x:v>68</x:v>
      </x:c>
      <x:c r="Z124" s="29" t="str">
        <x:f>IF(S124=0,"Excluded",IF(T124&lt;0,"Collision",IF(T124&gt;0,"Entropy","Tie")))</x:f>
        <x:v>Collision</x:v>
      </x:c>
      <x:c r="AA124" s="29" t="str">
        <x:f>IF(V124&lt;0,"Collision",IF(V124&gt;0,"Entropy","Tie"))</x:f>
        <x:v>Entropy</x:v>
      </x:c>
      <x:c r="AB124" s="29" t="str">
        <x:f>'Raw Results'!BM32</x:f>
        <x:v>none</x:v>
      </x:c>
    </x:row>
    <x:row r="125">
      <x:c r="A125" s="29" t="str">
        <x:v>ICH</x:v>
      </x:c>
      <x:c r="B125" s="30" t="str">
        <x:f>'Raw Results'!A32</x:f>
        <x:v>200</x:v>
      </x:c>
      <x:c r="C125" s="31" t="str">
        <x:f>'Raw Results'!B32</x:f>
        <x:v>0.5</x:v>
      </x:c>
      <x:c r="D125" s="30" t="str">
        <x:f>'Raw Results'!C32</x:f>
        <x:v>1</x:v>
      </x:c>
      <x:c r="E125" s="30" t="str">
        <x:f>'Raw Results'!D32</x:f>
        <x:v>845036295</x:v>
      </x:c>
      <x:c r="F125" s="30" t="str">
        <x:f>'Raw Results'!E32</x:f>
        <x:v>8904</x:v>
      </x:c>
      <x:c r="G125" s="30" t="str">
        <x:f>'Raw Results'!F32</x:f>
        <x:v>1</x:v>
      </x:c>
      <x:c r="H125" s="30" t="str">
        <x:f>'Raw Results'!G32</x:f>
        <x:v>200</x:v>
      </x:c>
      <x:c r="I125" s="32" t="str">
        <x:f>'Raw Results'!H32</x:f>
        <x:v>89.04</x:v>
      </x:c>
      <x:c r="J125" s="33" t="str">
        <x:f>'Raw Results'!I32</x:f>
        <x:v>0.44743718592964826</x:v>
      </x:c>
      <x:c r="K125" s="30" t="str">
        <x:f>'Raw Results'!BN32</x:f>
        <x:v>44</x:v>
      </x:c>
      <x:c r="L125" s="30" t="str">
        <x:f>'Raw Results'!BO32</x:f>
        <x:v>44</x:v>
      </x:c>
      <x:c r="M125" s="33" t="str">
        <x:f>'Raw Results'!BP32</x:f>
        <x:v>1.3897729000309482</x:v>
      </x:c>
      <x:c r="N125" s="30" t="n">
        <x:f>IF('Raw Results'!BQ32="True",1,0)</x:f>
        <x:v>1</x:v>
      </x:c>
      <x:c r="O125" s="30" t="str">
        <x:f>'Raw Results'!BR32</x:f>
        <x:v>44</x:v>
      </x:c>
      <x:c r="P125" s="30" t="str">
        <x:f>'Raw Results'!BS32</x:f>
        <x:v>44</x:v>
      </x:c>
      <x:c r="Q125" s="33" t="str">
        <x:f>'Raw Results'!BT32</x:f>
        <x:v>1.434010799974203</x:v>
      </x:c>
      <x:c r="R125" s="30" t="n">
        <x:f>IF('Raw Results'!BU32="True",1,0)</x:f>
        <x:v>1</x:v>
      </x:c>
      <x:c r="S125" s="30" t="n">
        <x:f>N125*R125</x:f>
        <x:v>1</x:v>
      </x:c>
      <x:c r="T125" s="30" t="n">
        <x:f>P125-L125</x:f>
        <x:v>0</x:v>
      </x:c>
      <x:c r="U125" s="30" t="n">
        <x:f>O125-K125</x:f>
        <x:v>0</x:v>
      </x:c>
      <x:c r="V125" s="34" t="n">
        <x:f>Q125-M125</x:f>
        <x:v>0.04423789994325489</x:v>
      </x:c>
      <x:c r="W125" s="35" t="n">
        <x:f>IF(L125=0,"",P125/L125)</x:f>
        <x:v>1</x:v>
      </x:c>
      <x:c r="X125" s="30" t="n">
        <x:f>K125-L125</x:f>
        <x:v>0</x:v>
      </x:c>
      <x:c r="Y125" s="30" t="n">
        <x:f>O125-P125</x:f>
        <x:v>0</x:v>
      </x:c>
      <x:c r="Z125" s="29" t="str">
        <x:f>IF(S125=0,"Excluded",IF(T125&lt;0,"Collision",IF(T125&gt;0,"Entropy","Tie")))</x:f>
        <x:v>Tie</x:v>
      </x:c>
      <x:c r="AA125" s="29" t="str">
        <x:f>IF(V125&lt;0,"Collision",IF(V125&gt;0,"Entropy","Tie"))</x:f>
        <x:v>Entropy</x:v>
      </x:c>
      <x:c r="AB125" s="29" t="str">
        <x:f>'Raw Results'!CE32</x:f>
        <x:v>none</x:v>
      </x:c>
    </x:row>
    <x:row r="126">
      <x:c r="A126" s="29" t="str">
        <x:v>Grid</x:v>
      </x:c>
      <x:c r="B126" s="30" t="str">
        <x:f>'Raw Results'!A33</x:f>
        <x:v>200</x:v>
      </x:c>
      <x:c r="C126" s="31" t="str">
        <x:f>'Raw Results'!B33</x:f>
        <x:v>0.5</x:v>
      </x:c>
      <x:c r="D126" s="30" t="str">
        <x:f>'Raw Results'!C33</x:f>
        <x:v>2</x:v>
      </x:c>
      <x:c r="E126" s="30" t="str">
        <x:f>'Raw Results'!D33</x:f>
        <x:v>2295941781</x:v>
      </x:c>
      <x:c r="F126" s="30" t="str">
        <x:f>'Raw Results'!E33</x:f>
        <x:v>9186</x:v>
      </x:c>
      <x:c r="G126" s="30" t="str">
        <x:f>'Raw Results'!F33</x:f>
        <x:v>1</x:v>
      </x:c>
      <x:c r="H126" s="30" t="str">
        <x:f>'Raw Results'!G33</x:f>
        <x:v>200</x:v>
      </x:c>
      <x:c r="I126" s="32" t="str">
        <x:f>'Raw Results'!H33</x:f>
        <x:v>91.86</x:v>
      </x:c>
      <x:c r="J126" s="33" t="str">
        <x:f>'Raw Results'!I33</x:f>
        <x:v>0.46160804020100504</x:v>
      </x:c>
      <x:c r="K126" s="30" t="str">
        <x:f>'Raw Results'!L33</x:f>
        <x:v>140</x:v>
      </x:c>
      <x:c r="L126" s="30" t="str">
        <x:f>'Raw Results'!M33</x:f>
        <x:v>45</x:v>
      </x:c>
      <x:c r="M126" s="33" t="str">
        <x:f>'Raw Results'!N33</x:f>
        <x:v>0.8670121000614017</x:v>
      </x:c>
      <x:c r="N126" s="30" t="n">
        <x:f>IF('Raw Results'!O33="True",1,0)</x:f>
        <x:v>1</x:v>
      </x:c>
      <x:c r="O126" s="30" t="str">
        <x:f>'Raw Results'!P33</x:f>
        <x:v>37</x:v>
      </x:c>
      <x:c r="P126" s="30" t="str">
        <x:f>'Raw Results'!Q33</x:f>
        <x:v>37</x:v>
      </x:c>
      <x:c r="Q126" s="33" t="str">
        <x:f>'Raw Results'!R33</x:f>
        <x:v>0.5241816999623552</x:v>
      </x:c>
      <x:c r="R126" s="30" t="n">
        <x:f>IF('Raw Results'!S33="True",1,0)</x:f>
        <x:v>1</x:v>
      </x:c>
      <x:c r="S126" s="30" t="n">
        <x:f>N126*R126</x:f>
        <x:v>1</x:v>
      </x:c>
      <x:c r="T126" s="30" t="n">
        <x:f>P126-L126</x:f>
        <x:v>-8</x:v>
      </x:c>
      <x:c r="U126" s="30" t="n">
        <x:f>O126-K126</x:f>
        <x:v>-103</x:v>
      </x:c>
      <x:c r="V126" s="34" t="n">
        <x:f>Q126-M126</x:f>
        <x:v>-0.34283040009904653</x:v>
      </x:c>
      <x:c r="W126" s="35" t="n">
        <x:f>IF(L126=0,"",P126/L126)</x:f>
        <x:v>0.8222222222222222</x:v>
      </x:c>
      <x:c r="X126" s="30" t="n">
        <x:f>K126-L126</x:f>
        <x:v>95</x:v>
      </x:c>
      <x:c r="Y126" s="30" t="n">
        <x:f>O126-P126</x:f>
        <x:v>0</x:v>
      </x:c>
      <x:c r="Z126" s="29" t="str">
        <x:f>IF(S126=0,"Excluded",IF(T126&lt;0,"Collision",IF(T126&gt;0,"Entropy","Tie")))</x:f>
        <x:v>Collision</x:v>
      </x:c>
      <x:c r="AA126" s="29" t="str">
        <x:f>IF(V126&lt;0,"Collision",IF(V126&gt;0,"Entropy","Tie"))</x:f>
        <x:v>Collision</x:v>
      </x:c>
      <x:c r="AB126" s="29" t="str">
        <x:f>'Raw Results'!AC33</x:f>
        <x:v>none</x:v>
      </x:c>
    </x:row>
    <x:row r="127">
      <x:c r="A127" s="29" t="str">
        <x:v>Circle</x:v>
      </x:c>
      <x:c r="B127" s="30" t="str">
        <x:f>'Raw Results'!A33</x:f>
        <x:v>200</x:v>
      </x:c>
      <x:c r="C127" s="31" t="str">
        <x:f>'Raw Results'!B33</x:f>
        <x:v>0.5</x:v>
      </x:c>
      <x:c r="D127" s="30" t="str">
        <x:f>'Raw Results'!C33</x:f>
        <x:v>2</x:v>
      </x:c>
      <x:c r="E127" s="30" t="str">
        <x:f>'Raw Results'!D33</x:f>
        <x:v>2295941781</x:v>
      </x:c>
      <x:c r="F127" s="30" t="str">
        <x:f>'Raw Results'!E33</x:f>
        <x:v>9186</x:v>
      </x:c>
      <x:c r="G127" s="30" t="str">
        <x:f>'Raw Results'!F33</x:f>
        <x:v>1</x:v>
      </x:c>
      <x:c r="H127" s="30" t="str">
        <x:f>'Raw Results'!G33</x:f>
        <x:v>200</x:v>
      </x:c>
      <x:c r="I127" s="32" t="str">
        <x:f>'Raw Results'!H33</x:f>
        <x:v>91.86</x:v>
      </x:c>
      <x:c r="J127" s="33" t="str">
        <x:f>'Raw Results'!I33</x:f>
        <x:v>0.46160804020100504</x:v>
      </x:c>
      <x:c r="K127" s="30" t="str">
        <x:f>'Raw Results'!AD33</x:f>
        <x:v>143</x:v>
      </x:c>
      <x:c r="L127" s="30" t="str">
        <x:f>'Raw Results'!AE33</x:f>
        <x:v>42</x:v>
      </x:c>
      <x:c r="M127" s="33" t="str">
        <x:f>'Raw Results'!AF33</x:f>
        <x:v>0.11724689998663962</x:v>
      </x:c>
      <x:c r="N127" s="30" t="n">
        <x:f>IF('Raw Results'!AG33="True",1,0)</x:f>
        <x:v>1</x:v>
      </x:c>
      <x:c r="O127" s="30" t="str">
        <x:f>'Raw Results'!AH33</x:f>
        <x:v>135</x:v>
      </x:c>
      <x:c r="P127" s="30" t="str">
        <x:f>'Raw Results'!AI33</x:f>
        <x:v>44</x:v>
      </x:c>
      <x:c r="Q127" s="33" t="str">
        <x:f>'Raw Results'!AJ33</x:f>
        <x:v>0.12598219991195947</x:v>
      </x:c>
      <x:c r="R127" s="30" t="n">
        <x:f>IF('Raw Results'!AK33="True",1,0)</x:f>
        <x:v>1</x:v>
      </x:c>
      <x:c r="S127" s="30" t="n">
        <x:f>N127*R127</x:f>
        <x:v>1</x:v>
      </x:c>
      <x:c r="T127" s="30" t="n">
        <x:f>P127-L127</x:f>
        <x:v>2</x:v>
      </x:c>
      <x:c r="U127" s="30" t="n">
        <x:f>O127-K127</x:f>
        <x:v>-8</x:v>
      </x:c>
      <x:c r="V127" s="34" t="n">
        <x:f>Q127-M127</x:f>
        <x:v>0.00873529992531985</x:v>
      </x:c>
      <x:c r="W127" s="35" t="n">
        <x:f>IF(L127=0,"",P127/L127)</x:f>
        <x:v>1.0476190476190477</x:v>
      </x:c>
      <x:c r="X127" s="30" t="n">
        <x:f>K127-L127</x:f>
        <x:v>101</x:v>
      </x:c>
      <x:c r="Y127" s="30" t="n">
        <x:f>O127-P127</x:f>
        <x:v>91</x:v>
      </x:c>
      <x:c r="Z127" s="29" t="str">
        <x:f>IF(S127=0,"Excluded",IF(T127&lt;0,"Collision",IF(T127&gt;0,"Entropy","Tie")))</x:f>
        <x:v>Entropy</x:v>
      </x:c>
      <x:c r="AA127" s="29" t="str">
        <x:f>IF(V127&lt;0,"Collision",IF(V127&gt;0,"Entropy","Tie"))</x:f>
        <x:v>Entropy</x:v>
      </x:c>
      <x:c r="AB127" s="29" t="str">
        <x:f>'Raw Results'!AU33</x:f>
        <x:v>none</x:v>
      </x:c>
    </x:row>
    <x:row r="128">
      <x:c r="A128" s="29" t="str">
        <x:v>Zoomed Square</x:v>
      </x:c>
      <x:c r="B128" s="30" t="str">
        <x:f>'Raw Results'!A33</x:f>
        <x:v>200</x:v>
      </x:c>
      <x:c r="C128" s="31" t="str">
        <x:f>'Raw Results'!B33</x:f>
        <x:v>0.5</x:v>
      </x:c>
      <x:c r="D128" s="30" t="str">
        <x:f>'Raw Results'!C33</x:f>
        <x:v>2</x:v>
      </x:c>
      <x:c r="E128" s="30" t="str">
        <x:f>'Raw Results'!D33</x:f>
        <x:v>2295941781</x:v>
      </x:c>
      <x:c r="F128" s="30" t="str">
        <x:f>'Raw Results'!E33</x:f>
        <x:v>9186</x:v>
      </x:c>
      <x:c r="G128" s="30" t="str">
        <x:f>'Raw Results'!F33</x:f>
        <x:v>1</x:v>
      </x:c>
      <x:c r="H128" s="30" t="str">
        <x:f>'Raw Results'!G33</x:f>
        <x:v>200</x:v>
      </x:c>
      <x:c r="I128" s="32" t="str">
        <x:f>'Raw Results'!H33</x:f>
        <x:v>91.86</x:v>
      </x:c>
      <x:c r="J128" s="33" t="str">
        <x:f>'Raw Results'!I33</x:f>
        <x:v>0.46160804020100504</x:v>
      </x:c>
      <x:c r="K128" s="30" t="str">
        <x:f>'Raw Results'!AV33</x:f>
        <x:v>182</x:v>
      </x:c>
      <x:c r="L128" s="30" t="str">
        <x:f>'Raw Results'!AW33</x:f>
        <x:v>46</x:v>
      </x:c>
      <x:c r="M128" s="33" t="str">
        <x:f>'Raw Results'!AX33</x:f>
        <x:v>0.22343649994581938</x:v>
      </x:c>
      <x:c r="N128" s="30" t="n">
        <x:f>IF('Raw Results'!AY33="True",1,0)</x:f>
        <x:v>1</x:v>
      </x:c>
      <x:c r="O128" s="30" t="str">
        <x:f>'Raw Results'!AZ33</x:f>
        <x:v>99</x:v>
      </x:c>
      <x:c r="P128" s="30" t="str">
        <x:f>'Raw Results'!BA33</x:f>
        <x:v>44</x:v>
      </x:c>
      <x:c r="Q128" s="33" t="str">
        <x:f>'Raw Results'!BB33</x:f>
        <x:v>0.230876800022088</x:v>
      </x:c>
      <x:c r="R128" s="30" t="n">
        <x:f>IF('Raw Results'!BC33="True",1,0)</x:f>
        <x:v>1</x:v>
      </x:c>
      <x:c r="S128" s="30" t="n">
        <x:f>N128*R128</x:f>
        <x:v>1</x:v>
      </x:c>
      <x:c r="T128" s="30" t="n">
        <x:f>P128-L128</x:f>
        <x:v>-2</x:v>
      </x:c>
      <x:c r="U128" s="30" t="n">
        <x:f>O128-K128</x:f>
        <x:v>-83</x:v>
      </x:c>
      <x:c r="V128" s="34" t="n">
        <x:f>Q128-M128</x:f>
        <x:v>0.007440300076268613</x:v>
      </x:c>
      <x:c r="W128" s="35" t="n">
        <x:f>IF(L128=0,"",P128/L128)</x:f>
        <x:v>0.9565217391304348</x:v>
      </x:c>
      <x:c r="X128" s="30" t="n">
        <x:f>K128-L128</x:f>
        <x:v>136</x:v>
      </x:c>
      <x:c r="Y128" s="30" t="n">
        <x:f>O128-P128</x:f>
        <x:v>55</x:v>
      </x:c>
      <x:c r="Z128" s="29" t="str">
        <x:f>IF(S128=0,"Excluded",IF(T128&lt;0,"Collision",IF(T128&gt;0,"Entropy","Tie")))</x:f>
        <x:v>Collision</x:v>
      </x:c>
      <x:c r="AA128" s="29" t="str">
        <x:f>IF(V128&lt;0,"Collision",IF(V128&gt;0,"Entropy","Tie"))</x:f>
        <x:v>Entropy</x:v>
      </x:c>
      <x:c r="AB128" s="29" t="str">
        <x:f>'Raw Results'!BM33</x:f>
        <x:v>none</x:v>
      </x:c>
    </x:row>
    <x:row r="129">
      <x:c r="A129" s="29" t="str">
        <x:v>ICH</x:v>
      </x:c>
      <x:c r="B129" s="30" t="str">
        <x:f>'Raw Results'!A33</x:f>
        <x:v>200</x:v>
      </x:c>
      <x:c r="C129" s="31" t="str">
        <x:f>'Raw Results'!B33</x:f>
        <x:v>0.5</x:v>
      </x:c>
      <x:c r="D129" s="30" t="str">
        <x:f>'Raw Results'!C33</x:f>
        <x:v>2</x:v>
      </x:c>
      <x:c r="E129" s="30" t="str">
        <x:f>'Raw Results'!D33</x:f>
        <x:v>2295941781</x:v>
      </x:c>
      <x:c r="F129" s="30" t="str">
        <x:f>'Raw Results'!E33</x:f>
        <x:v>9186</x:v>
      </x:c>
      <x:c r="G129" s="30" t="str">
        <x:f>'Raw Results'!F33</x:f>
        <x:v>1</x:v>
      </x:c>
      <x:c r="H129" s="30" t="str">
        <x:f>'Raw Results'!G33</x:f>
        <x:v>200</x:v>
      </x:c>
      <x:c r="I129" s="32" t="str">
        <x:f>'Raw Results'!H33</x:f>
        <x:v>91.86</x:v>
      </x:c>
      <x:c r="J129" s="33" t="str">
        <x:f>'Raw Results'!I33</x:f>
        <x:v>0.46160804020100504</x:v>
      </x:c>
      <x:c r="K129" s="30" t="str">
        <x:f>'Raw Results'!BN33</x:f>
        <x:v>38</x:v>
      </x:c>
      <x:c r="L129" s="30" t="str">
        <x:f>'Raw Results'!BO33</x:f>
        <x:v>38</x:v>
      </x:c>
      <x:c r="M129" s="33" t="str">
        <x:f>'Raw Results'!BP33</x:f>
        <x:v>1.3962602999527007</x:v>
      </x:c>
      <x:c r="N129" s="30" t="n">
        <x:f>IF('Raw Results'!BQ33="True",1,0)</x:f>
        <x:v>1</x:v>
      </x:c>
      <x:c r="O129" s="30" t="str">
        <x:f>'Raw Results'!BR33</x:f>
        <x:v>39</x:v>
      </x:c>
      <x:c r="P129" s="30" t="str">
        <x:f>'Raw Results'!BS33</x:f>
        <x:v>39</x:v>
      </x:c>
      <x:c r="Q129" s="33" t="str">
        <x:f>'Raw Results'!BT33</x:f>
        <x:v>1.2864131999667734</x:v>
      </x:c>
      <x:c r="R129" s="30" t="n">
        <x:f>IF('Raw Results'!BU33="True",1,0)</x:f>
        <x:v>1</x:v>
      </x:c>
      <x:c r="S129" s="30" t="n">
        <x:f>N129*R129</x:f>
        <x:v>1</x:v>
      </x:c>
      <x:c r="T129" s="30" t="n">
        <x:f>P129-L129</x:f>
        <x:v>1</x:v>
      </x:c>
      <x:c r="U129" s="30" t="n">
        <x:f>O129-K129</x:f>
        <x:v>1</x:v>
      </x:c>
      <x:c r="V129" s="34" t="n">
        <x:f>Q129-M129</x:f>
        <x:v>-0.10984709998592734</x:v>
      </x:c>
      <x:c r="W129" s="35" t="n">
        <x:f>IF(L129=0,"",P129/L129)</x:f>
        <x:v>1.0263157894736843</x:v>
      </x:c>
      <x:c r="X129" s="30" t="n">
        <x:f>K129-L129</x:f>
        <x:v>0</x:v>
      </x:c>
      <x:c r="Y129" s="30" t="n">
        <x:f>O129-P129</x:f>
        <x:v>0</x:v>
      </x:c>
      <x:c r="Z129" s="29" t="str">
        <x:f>IF(S129=0,"Excluded",IF(T129&lt;0,"Collision",IF(T129&gt;0,"Entropy","Tie")))</x:f>
        <x:v>Entropy</x:v>
      </x:c>
      <x:c r="AA129" s="29" t="str">
        <x:f>IF(V129&lt;0,"Collision",IF(V129&gt;0,"Entropy","Tie"))</x:f>
        <x:v>Collision</x:v>
      </x:c>
      <x:c r="AB129" s="29" t="str">
        <x:f>'Raw Results'!CE33</x:f>
        <x:v>none</x:v>
      </x:c>
    </x:row>
    <x:row r="130">
      <x:c r="A130" s="29" t="str">
        <x:v>Grid</x:v>
      </x:c>
      <x:c r="B130" s="30" t="str">
        <x:f>'Raw Results'!A34</x:f>
        <x:v>200</x:v>
      </x:c>
      <x:c r="C130" s="31" t="str">
        <x:f>'Raw Results'!B34</x:f>
        <x:v>0.5</x:v>
      </x:c>
      <x:c r="D130" s="30" t="str">
        <x:f>'Raw Results'!C34</x:f>
        <x:v>3</x:v>
      </x:c>
      <x:c r="E130" s="30" t="str">
        <x:f>'Raw Results'!D34</x:f>
        <x:v>445207504</x:v>
      </x:c>
      <x:c r="F130" s="30" t="str">
        <x:f>'Raw Results'!E34</x:f>
        <x:v>9669</x:v>
      </x:c>
      <x:c r="G130" s="30" t="str">
        <x:f>'Raw Results'!F34</x:f>
        <x:v>1</x:v>
      </x:c>
      <x:c r="H130" s="30" t="str">
        <x:f>'Raw Results'!G34</x:f>
        <x:v>200</x:v>
      </x:c>
      <x:c r="I130" s="32" t="str">
        <x:f>'Raw Results'!H34</x:f>
        <x:v>96.69</x:v>
      </x:c>
      <x:c r="J130" s="33" t="str">
        <x:f>'Raw Results'!I34</x:f>
        <x:v>0.4858793969849246</x:v>
      </x:c>
      <x:c r="K130" s="30" t="str">
        <x:f>'Raw Results'!L34</x:f>
        <x:v>181</x:v>
      </x:c>
      <x:c r="L130" s="30" t="str">
        <x:f>'Raw Results'!M34</x:f>
        <x:v>44</x:v>
      </x:c>
      <x:c r="M130" s="33" t="str">
        <x:f>'Raw Results'!N34</x:f>
        <x:v>0.9821309999097139</x:v>
      </x:c>
      <x:c r="N130" s="30" t="n">
        <x:f>IF('Raw Results'!O34="True",1,0)</x:f>
        <x:v>1</x:v>
      </x:c>
      <x:c r="O130" s="30" t="str">
        <x:f>'Raw Results'!P34</x:f>
        <x:v>38</x:v>
      </x:c>
      <x:c r="P130" s="30" t="str">
        <x:f>'Raw Results'!Q34</x:f>
        <x:v>37</x:v>
      </x:c>
      <x:c r="Q130" s="33" t="str">
        <x:f>'Raw Results'!R34</x:f>
        <x:v>0.5268718999577686</x:v>
      </x:c>
      <x:c r="R130" s="30" t="n">
        <x:f>IF('Raw Results'!S34="True",1,0)</x:f>
        <x:v>1</x:v>
      </x:c>
      <x:c r="S130" s="30" t="n">
        <x:f>N130*R130</x:f>
        <x:v>1</x:v>
      </x:c>
      <x:c r="T130" s="30" t="n">
        <x:f>P130-L130</x:f>
        <x:v>-7</x:v>
      </x:c>
      <x:c r="U130" s="30" t="n">
        <x:f>O130-K130</x:f>
        <x:v>-143</x:v>
      </x:c>
      <x:c r="V130" s="34" t="n">
        <x:f>Q130-M130</x:f>
        <x:v>-0.45525909995194525</x:v>
      </x:c>
      <x:c r="W130" s="35" t="n">
        <x:f>IF(L130=0,"",P130/L130)</x:f>
        <x:v>0.8409090909090909</x:v>
      </x:c>
      <x:c r="X130" s="30" t="n">
        <x:f>K130-L130</x:f>
        <x:v>137</x:v>
      </x:c>
      <x:c r="Y130" s="30" t="n">
        <x:f>O130-P130</x:f>
        <x:v>1</x:v>
      </x:c>
      <x:c r="Z130" s="29" t="str">
        <x:f>IF(S130=0,"Excluded",IF(T130&lt;0,"Collision",IF(T130&gt;0,"Entropy","Tie")))</x:f>
        <x:v>Collision</x:v>
      </x:c>
      <x:c r="AA130" s="29" t="str">
        <x:f>IF(V130&lt;0,"Collision",IF(V130&gt;0,"Entropy","Tie"))</x:f>
        <x:v>Collision</x:v>
      </x:c>
      <x:c r="AB130" s="29" t="str">
        <x:f>'Raw Results'!AC34</x:f>
        <x:v>none</x:v>
      </x:c>
    </x:row>
    <x:row r="131">
      <x:c r="A131" s="29" t="str">
        <x:v>Circle</x:v>
      </x:c>
      <x:c r="B131" s="30" t="str">
        <x:f>'Raw Results'!A34</x:f>
        <x:v>200</x:v>
      </x:c>
      <x:c r="C131" s="31" t="str">
        <x:f>'Raw Results'!B34</x:f>
        <x:v>0.5</x:v>
      </x:c>
      <x:c r="D131" s="30" t="str">
        <x:f>'Raw Results'!C34</x:f>
        <x:v>3</x:v>
      </x:c>
      <x:c r="E131" s="30" t="str">
        <x:f>'Raw Results'!D34</x:f>
        <x:v>445207504</x:v>
      </x:c>
      <x:c r="F131" s="30" t="str">
        <x:f>'Raw Results'!E34</x:f>
        <x:v>9669</x:v>
      </x:c>
      <x:c r="G131" s="30" t="str">
        <x:f>'Raw Results'!F34</x:f>
        <x:v>1</x:v>
      </x:c>
      <x:c r="H131" s="30" t="str">
        <x:f>'Raw Results'!G34</x:f>
        <x:v>200</x:v>
      </x:c>
      <x:c r="I131" s="32" t="str">
        <x:f>'Raw Results'!H34</x:f>
        <x:v>96.69</x:v>
      </x:c>
      <x:c r="J131" s="33" t="str">
        <x:f>'Raw Results'!I34</x:f>
        <x:v>0.4858793969849246</x:v>
      </x:c>
      <x:c r="K131" s="30" t="str">
        <x:f>'Raw Results'!AD34</x:f>
        <x:v>157</x:v>
      </x:c>
      <x:c r="L131" s="30" t="str">
        <x:f>'Raw Results'!AE34</x:f>
        <x:v>43</x:v>
      </x:c>
      <x:c r="M131" s="33" t="str">
        <x:f>'Raw Results'!AF34</x:f>
        <x:v>0.1182067000772804</x:v>
      </x:c>
      <x:c r="N131" s="30" t="n">
        <x:f>IF('Raw Results'!AG34="True",1,0)</x:f>
        <x:v>1</x:v>
      </x:c>
      <x:c r="O131" s="30" t="str">
        <x:f>'Raw Results'!AH34</x:f>
        <x:v>145</x:v>
      </x:c>
      <x:c r="P131" s="30" t="str">
        <x:f>'Raw Results'!AI34</x:f>
        <x:v>48</x:v>
      </x:c>
      <x:c r="Q131" s="33" t="str">
        <x:f>'Raw Results'!AJ34</x:f>
        <x:v>0.10551119991578162</x:v>
      </x:c>
      <x:c r="R131" s="30" t="n">
        <x:f>IF('Raw Results'!AK34="True",1,0)</x:f>
        <x:v>1</x:v>
      </x:c>
      <x:c r="S131" s="30" t="n">
        <x:f>N131*R131</x:f>
        <x:v>1</x:v>
      </x:c>
      <x:c r="T131" s="30" t="n">
        <x:f>P131-L131</x:f>
        <x:v>5</x:v>
      </x:c>
      <x:c r="U131" s="30" t="n">
        <x:f>O131-K131</x:f>
        <x:v>-12</x:v>
      </x:c>
      <x:c r="V131" s="34" t="n">
        <x:f>Q131-M131</x:f>
        <x:v>-0.012695500161498785</x:v>
      </x:c>
      <x:c r="W131" s="35" t="n">
        <x:f>IF(L131=0,"",P131/L131)</x:f>
        <x:v>1.1162790697674418</x:v>
      </x:c>
      <x:c r="X131" s="30" t="n">
        <x:f>K131-L131</x:f>
        <x:v>114</x:v>
      </x:c>
      <x:c r="Y131" s="30" t="n">
        <x:f>O131-P131</x:f>
        <x:v>97</x:v>
      </x:c>
      <x:c r="Z131" s="29" t="str">
        <x:f>IF(S131=0,"Excluded",IF(T131&lt;0,"Collision",IF(T131&gt;0,"Entropy","Tie")))</x:f>
        <x:v>Entropy</x:v>
      </x:c>
      <x:c r="AA131" s="29" t="str">
        <x:f>IF(V131&lt;0,"Collision",IF(V131&gt;0,"Entropy","Tie"))</x:f>
        <x:v>Collision</x:v>
      </x:c>
      <x:c r="AB131" s="29" t="str">
        <x:f>'Raw Results'!AU34</x:f>
        <x:v>none</x:v>
      </x:c>
    </x:row>
    <x:row r="132">
      <x:c r="A132" s="29" t="str">
        <x:v>Zoomed Square</x:v>
      </x:c>
      <x:c r="B132" s="30" t="str">
        <x:f>'Raw Results'!A34</x:f>
        <x:v>200</x:v>
      </x:c>
      <x:c r="C132" s="31" t="str">
        <x:f>'Raw Results'!B34</x:f>
        <x:v>0.5</x:v>
      </x:c>
      <x:c r="D132" s="30" t="str">
        <x:f>'Raw Results'!C34</x:f>
        <x:v>3</x:v>
      </x:c>
      <x:c r="E132" s="30" t="str">
        <x:f>'Raw Results'!D34</x:f>
        <x:v>445207504</x:v>
      </x:c>
      <x:c r="F132" s="30" t="str">
        <x:f>'Raw Results'!E34</x:f>
        <x:v>9669</x:v>
      </x:c>
      <x:c r="G132" s="30" t="str">
        <x:f>'Raw Results'!F34</x:f>
        <x:v>1</x:v>
      </x:c>
      <x:c r="H132" s="30" t="str">
        <x:f>'Raw Results'!G34</x:f>
        <x:v>200</x:v>
      </x:c>
      <x:c r="I132" s="32" t="str">
        <x:f>'Raw Results'!H34</x:f>
        <x:v>96.69</x:v>
      </x:c>
      <x:c r="J132" s="33" t="str">
        <x:f>'Raw Results'!I34</x:f>
        <x:v>0.4858793969849246</x:v>
      </x:c>
      <x:c r="K132" s="30" t="str">
        <x:f>'Raw Results'!AV34</x:f>
        <x:v>183</x:v>
      </x:c>
      <x:c r="L132" s="30" t="str">
        <x:f>'Raw Results'!AW34</x:f>
        <x:v>45</x:v>
      </x:c>
      <x:c r="M132" s="33" t="str">
        <x:f>'Raw Results'!AX34</x:f>
        <x:v>0.4619675000431016</x:v>
      </x:c>
      <x:c r="N132" s="30" t="n">
        <x:f>IF('Raw Results'!AY34="True",1,0)</x:f>
        <x:v>1</x:v>
      </x:c>
      <x:c r="O132" s="30" t="str">
        <x:f>'Raw Results'!AZ34</x:f>
        <x:v>71</x:v>
      </x:c>
      <x:c r="P132" s="30" t="str">
        <x:f>'Raw Results'!BA34</x:f>
        <x:v>40</x:v>
      </x:c>
      <x:c r="Q132" s="33" t="str">
        <x:f>'Raw Results'!BB34</x:f>
        <x:v>0.33186190004926175</x:v>
      </x:c>
      <x:c r="R132" s="30" t="n">
        <x:f>IF('Raw Results'!BC34="True",1,0)</x:f>
        <x:v>1</x:v>
      </x:c>
      <x:c r="S132" s="30" t="n">
        <x:f>N132*R132</x:f>
        <x:v>1</x:v>
      </x:c>
      <x:c r="T132" s="30" t="n">
        <x:f>P132-L132</x:f>
        <x:v>-5</x:v>
      </x:c>
      <x:c r="U132" s="30" t="n">
        <x:f>O132-K132</x:f>
        <x:v>-112</x:v>
      </x:c>
      <x:c r="V132" s="34" t="n">
        <x:f>Q132-M132</x:f>
        <x:v>-0.13010559999383986</x:v>
      </x:c>
      <x:c r="W132" s="35" t="n">
        <x:f>IF(L132=0,"",P132/L132)</x:f>
        <x:v>0.8888888888888888</x:v>
      </x:c>
      <x:c r="X132" s="30" t="n">
        <x:f>K132-L132</x:f>
        <x:v>138</x:v>
      </x:c>
      <x:c r="Y132" s="30" t="n">
        <x:f>O132-P132</x:f>
        <x:v>31</x:v>
      </x:c>
      <x:c r="Z132" s="29" t="str">
        <x:f>IF(S132=0,"Excluded",IF(T132&lt;0,"Collision",IF(T132&gt;0,"Entropy","Tie")))</x:f>
        <x:v>Collision</x:v>
      </x:c>
      <x:c r="AA132" s="29" t="str">
        <x:f>IF(V132&lt;0,"Collision",IF(V132&gt;0,"Entropy","Tie"))</x:f>
        <x:v>Collision</x:v>
      </x:c>
      <x:c r="AB132" s="29" t="str">
        <x:f>'Raw Results'!BM34</x:f>
        <x:v>none</x:v>
      </x:c>
    </x:row>
    <x:row r="133">
      <x:c r="A133" s="29" t="str">
        <x:v>ICH</x:v>
      </x:c>
      <x:c r="B133" s="30" t="str">
        <x:f>'Raw Results'!A34</x:f>
        <x:v>200</x:v>
      </x:c>
      <x:c r="C133" s="31" t="str">
        <x:f>'Raw Results'!B34</x:f>
        <x:v>0.5</x:v>
      </x:c>
      <x:c r="D133" s="30" t="str">
        <x:f>'Raw Results'!C34</x:f>
        <x:v>3</x:v>
      </x:c>
      <x:c r="E133" s="30" t="str">
        <x:f>'Raw Results'!D34</x:f>
        <x:v>445207504</x:v>
      </x:c>
      <x:c r="F133" s="30" t="str">
        <x:f>'Raw Results'!E34</x:f>
        <x:v>9669</x:v>
      </x:c>
      <x:c r="G133" s="30" t="str">
        <x:f>'Raw Results'!F34</x:f>
        <x:v>1</x:v>
      </x:c>
      <x:c r="H133" s="30" t="str">
        <x:f>'Raw Results'!G34</x:f>
        <x:v>200</x:v>
      </x:c>
      <x:c r="I133" s="32" t="str">
        <x:f>'Raw Results'!H34</x:f>
        <x:v>96.69</x:v>
      </x:c>
      <x:c r="J133" s="33" t="str">
        <x:f>'Raw Results'!I34</x:f>
        <x:v>0.4858793969849246</x:v>
      </x:c>
      <x:c r="K133" s="30" t="str">
        <x:f>'Raw Results'!BN34</x:f>
        <x:v>41</x:v>
      </x:c>
      <x:c r="L133" s="30" t="str">
        <x:f>'Raw Results'!BO34</x:f>
        <x:v>41</x:v>
      </x:c>
      <x:c r="M133" s="33" t="str">
        <x:f>'Raw Results'!BP34</x:f>
        <x:v>1.3541628000093624</x:v>
      </x:c>
      <x:c r="N133" s="30" t="n">
        <x:f>IF('Raw Results'!BQ34="True",1,0)</x:f>
        <x:v>1</x:v>
      </x:c>
      <x:c r="O133" s="30" t="str">
        <x:f>'Raw Results'!BR34</x:f>
        <x:v>39</x:v>
      </x:c>
      <x:c r="P133" s="30" t="str">
        <x:f>'Raw Results'!BS34</x:f>
        <x:v>39</x:v>
      </x:c>
      <x:c r="Q133" s="33" t="str">
        <x:f>'Raw Results'!BT34</x:f>
        <x:v>1.2701671000104398</x:v>
      </x:c>
      <x:c r="R133" s="30" t="n">
        <x:f>IF('Raw Results'!BU34="True",1,0)</x:f>
        <x:v>1</x:v>
      </x:c>
      <x:c r="S133" s="30" t="n">
        <x:f>N133*R133</x:f>
        <x:v>1</x:v>
      </x:c>
      <x:c r="T133" s="30" t="n">
        <x:f>P133-L133</x:f>
        <x:v>-2</x:v>
      </x:c>
      <x:c r="U133" s="30" t="n">
        <x:f>O133-K133</x:f>
        <x:v>-2</x:v>
      </x:c>
      <x:c r="V133" s="34" t="n">
        <x:f>Q133-M133</x:f>
        <x:v>-0.08399569999892265</x:v>
      </x:c>
      <x:c r="W133" s="35" t="n">
        <x:f>IF(L133=0,"",P133/L133)</x:f>
        <x:v>0.9512195121951219</x:v>
      </x:c>
      <x:c r="X133" s="30" t="n">
        <x:f>K133-L133</x:f>
        <x:v>0</x:v>
      </x:c>
      <x:c r="Y133" s="30" t="n">
        <x:f>O133-P133</x:f>
        <x:v>0</x:v>
      </x:c>
      <x:c r="Z133" s="29" t="str">
        <x:f>IF(S133=0,"Excluded",IF(T133&lt;0,"Collision",IF(T133&gt;0,"Entropy","Tie")))</x:f>
        <x:v>Collision</x:v>
      </x:c>
      <x:c r="AA133" s="29" t="str">
        <x:f>IF(V133&lt;0,"Collision",IF(V133&gt;0,"Entropy","Tie"))</x:f>
        <x:v>Collision</x:v>
      </x:c>
      <x:c r="AB133" s="29" t="str">
        <x:f>'Raw Results'!CE34</x:f>
        <x:v>none</x:v>
      </x:c>
    </x:row>
    <x:row r="134">
      <x:c r="A134" s="29" t="str">
        <x:v>Grid</x:v>
      </x:c>
      <x:c r="B134" s="30" t="str">
        <x:f>'Raw Results'!A35</x:f>
        <x:v>200</x:v>
      </x:c>
      <x:c r="C134" s="31" t="str">
        <x:f>'Raw Results'!B35</x:f>
        <x:v>0.7</x:v>
      </x:c>
      <x:c r="D134" s="30" t="str">
        <x:f>'Raw Results'!C35</x:f>
        <x:v>1</x:v>
      </x:c>
      <x:c r="E134" s="30" t="str">
        <x:f>'Raw Results'!D35</x:f>
        <x:v>2846692824</x:v>
      </x:c>
      <x:c r="F134" s="30" t="str">
        <x:f>'Raw Results'!E35</x:f>
        <x:v>14978</x:v>
      </x:c>
      <x:c r="G134" s="30" t="str">
        <x:f>'Raw Results'!F35</x:f>
        <x:v>1</x:v>
      </x:c>
      <x:c r="H134" s="30" t="str">
        <x:f>'Raw Results'!G35</x:f>
        <x:v>200</x:v>
      </x:c>
      <x:c r="I134" s="32" t="str">
        <x:f>'Raw Results'!H35</x:f>
        <x:v>149.78</x:v>
      </x:c>
      <x:c r="J134" s="33" t="str">
        <x:f>'Raw Results'!I35</x:f>
        <x:v>0.7526633165829145</x:v>
      </x:c>
      <x:c r="K134" s="30" t="str">
        <x:f>'Raw Results'!L35</x:f>
        <x:v>173</x:v>
      </x:c>
      <x:c r="L134" s="30" t="str">
        <x:f>'Raw Results'!M35</x:f>
        <x:v>64</x:v>
      </x:c>
      <x:c r="M134" s="33" t="str">
        <x:f>'Raw Results'!N35</x:f>
        <x:v>0.9302510999841616</x:v>
      </x:c>
      <x:c r="N134" s="30" t="n">
        <x:f>IF('Raw Results'!O35="True",1,0)</x:f>
        <x:v>1</x:v>
      </x:c>
      <x:c r="O134" s="30" t="str">
        <x:f>'Raw Results'!P35</x:f>
        <x:v>57</x:v>
      </x:c>
      <x:c r="P134" s="30" t="str">
        <x:f>'Raw Results'!Q35</x:f>
        <x:v>57</x:v>
      </x:c>
      <x:c r="Q134" s="33" t="str">
        <x:f>'Raw Results'!R35</x:f>
        <x:v>0.7110652000410482</x:v>
      </x:c>
      <x:c r="R134" s="30" t="n">
        <x:f>IF('Raw Results'!S35="True",1,0)</x:f>
        <x:v>1</x:v>
      </x:c>
      <x:c r="S134" s="30" t="n">
        <x:f>N134*R134</x:f>
        <x:v>1</x:v>
      </x:c>
      <x:c r="T134" s="30" t="n">
        <x:f>P134-L134</x:f>
        <x:v>-7</x:v>
      </x:c>
      <x:c r="U134" s="30" t="n">
        <x:f>O134-K134</x:f>
        <x:v>-116</x:v>
      </x:c>
      <x:c r="V134" s="34" t="n">
        <x:f>Q134-M134</x:f>
        <x:v>-0.21918589994311333</x:v>
      </x:c>
      <x:c r="W134" s="35" t="n">
        <x:f>IF(L134=0,"",P134/L134)</x:f>
        <x:v>0.890625</x:v>
      </x:c>
      <x:c r="X134" s="30" t="n">
        <x:f>K134-L134</x:f>
        <x:v>109</x:v>
      </x:c>
      <x:c r="Y134" s="30" t="n">
        <x:f>O134-P134</x:f>
        <x:v>0</x:v>
      </x:c>
      <x:c r="Z134" s="29" t="str">
        <x:f>IF(S134=0,"Excluded",IF(T134&lt;0,"Collision",IF(T134&gt;0,"Entropy","Tie")))</x:f>
        <x:v>Collision</x:v>
      </x:c>
      <x:c r="AA134" s="29" t="str">
        <x:f>IF(V134&lt;0,"Collision",IF(V134&gt;0,"Entropy","Tie"))</x:f>
        <x:v>Collision</x:v>
      </x:c>
      <x:c r="AB134" s="29" t="str">
        <x:f>'Raw Results'!AC35</x:f>
        <x:v>none</x:v>
      </x:c>
    </x:row>
    <x:row r="135">
      <x:c r="A135" s="29" t="str">
        <x:v>Circle</x:v>
      </x:c>
      <x:c r="B135" s="30" t="str">
        <x:f>'Raw Results'!A35</x:f>
        <x:v>200</x:v>
      </x:c>
      <x:c r="C135" s="31" t="str">
        <x:f>'Raw Results'!B35</x:f>
        <x:v>0.7</x:v>
      </x:c>
      <x:c r="D135" s="30" t="str">
        <x:f>'Raw Results'!C35</x:f>
        <x:v>1</x:v>
      </x:c>
      <x:c r="E135" s="30" t="str">
        <x:f>'Raw Results'!D35</x:f>
        <x:v>2846692824</x:v>
      </x:c>
      <x:c r="F135" s="30" t="str">
        <x:f>'Raw Results'!E35</x:f>
        <x:v>14978</x:v>
      </x:c>
      <x:c r="G135" s="30" t="str">
        <x:f>'Raw Results'!F35</x:f>
        <x:v>1</x:v>
      </x:c>
      <x:c r="H135" s="30" t="str">
        <x:f>'Raw Results'!G35</x:f>
        <x:v>200</x:v>
      </x:c>
      <x:c r="I135" s="32" t="str">
        <x:f>'Raw Results'!H35</x:f>
        <x:v>149.78</x:v>
      </x:c>
      <x:c r="J135" s="33" t="str">
        <x:f>'Raw Results'!I35</x:f>
        <x:v>0.7526633165829145</x:v>
      </x:c>
      <x:c r="K135" s="30" t="str">
        <x:f>'Raw Results'!AD35</x:f>
        <x:v>176</x:v>
      </x:c>
      <x:c r="L135" s="30" t="str">
        <x:f>'Raw Results'!AE35</x:f>
        <x:v>74</x:v>
      </x:c>
      <x:c r="M135" s="33" t="str">
        <x:f>'Raw Results'!AF35</x:f>
        <x:v>0.23388960002921522</x:v>
      </x:c>
      <x:c r="N135" s="30" t="n">
        <x:f>IF('Raw Results'!AG35="True",1,0)</x:f>
        <x:v>1</x:v>
      </x:c>
      <x:c r="O135" s="30" t="str">
        <x:f>'Raw Results'!AH35</x:f>
        <x:v>170</x:v>
      </x:c>
      <x:c r="P135" s="30" t="str">
        <x:f>'Raw Results'!AI35</x:f>
        <x:v>74</x:v>
      </x:c>
      <x:c r="Q135" s="33" t="str">
        <x:f>'Raw Results'!AJ35</x:f>
        <x:v>0.20981519995257258</x:v>
      </x:c>
      <x:c r="R135" s="30" t="n">
        <x:f>IF('Raw Results'!AK35="True",1,0)</x:f>
        <x:v>1</x:v>
      </x:c>
      <x:c r="S135" s="30" t="n">
        <x:f>N135*R135</x:f>
        <x:v>1</x:v>
      </x:c>
      <x:c r="T135" s="30" t="n">
        <x:f>P135-L135</x:f>
        <x:v>0</x:v>
      </x:c>
      <x:c r="U135" s="30" t="n">
        <x:f>O135-K135</x:f>
        <x:v>-6</x:v>
      </x:c>
      <x:c r="V135" s="34" t="n">
        <x:f>Q135-M135</x:f>
        <x:v>-0.024074400076642632</x:v>
      </x:c>
      <x:c r="W135" s="35" t="n">
        <x:f>IF(L135=0,"",P135/L135)</x:f>
        <x:v>1</x:v>
      </x:c>
      <x:c r="X135" s="30" t="n">
        <x:f>K135-L135</x:f>
        <x:v>102</x:v>
      </x:c>
      <x:c r="Y135" s="30" t="n">
        <x:f>O135-P135</x:f>
        <x:v>96</x:v>
      </x:c>
      <x:c r="Z135" s="29" t="str">
        <x:f>IF(S135=0,"Excluded",IF(T135&lt;0,"Collision",IF(T135&gt;0,"Entropy","Tie")))</x:f>
        <x:v>Tie</x:v>
      </x:c>
      <x:c r="AA135" s="29" t="str">
        <x:f>IF(V135&lt;0,"Collision",IF(V135&gt;0,"Entropy","Tie"))</x:f>
        <x:v>Collision</x:v>
      </x:c>
      <x:c r="AB135" s="29" t="str">
        <x:f>'Raw Results'!AU35</x:f>
        <x:v>none</x:v>
      </x:c>
    </x:row>
    <x:row r="136">
      <x:c r="A136" s="29" t="str">
        <x:v>Zoomed Square</x:v>
      </x:c>
      <x:c r="B136" s="30" t="str">
        <x:f>'Raw Results'!A35</x:f>
        <x:v>200</x:v>
      </x:c>
      <x:c r="C136" s="31" t="str">
        <x:f>'Raw Results'!B35</x:f>
        <x:v>0.7</x:v>
      </x:c>
      <x:c r="D136" s="30" t="str">
        <x:f>'Raw Results'!C35</x:f>
        <x:v>1</x:v>
      </x:c>
      <x:c r="E136" s="30" t="str">
        <x:f>'Raw Results'!D35</x:f>
        <x:v>2846692824</x:v>
      </x:c>
      <x:c r="F136" s="30" t="str">
        <x:f>'Raw Results'!E35</x:f>
        <x:v>14978</x:v>
      </x:c>
      <x:c r="G136" s="30" t="str">
        <x:f>'Raw Results'!F35</x:f>
        <x:v>1</x:v>
      </x:c>
      <x:c r="H136" s="30" t="str">
        <x:f>'Raw Results'!G35</x:f>
        <x:v>200</x:v>
      </x:c>
      <x:c r="I136" s="32" t="str">
        <x:f>'Raw Results'!H35</x:f>
        <x:v>149.78</x:v>
      </x:c>
      <x:c r="J136" s="33" t="str">
        <x:f>'Raw Results'!I35</x:f>
        <x:v>0.7526633165829145</x:v>
      </x:c>
      <x:c r="K136" s="30" t="str">
        <x:f>'Raw Results'!AV35</x:f>
        <x:v>194</x:v>
      </x:c>
      <x:c r="L136" s="30" t="str">
        <x:f>'Raw Results'!AW35</x:f>
        <x:v>75</x:v>
      </x:c>
      <x:c r="M136" s="33" t="str">
        <x:f>'Raw Results'!AX35</x:f>
        <x:v>0.39204230008181185</x:v>
      </x:c>
      <x:c r="N136" s="30" t="n">
        <x:f>IF('Raw Results'!AY35="True",1,0)</x:f>
        <x:v>1</x:v>
      </x:c>
      <x:c r="O136" s="30" t="str">
        <x:f>'Raw Results'!AZ35</x:f>
        <x:v>135</x:v>
      </x:c>
      <x:c r="P136" s="30" t="str">
        <x:f>'Raw Results'!BA35</x:f>
        <x:v>72</x:v>
      </x:c>
      <x:c r="Q136" s="33" t="str">
        <x:f>'Raw Results'!BB35</x:f>
        <x:v>0.4616367000853643</x:v>
      </x:c>
      <x:c r="R136" s="30" t="n">
        <x:f>IF('Raw Results'!BC35="True",1,0)</x:f>
        <x:v>1</x:v>
      </x:c>
      <x:c r="S136" s="30" t="n">
        <x:f>N136*R136</x:f>
        <x:v>1</x:v>
      </x:c>
      <x:c r="T136" s="30" t="n">
        <x:f>P136-L136</x:f>
        <x:v>-3</x:v>
      </x:c>
      <x:c r="U136" s="30" t="n">
        <x:f>O136-K136</x:f>
        <x:v>-59</x:v>
      </x:c>
      <x:c r="V136" s="34" t="n">
        <x:f>Q136-M136</x:f>
        <x:v>0.06959440000355244</x:v>
      </x:c>
      <x:c r="W136" s="35" t="n">
        <x:f>IF(L136=0,"",P136/L136)</x:f>
        <x:v>0.96</x:v>
      </x:c>
      <x:c r="X136" s="30" t="n">
        <x:f>K136-L136</x:f>
        <x:v>119</x:v>
      </x:c>
      <x:c r="Y136" s="30" t="n">
        <x:f>O136-P136</x:f>
        <x:v>63</x:v>
      </x:c>
      <x:c r="Z136" s="29" t="str">
        <x:f>IF(S136=0,"Excluded",IF(T136&lt;0,"Collision",IF(T136&gt;0,"Entropy","Tie")))</x:f>
        <x:v>Collision</x:v>
      </x:c>
      <x:c r="AA136" s="29" t="str">
        <x:f>IF(V136&lt;0,"Collision",IF(V136&gt;0,"Entropy","Tie"))</x:f>
        <x:v>Entropy</x:v>
      </x:c>
      <x:c r="AB136" s="29" t="str">
        <x:f>'Raw Results'!BM35</x:f>
        <x:v>none</x:v>
      </x:c>
    </x:row>
    <x:row r="137">
      <x:c r="A137" s="29" t="str">
        <x:v>ICH</x:v>
      </x:c>
      <x:c r="B137" s="30" t="str">
        <x:f>'Raw Results'!A35</x:f>
        <x:v>200</x:v>
      </x:c>
      <x:c r="C137" s="31" t="str">
        <x:f>'Raw Results'!B35</x:f>
        <x:v>0.7</x:v>
      </x:c>
      <x:c r="D137" s="30" t="str">
        <x:f>'Raw Results'!C35</x:f>
        <x:v>1</x:v>
      </x:c>
      <x:c r="E137" s="30" t="str">
        <x:f>'Raw Results'!D35</x:f>
        <x:v>2846692824</x:v>
      </x:c>
      <x:c r="F137" s="30" t="str">
        <x:f>'Raw Results'!E35</x:f>
        <x:v>14978</x:v>
      </x:c>
      <x:c r="G137" s="30" t="str">
        <x:f>'Raw Results'!F35</x:f>
        <x:v>1</x:v>
      </x:c>
      <x:c r="H137" s="30" t="str">
        <x:f>'Raw Results'!G35</x:f>
        <x:v>200</x:v>
      </x:c>
      <x:c r="I137" s="32" t="str">
        <x:f>'Raw Results'!H35</x:f>
        <x:v>149.78</x:v>
      </x:c>
      <x:c r="J137" s="33" t="str">
        <x:f>'Raw Results'!I35</x:f>
        <x:v>0.7526633165829145</x:v>
      </x:c>
      <x:c r="K137" s="30" t="str">
        <x:f>'Raw Results'!BN35</x:f>
        <x:v>61</x:v>
      </x:c>
      <x:c r="L137" s="30" t="str">
        <x:f>'Raw Results'!BO35</x:f>
        <x:v>61</x:v>
      </x:c>
      <x:c r="M137" s="33" t="str">
        <x:f>'Raw Results'!BP35</x:f>
        <x:v>1.6860307999886572</x:v>
      </x:c>
      <x:c r="N137" s="30" t="n">
        <x:f>IF('Raw Results'!BQ35="True",1,0)</x:f>
        <x:v>1</x:v>
      </x:c>
      <x:c r="O137" s="30" t="str">
        <x:f>'Raw Results'!BR35</x:f>
        <x:v>60</x:v>
      </x:c>
      <x:c r="P137" s="30" t="str">
        <x:f>'Raw Results'!BS35</x:f>
        <x:v>60</x:v>
      </x:c>
      <x:c r="Q137" s="33" t="str">
        <x:f>'Raw Results'!BT35</x:f>
        <x:v>1.5082287000259385</x:v>
      </x:c>
      <x:c r="R137" s="30" t="n">
        <x:f>IF('Raw Results'!BU35="True",1,0)</x:f>
        <x:v>1</x:v>
      </x:c>
      <x:c r="S137" s="30" t="n">
        <x:f>N137*R137</x:f>
        <x:v>1</x:v>
      </x:c>
      <x:c r="T137" s="30" t="n">
        <x:f>P137-L137</x:f>
        <x:v>-1</x:v>
      </x:c>
      <x:c r="U137" s="30" t="n">
        <x:f>O137-K137</x:f>
        <x:v>-1</x:v>
      </x:c>
      <x:c r="V137" s="34" t="n">
        <x:f>Q137-M137</x:f>
        <x:v>-0.17780209996271878</x:v>
      </x:c>
      <x:c r="W137" s="35" t="n">
        <x:f>IF(L137=0,"",P137/L137)</x:f>
        <x:v>0.9836065573770492</x:v>
      </x:c>
      <x:c r="X137" s="30" t="n">
        <x:f>K137-L137</x:f>
        <x:v>0</x:v>
      </x:c>
      <x:c r="Y137" s="30" t="n">
        <x:f>O137-P137</x:f>
        <x:v>0</x:v>
      </x:c>
      <x:c r="Z137" s="29" t="str">
        <x:f>IF(S137=0,"Excluded",IF(T137&lt;0,"Collision",IF(T137&gt;0,"Entropy","Tie")))</x:f>
        <x:v>Collision</x:v>
      </x:c>
      <x:c r="AA137" s="29" t="str">
        <x:f>IF(V137&lt;0,"Collision",IF(V137&gt;0,"Entropy","Tie"))</x:f>
        <x:v>Collision</x:v>
      </x:c>
      <x:c r="AB137" s="29" t="str">
        <x:f>'Raw Results'!CE35</x:f>
        <x:v>none</x:v>
      </x:c>
    </x:row>
    <x:row r="138">
      <x:c r="A138" s="29" t="str">
        <x:v>Grid</x:v>
      </x:c>
      <x:c r="B138" s="30" t="str">
        <x:f>'Raw Results'!A36</x:f>
        <x:v>200</x:v>
      </x:c>
      <x:c r="C138" s="31" t="str">
        <x:f>'Raw Results'!B36</x:f>
        <x:v>0.7</x:v>
      </x:c>
      <x:c r="D138" s="30" t="str">
        <x:f>'Raw Results'!C36</x:f>
        <x:v>2</x:v>
      </x:c>
      <x:c r="E138" s="30" t="str">
        <x:f>'Raw Results'!D36</x:f>
        <x:v>2777253374</x:v>
      </x:c>
      <x:c r="F138" s="30" t="str">
        <x:f>'Raw Results'!E36</x:f>
        <x:v>15264</x:v>
      </x:c>
      <x:c r="G138" s="30" t="str">
        <x:f>'Raw Results'!F36</x:f>
        <x:v>1</x:v>
      </x:c>
      <x:c r="H138" s="30" t="str">
        <x:f>'Raw Results'!G36</x:f>
        <x:v>200</x:v>
      </x:c>
      <x:c r="I138" s="32" t="str">
        <x:f>'Raw Results'!H36</x:f>
        <x:v>152.64</x:v>
      </x:c>
      <x:c r="J138" s="33" t="str">
        <x:f>'Raw Results'!I36</x:f>
        <x:v>0.767035175879397</x:v>
      </x:c>
      <x:c r="K138" s="30" t="str">
        <x:f>'Raw Results'!L36</x:f>
        <x:v>187</x:v>
      </x:c>
      <x:c r="L138" s="30" t="str">
        <x:f>'Raw Results'!M36</x:f>
        <x:v>65</x:v>
      </x:c>
      <x:c r="M138" s="33" t="str">
        <x:f>'Raw Results'!N36</x:f>
        <x:v>0.9642201999668032</x:v>
      </x:c>
      <x:c r="N138" s="30" t="n">
        <x:f>IF('Raw Results'!O36="True",1,0)</x:f>
        <x:v>1</x:v>
      </x:c>
      <x:c r="O138" s="30" t="str">
        <x:f>'Raw Results'!P36</x:f>
        <x:v>63</x:v>
      </x:c>
      <x:c r="P138" s="30" t="str">
        <x:f>'Raw Results'!Q36</x:f>
        <x:v>59</x:v>
      </x:c>
      <x:c r="Q138" s="33" t="str">
        <x:f>'Raw Results'!R36</x:f>
        <x:v>0.7893704000161961</x:v>
      </x:c>
      <x:c r="R138" s="30" t="n">
        <x:f>IF('Raw Results'!S36="True",1,0)</x:f>
        <x:v>1</x:v>
      </x:c>
      <x:c r="S138" s="30" t="n">
        <x:f>N138*R138</x:f>
        <x:v>1</x:v>
      </x:c>
      <x:c r="T138" s="30" t="n">
        <x:f>P138-L138</x:f>
        <x:v>-6</x:v>
      </x:c>
      <x:c r="U138" s="30" t="n">
        <x:f>O138-K138</x:f>
        <x:v>-124</x:v>
      </x:c>
      <x:c r="V138" s="34" t="n">
        <x:f>Q138-M138</x:f>
        <x:v>-0.17484979995060712</x:v>
      </x:c>
      <x:c r="W138" s="35" t="n">
        <x:f>IF(L138=0,"",P138/L138)</x:f>
        <x:v>0.9076923076923077</x:v>
      </x:c>
      <x:c r="X138" s="30" t="n">
        <x:f>K138-L138</x:f>
        <x:v>122</x:v>
      </x:c>
      <x:c r="Y138" s="30" t="n">
        <x:f>O138-P138</x:f>
        <x:v>4</x:v>
      </x:c>
      <x:c r="Z138" s="29" t="str">
        <x:f>IF(S138=0,"Excluded",IF(T138&lt;0,"Collision",IF(T138&gt;0,"Entropy","Tie")))</x:f>
        <x:v>Collision</x:v>
      </x:c>
      <x:c r="AA138" s="29" t="str">
        <x:f>IF(V138&lt;0,"Collision",IF(V138&gt;0,"Entropy","Tie"))</x:f>
        <x:v>Collision</x:v>
      </x:c>
      <x:c r="AB138" s="29" t="str">
        <x:f>'Raw Results'!AC36</x:f>
        <x:v>none</x:v>
      </x:c>
    </x:row>
    <x:row r="139">
      <x:c r="A139" s="29" t="str">
        <x:v>Circle</x:v>
      </x:c>
      <x:c r="B139" s="30" t="str">
        <x:f>'Raw Results'!A36</x:f>
        <x:v>200</x:v>
      </x:c>
      <x:c r="C139" s="31" t="str">
        <x:f>'Raw Results'!B36</x:f>
        <x:v>0.7</x:v>
      </x:c>
      <x:c r="D139" s="30" t="str">
        <x:f>'Raw Results'!C36</x:f>
        <x:v>2</x:v>
      </x:c>
      <x:c r="E139" s="30" t="str">
        <x:f>'Raw Results'!D36</x:f>
        <x:v>2777253374</x:v>
      </x:c>
      <x:c r="F139" s="30" t="str">
        <x:f>'Raw Results'!E36</x:f>
        <x:v>15264</x:v>
      </x:c>
      <x:c r="G139" s="30" t="str">
        <x:f>'Raw Results'!F36</x:f>
        <x:v>1</x:v>
      </x:c>
      <x:c r="H139" s="30" t="str">
        <x:f>'Raw Results'!G36</x:f>
        <x:v>200</x:v>
      </x:c>
      <x:c r="I139" s="32" t="str">
        <x:f>'Raw Results'!H36</x:f>
        <x:v>152.64</x:v>
      </x:c>
      <x:c r="J139" s="33" t="str">
        <x:f>'Raw Results'!I36</x:f>
        <x:v>0.767035175879397</x:v>
      </x:c>
      <x:c r="K139" s="30" t="str">
        <x:f>'Raw Results'!AD36</x:f>
        <x:v>189</x:v>
      </x:c>
      <x:c r="L139" s="30" t="str">
        <x:f>'Raw Results'!AE36</x:f>
        <x:v>70</x:v>
      </x:c>
      <x:c r="M139" s="33" t="str">
        <x:f>'Raw Results'!AF36</x:f>
        <x:v>0.3817505999468267</x:v>
      </x:c>
      <x:c r="N139" s="30" t="n">
        <x:f>IF('Raw Results'!AG36="True",1,0)</x:f>
        <x:v>1</x:v>
      </x:c>
      <x:c r="O139" s="30" t="str">
        <x:f>'Raw Results'!AH36</x:f>
        <x:v>183</x:v>
      </x:c>
      <x:c r="P139" s="30" t="str">
        <x:f>'Raw Results'!AI36</x:f>
        <x:v>71</x:v>
      </x:c>
      <x:c r="Q139" s="33" t="str">
        <x:f>'Raw Results'!AJ36</x:f>
        <x:v>0.41928859998006374</x:v>
      </x:c>
      <x:c r="R139" s="30" t="n">
        <x:f>IF('Raw Results'!AK36="True",1,0)</x:f>
        <x:v>1</x:v>
      </x:c>
      <x:c r="S139" s="30" t="n">
        <x:f>N139*R139</x:f>
        <x:v>1</x:v>
      </x:c>
      <x:c r="T139" s="30" t="n">
        <x:f>P139-L139</x:f>
        <x:v>1</x:v>
      </x:c>
      <x:c r="U139" s="30" t="n">
        <x:f>O139-K139</x:f>
        <x:v>-6</x:v>
      </x:c>
      <x:c r="V139" s="34" t="n">
        <x:f>Q139-M139</x:f>
        <x:v>0.03753800003323704</x:v>
      </x:c>
      <x:c r="W139" s="35" t="n">
        <x:f>IF(L139=0,"",P139/L139)</x:f>
        <x:v>1.0142857142857142</x:v>
      </x:c>
      <x:c r="X139" s="30" t="n">
        <x:f>K139-L139</x:f>
        <x:v>119</x:v>
      </x:c>
      <x:c r="Y139" s="30" t="n">
        <x:f>O139-P139</x:f>
        <x:v>112</x:v>
      </x:c>
      <x:c r="Z139" s="29" t="str">
        <x:f>IF(S139=0,"Excluded",IF(T139&lt;0,"Collision",IF(T139&gt;0,"Entropy","Tie")))</x:f>
        <x:v>Entropy</x:v>
      </x:c>
      <x:c r="AA139" s="29" t="str">
        <x:f>IF(V139&lt;0,"Collision",IF(V139&gt;0,"Entropy","Tie"))</x:f>
        <x:v>Entropy</x:v>
      </x:c>
      <x:c r="AB139" s="29" t="str">
        <x:f>'Raw Results'!AU36</x:f>
        <x:v>none</x:v>
      </x:c>
    </x:row>
    <x:row r="140">
      <x:c r="A140" s="29" t="str">
        <x:v>Zoomed Square</x:v>
      </x:c>
      <x:c r="B140" s="30" t="str">
        <x:f>'Raw Results'!A36</x:f>
        <x:v>200</x:v>
      </x:c>
      <x:c r="C140" s="31" t="str">
        <x:f>'Raw Results'!B36</x:f>
        <x:v>0.7</x:v>
      </x:c>
      <x:c r="D140" s="30" t="str">
        <x:f>'Raw Results'!C36</x:f>
        <x:v>2</x:v>
      </x:c>
      <x:c r="E140" s="30" t="str">
        <x:f>'Raw Results'!D36</x:f>
        <x:v>2777253374</x:v>
      </x:c>
      <x:c r="F140" s="30" t="str">
        <x:f>'Raw Results'!E36</x:f>
        <x:v>15264</x:v>
      </x:c>
      <x:c r="G140" s="30" t="str">
        <x:f>'Raw Results'!F36</x:f>
        <x:v>1</x:v>
      </x:c>
      <x:c r="H140" s="30" t="str">
        <x:f>'Raw Results'!G36</x:f>
        <x:v>200</x:v>
      </x:c>
      <x:c r="I140" s="32" t="str">
        <x:f>'Raw Results'!H36</x:f>
        <x:v>152.64</x:v>
      </x:c>
      <x:c r="J140" s="33" t="str">
        <x:f>'Raw Results'!I36</x:f>
        <x:v>0.767035175879397</x:v>
      </x:c>
      <x:c r="K140" s="30" t="str">
        <x:f>'Raw Results'!AV36</x:f>
        <x:v>192</x:v>
      </x:c>
      <x:c r="L140" s="30" t="str">
        <x:f>'Raw Results'!AW36</x:f>
        <x:v>64</x:v>
      </x:c>
      <x:c r="M140" s="33" t="str">
        <x:f>'Raw Results'!AX36</x:f>
        <x:v>0.4369277999503538</x:v>
      </x:c>
      <x:c r="N140" s="30" t="n">
        <x:f>IF('Raw Results'!AY36="True",1,0)</x:f>
        <x:v>1</x:v>
      </x:c>
      <x:c r="O140" s="30" t="str">
        <x:f>'Raw Results'!AZ36</x:f>
        <x:v>122</x:v>
      </x:c>
      <x:c r="P140" s="30" t="str">
        <x:f>'Raw Results'!BA36</x:f>
        <x:v>62</x:v>
      </x:c>
      <x:c r="Q140" s="33" t="str">
        <x:f>'Raw Results'!BB36</x:f>
        <x:v>0.49937649990897626</x:v>
      </x:c>
      <x:c r="R140" s="30" t="n">
        <x:f>IF('Raw Results'!BC36="True",1,0)</x:f>
        <x:v>1</x:v>
      </x:c>
      <x:c r="S140" s="30" t="n">
        <x:f>N140*R140</x:f>
        <x:v>1</x:v>
      </x:c>
      <x:c r="T140" s="30" t="n">
        <x:f>P140-L140</x:f>
        <x:v>-2</x:v>
      </x:c>
      <x:c r="U140" s="30" t="n">
        <x:f>O140-K140</x:f>
        <x:v>-70</x:v>
      </x:c>
      <x:c r="V140" s="34" t="n">
        <x:f>Q140-M140</x:f>
        <x:v>0.062448699958622456</x:v>
      </x:c>
      <x:c r="W140" s="35" t="n">
        <x:f>IF(L140=0,"",P140/L140)</x:f>
        <x:v>0.96875</x:v>
      </x:c>
      <x:c r="X140" s="30" t="n">
        <x:f>K140-L140</x:f>
        <x:v>128</x:v>
      </x:c>
      <x:c r="Y140" s="30" t="n">
        <x:f>O140-P140</x:f>
        <x:v>60</x:v>
      </x:c>
      <x:c r="Z140" s="29" t="str">
        <x:f>IF(S140=0,"Excluded",IF(T140&lt;0,"Collision",IF(T140&gt;0,"Entropy","Tie")))</x:f>
        <x:v>Collision</x:v>
      </x:c>
      <x:c r="AA140" s="29" t="str">
        <x:f>IF(V140&lt;0,"Collision",IF(V140&gt;0,"Entropy","Tie"))</x:f>
        <x:v>Entropy</x:v>
      </x:c>
      <x:c r="AB140" s="29" t="str">
        <x:f>'Raw Results'!BM36</x:f>
        <x:v>none</x:v>
      </x:c>
    </x:row>
    <x:row r="141">
      <x:c r="A141" s="29" t="str">
        <x:v>ICH</x:v>
      </x:c>
      <x:c r="B141" s="30" t="str">
        <x:f>'Raw Results'!A36</x:f>
        <x:v>200</x:v>
      </x:c>
      <x:c r="C141" s="31" t="str">
        <x:f>'Raw Results'!B36</x:f>
        <x:v>0.7</x:v>
      </x:c>
      <x:c r="D141" s="30" t="str">
        <x:f>'Raw Results'!C36</x:f>
        <x:v>2</x:v>
      </x:c>
      <x:c r="E141" s="30" t="str">
        <x:f>'Raw Results'!D36</x:f>
        <x:v>2777253374</x:v>
      </x:c>
      <x:c r="F141" s="30" t="str">
        <x:f>'Raw Results'!E36</x:f>
        <x:v>15264</x:v>
      </x:c>
      <x:c r="G141" s="30" t="str">
        <x:f>'Raw Results'!F36</x:f>
        <x:v>1</x:v>
      </x:c>
      <x:c r="H141" s="30" t="str">
        <x:f>'Raw Results'!G36</x:f>
        <x:v>200</x:v>
      </x:c>
      <x:c r="I141" s="32" t="str">
        <x:f>'Raw Results'!H36</x:f>
        <x:v>152.64</x:v>
      </x:c>
      <x:c r="J141" s="33" t="str">
        <x:f>'Raw Results'!I36</x:f>
        <x:v>0.767035175879397</x:v>
      </x:c>
      <x:c r="K141" s="30" t="str">
        <x:f>'Raw Results'!BN36</x:f>
        <x:v>61</x:v>
      </x:c>
      <x:c r="L141" s="30" t="str">
        <x:f>'Raw Results'!BO36</x:f>
        <x:v>61</x:v>
      </x:c>
      <x:c r="M141" s="33" t="str">
        <x:f>'Raw Results'!BP36</x:f>
        <x:v>1.6047682000789791</x:v>
      </x:c>
      <x:c r="N141" s="30" t="n">
        <x:f>IF('Raw Results'!BQ36="True",1,0)</x:f>
        <x:v>1</x:v>
      </x:c>
      <x:c r="O141" s="30" t="str">
        <x:f>'Raw Results'!BR36</x:f>
        <x:v>62</x:v>
      </x:c>
      <x:c r="P141" s="30" t="str">
        <x:f>'Raw Results'!BS36</x:f>
        <x:v>62</x:v>
      </x:c>
      <x:c r="Q141" s="33" t="str">
        <x:f>'Raw Results'!BT36</x:f>
        <x:v>1.5300938000436872</x:v>
      </x:c>
      <x:c r="R141" s="30" t="n">
        <x:f>IF('Raw Results'!BU36="True",1,0)</x:f>
        <x:v>1</x:v>
      </x:c>
      <x:c r="S141" s="30" t="n">
        <x:f>N141*R141</x:f>
        <x:v>1</x:v>
      </x:c>
      <x:c r="T141" s="30" t="n">
        <x:f>P141-L141</x:f>
        <x:v>1</x:v>
      </x:c>
      <x:c r="U141" s="30" t="n">
        <x:f>O141-K141</x:f>
        <x:v>1</x:v>
      </x:c>
      <x:c r="V141" s="34" t="n">
        <x:f>Q141-M141</x:f>
        <x:v>-0.07467440003529191</x:v>
      </x:c>
      <x:c r="W141" s="35" t="n">
        <x:f>IF(L141=0,"",P141/L141)</x:f>
        <x:v>1.0163934426229508</x:v>
      </x:c>
      <x:c r="X141" s="30" t="n">
        <x:f>K141-L141</x:f>
        <x:v>0</x:v>
      </x:c>
      <x:c r="Y141" s="30" t="n">
        <x:f>O141-P141</x:f>
        <x:v>0</x:v>
      </x:c>
      <x:c r="Z141" s="29" t="str">
        <x:f>IF(S141=0,"Excluded",IF(T141&lt;0,"Collision",IF(T141&gt;0,"Entropy","Tie")))</x:f>
        <x:v>Entropy</x:v>
      </x:c>
      <x:c r="AA141" s="29" t="str">
        <x:f>IF(V141&lt;0,"Collision",IF(V141&gt;0,"Entropy","Tie"))</x:f>
        <x:v>Collision</x:v>
      </x:c>
      <x:c r="AB141" s="29" t="str">
        <x:f>'Raw Results'!CE36</x:f>
        <x:v>none</x:v>
      </x:c>
    </x:row>
    <x:row r="142">
      <x:c r="A142" s="29" t="str">
        <x:v>Grid</x:v>
      </x:c>
      <x:c r="B142" s="30" t="str">
        <x:f>'Raw Results'!A37</x:f>
        <x:v>200</x:v>
      </x:c>
      <x:c r="C142" s="31" t="str">
        <x:f>'Raw Results'!B37</x:f>
        <x:v>0.7</x:v>
      </x:c>
      <x:c r="D142" s="30" t="str">
        <x:f>'Raw Results'!C37</x:f>
        <x:v>3</x:v>
      </x:c>
      <x:c r="E142" s="30" t="str">
        <x:f>'Raw Results'!D37</x:f>
        <x:v>1341199423</x:v>
      </x:c>
      <x:c r="F142" s="30" t="str">
        <x:f>'Raw Results'!E37</x:f>
        <x:v>13628</x:v>
      </x:c>
      <x:c r="G142" s="30" t="str">
        <x:f>'Raw Results'!F37</x:f>
        <x:v>1</x:v>
      </x:c>
      <x:c r="H142" s="30" t="str">
        <x:f>'Raw Results'!G37</x:f>
        <x:v>200</x:v>
      </x:c>
      <x:c r="I142" s="32" t="str">
        <x:f>'Raw Results'!H37</x:f>
        <x:v>136.28</x:v>
      </x:c>
      <x:c r="J142" s="33" t="str">
        <x:f>'Raw Results'!I37</x:f>
        <x:v>0.6848241206030151</x:v>
      </x:c>
      <x:c r="K142" s="30" t="str">
        <x:f>'Raw Results'!L37</x:f>
        <x:v>176</x:v>
      </x:c>
      <x:c r="L142" s="30" t="str">
        <x:f>'Raw Results'!M37</x:f>
        <x:v>54</x:v>
      </x:c>
      <x:c r="M142" s="33" t="str">
        <x:f>'Raw Results'!N37</x:f>
        <x:v>0.932438199990429</x:v>
      </x:c>
      <x:c r="N142" s="30" t="n">
        <x:f>IF('Raw Results'!O37="True",1,0)</x:f>
        <x:v>1</x:v>
      </x:c>
      <x:c r="O142" s="30" t="str">
        <x:f>'Raw Results'!P37</x:f>
        <x:v>47</x:v>
      </x:c>
      <x:c r="P142" s="30" t="str">
        <x:f>'Raw Results'!Q37</x:f>
        <x:v>47</x:v>
      </x:c>
      <x:c r="Q142" s="33" t="str">
        <x:f>'Raw Results'!R37</x:f>
        <x:v>0.6034734999993816</x:v>
      </x:c>
      <x:c r="R142" s="30" t="n">
        <x:f>IF('Raw Results'!S37="True",1,0)</x:f>
        <x:v>1</x:v>
      </x:c>
      <x:c r="S142" s="30" t="n">
        <x:f>N142*R142</x:f>
        <x:v>1</x:v>
      </x:c>
      <x:c r="T142" s="30" t="n">
        <x:f>P142-L142</x:f>
        <x:v>-7</x:v>
      </x:c>
      <x:c r="U142" s="30" t="n">
        <x:f>O142-K142</x:f>
        <x:v>-129</x:v>
      </x:c>
      <x:c r="V142" s="34" t="n">
        <x:f>Q142-M142</x:f>
        <x:v>-0.3289646999910474</x:v>
      </x:c>
      <x:c r="W142" s="35" t="n">
        <x:f>IF(L142=0,"",P142/L142)</x:f>
        <x:v>0.8703703703703703</x:v>
      </x:c>
      <x:c r="X142" s="30" t="n">
        <x:f>K142-L142</x:f>
        <x:v>122</x:v>
      </x:c>
      <x:c r="Y142" s="30" t="n">
        <x:f>O142-P142</x:f>
        <x:v>0</x:v>
      </x:c>
      <x:c r="Z142" s="29" t="str">
        <x:f>IF(S142=0,"Excluded",IF(T142&lt;0,"Collision",IF(T142&gt;0,"Entropy","Tie")))</x:f>
        <x:v>Collision</x:v>
      </x:c>
      <x:c r="AA142" s="29" t="str">
        <x:f>IF(V142&lt;0,"Collision",IF(V142&gt;0,"Entropy","Tie"))</x:f>
        <x:v>Collision</x:v>
      </x:c>
      <x:c r="AB142" s="29" t="str">
        <x:f>'Raw Results'!AC37</x:f>
        <x:v>none</x:v>
      </x:c>
    </x:row>
    <x:row r="143">
      <x:c r="A143" s="29" t="str">
        <x:v>Circle</x:v>
      </x:c>
      <x:c r="B143" s="30" t="str">
        <x:f>'Raw Results'!A37</x:f>
        <x:v>200</x:v>
      </x:c>
      <x:c r="C143" s="31" t="str">
        <x:f>'Raw Results'!B37</x:f>
        <x:v>0.7</x:v>
      </x:c>
      <x:c r="D143" s="30" t="str">
        <x:f>'Raw Results'!C37</x:f>
        <x:v>3</x:v>
      </x:c>
      <x:c r="E143" s="30" t="str">
        <x:f>'Raw Results'!D37</x:f>
        <x:v>1341199423</x:v>
      </x:c>
      <x:c r="F143" s="30" t="str">
        <x:f>'Raw Results'!E37</x:f>
        <x:v>13628</x:v>
      </x:c>
      <x:c r="G143" s="30" t="str">
        <x:f>'Raw Results'!F37</x:f>
        <x:v>1</x:v>
      </x:c>
      <x:c r="H143" s="30" t="str">
        <x:f>'Raw Results'!G37</x:f>
        <x:v>200</x:v>
      </x:c>
      <x:c r="I143" s="32" t="str">
        <x:f>'Raw Results'!H37</x:f>
        <x:v>136.28</x:v>
      </x:c>
      <x:c r="J143" s="33" t="str">
        <x:f>'Raw Results'!I37</x:f>
        <x:v>0.6848241206030151</x:v>
      </x:c>
      <x:c r="K143" s="30" t="str">
        <x:f>'Raw Results'!AD37</x:f>
        <x:v>168</x:v>
      </x:c>
      <x:c r="L143" s="30" t="str">
        <x:f>'Raw Results'!AE37</x:f>
        <x:v>61</x:v>
      </x:c>
      <x:c r="M143" s="33" t="str">
        <x:f>'Raw Results'!AF37</x:f>
        <x:v>0.2526017000200227</x:v>
      </x:c>
      <x:c r="N143" s="30" t="n">
        <x:f>IF('Raw Results'!AG37="True",1,0)</x:f>
        <x:v>1</x:v>
      </x:c>
      <x:c r="O143" s="30" t="str">
        <x:f>'Raw Results'!AH37</x:f>
        <x:v>159</x:v>
      </x:c>
      <x:c r="P143" s="30" t="str">
        <x:f>'Raw Results'!AI37</x:f>
        <x:v>59</x:v>
      </x:c>
      <x:c r="Q143" s="33" t="str">
        <x:f>'Raw Results'!AJ37</x:f>
        <x:v>0.26049019990023226</x:v>
      </x:c>
      <x:c r="R143" s="30" t="n">
        <x:f>IF('Raw Results'!AK37="True",1,0)</x:f>
        <x:v>1</x:v>
      </x:c>
      <x:c r="S143" s="30" t="n">
        <x:f>N143*R143</x:f>
        <x:v>1</x:v>
      </x:c>
      <x:c r="T143" s="30" t="n">
        <x:f>P143-L143</x:f>
        <x:v>-2</x:v>
      </x:c>
      <x:c r="U143" s="30" t="n">
        <x:f>O143-K143</x:f>
        <x:v>-9</x:v>
      </x:c>
      <x:c r="V143" s="34" t="n">
        <x:f>Q143-M143</x:f>
        <x:v>0.007888499880209565</x:v>
      </x:c>
      <x:c r="W143" s="35" t="n">
        <x:f>IF(L143=0,"",P143/L143)</x:f>
        <x:v>0.9672131147540983</x:v>
      </x:c>
      <x:c r="X143" s="30" t="n">
        <x:f>K143-L143</x:f>
        <x:v>107</x:v>
      </x:c>
      <x:c r="Y143" s="30" t="n">
        <x:f>O143-P143</x:f>
        <x:v>100</x:v>
      </x:c>
      <x:c r="Z143" s="29" t="str">
        <x:f>IF(S143=0,"Excluded",IF(T143&lt;0,"Collision",IF(T143&gt;0,"Entropy","Tie")))</x:f>
        <x:v>Collision</x:v>
      </x:c>
      <x:c r="AA143" s="29" t="str">
        <x:f>IF(V143&lt;0,"Collision",IF(V143&gt;0,"Entropy","Tie"))</x:f>
        <x:v>Entropy</x:v>
      </x:c>
      <x:c r="AB143" s="29" t="str">
        <x:f>'Raw Results'!AU37</x:f>
        <x:v>none</x:v>
      </x:c>
    </x:row>
    <x:row r="144">
      <x:c r="A144" s="29" t="str">
        <x:v>Zoomed Square</x:v>
      </x:c>
      <x:c r="B144" s="30" t="str">
        <x:f>'Raw Results'!A37</x:f>
        <x:v>200</x:v>
      </x:c>
      <x:c r="C144" s="31" t="str">
        <x:f>'Raw Results'!B37</x:f>
        <x:v>0.7</x:v>
      </x:c>
      <x:c r="D144" s="30" t="str">
        <x:f>'Raw Results'!C37</x:f>
        <x:v>3</x:v>
      </x:c>
      <x:c r="E144" s="30" t="str">
        <x:f>'Raw Results'!D37</x:f>
        <x:v>1341199423</x:v>
      </x:c>
      <x:c r="F144" s="30" t="str">
        <x:f>'Raw Results'!E37</x:f>
        <x:v>13628</x:v>
      </x:c>
      <x:c r="G144" s="30" t="str">
        <x:f>'Raw Results'!F37</x:f>
        <x:v>1</x:v>
      </x:c>
      <x:c r="H144" s="30" t="str">
        <x:f>'Raw Results'!G37</x:f>
        <x:v>200</x:v>
      </x:c>
      <x:c r="I144" s="32" t="str">
        <x:f>'Raw Results'!H37</x:f>
        <x:v>136.28</x:v>
      </x:c>
      <x:c r="J144" s="33" t="str">
        <x:f>'Raw Results'!I37</x:f>
        <x:v>0.6848241206030151</x:v>
      </x:c>
      <x:c r="K144" s="30" t="str">
        <x:f>'Raw Results'!AV37</x:f>
        <x:v>175</x:v>
      </x:c>
      <x:c r="L144" s="30" t="str">
        <x:f>'Raw Results'!AW37</x:f>
        <x:v>57</x:v>
      </x:c>
      <x:c r="M144" s="33" t="str">
        <x:f>'Raw Results'!AX37</x:f>
        <x:v>0.5125522000016645</x:v>
      </x:c>
      <x:c r="N144" s="30" t="n">
        <x:f>IF('Raw Results'!AY37="True",1,0)</x:f>
        <x:v>1</x:v>
      </x:c>
      <x:c r="O144" s="30" t="str">
        <x:f>'Raw Results'!AZ37</x:f>
        <x:v>88</x:v>
      </x:c>
      <x:c r="P144" s="30" t="str">
        <x:f>'Raw Results'!BA37</x:f>
        <x:v>55</x:v>
      </x:c>
      <x:c r="Q144" s="33" t="str">
        <x:f>'Raw Results'!BB37</x:f>
        <x:v>0.4272059000795707</x:v>
      </x:c>
      <x:c r="R144" s="30" t="n">
        <x:f>IF('Raw Results'!BC37="True",1,0)</x:f>
        <x:v>1</x:v>
      </x:c>
      <x:c r="S144" s="30" t="n">
        <x:f>N144*R144</x:f>
        <x:v>1</x:v>
      </x:c>
      <x:c r="T144" s="30" t="n">
        <x:f>P144-L144</x:f>
        <x:v>-2</x:v>
      </x:c>
      <x:c r="U144" s="30" t="n">
        <x:f>O144-K144</x:f>
        <x:v>-87</x:v>
      </x:c>
      <x:c r="V144" s="34" t="n">
        <x:f>Q144-M144</x:f>
        <x:v>-0.08534629992209375</x:v>
      </x:c>
      <x:c r="W144" s="35" t="n">
        <x:f>IF(L144=0,"",P144/L144)</x:f>
        <x:v>0.9649122807017544</x:v>
      </x:c>
      <x:c r="X144" s="30" t="n">
        <x:f>K144-L144</x:f>
        <x:v>118</x:v>
      </x:c>
      <x:c r="Y144" s="30" t="n">
        <x:f>O144-P144</x:f>
        <x:v>33</x:v>
      </x:c>
      <x:c r="Z144" s="29" t="str">
        <x:f>IF(S144=0,"Excluded",IF(T144&lt;0,"Collision",IF(T144&gt;0,"Entropy","Tie")))</x:f>
        <x:v>Collision</x:v>
      </x:c>
      <x:c r="AA144" s="29" t="str">
        <x:f>IF(V144&lt;0,"Collision",IF(V144&gt;0,"Entropy","Tie"))</x:f>
        <x:v>Collision</x:v>
      </x:c>
      <x:c r="AB144" s="29" t="str">
        <x:f>'Raw Results'!BM37</x:f>
        <x:v>none</x:v>
      </x:c>
    </x:row>
    <x:row r="145">
      <x:c r="A145" s="29" t="str">
        <x:v>ICH</x:v>
      </x:c>
      <x:c r="B145" s="30" t="str">
        <x:f>'Raw Results'!A37</x:f>
        <x:v>200</x:v>
      </x:c>
      <x:c r="C145" s="31" t="str">
        <x:f>'Raw Results'!B37</x:f>
        <x:v>0.7</x:v>
      </x:c>
      <x:c r="D145" s="30" t="str">
        <x:f>'Raw Results'!C37</x:f>
        <x:v>3</x:v>
      </x:c>
      <x:c r="E145" s="30" t="str">
        <x:f>'Raw Results'!D37</x:f>
        <x:v>1341199423</x:v>
      </x:c>
      <x:c r="F145" s="30" t="str">
        <x:f>'Raw Results'!E37</x:f>
        <x:v>13628</x:v>
      </x:c>
      <x:c r="G145" s="30" t="str">
        <x:f>'Raw Results'!F37</x:f>
        <x:v>1</x:v>
      </x:c>
      <x:c r="H145" s="30" t="str">
        <x:f>'Raw Results'!G37</x:f>
        <x:v>200</x:v>
      </x:c>
      <x:c r="I145" s="32" t="str">
        <x:f>'Raw Results'!H37</x:f>
        <x:v>136.28</x:v>
      </x:c>
      <x:c r="J145" s="33" t="str">
        <x:f>'Raw Results'!I37</x:f>
        <x:v>0.6848241206030151</x:v>
      </x:c>
      <x:c r="K145" s="30" t="str">
        <x:f>'Raw Results'!BN37</x:f>
        <x:v>47</x:v>
      </x:c>
      <x:c r="L145" s="30" t="str">
        <x:f>'Raw Results'!BO37</x:f>
        <x:v>47</x:v>
      </x:c>
      <x:c r="M145" s="33" t="str">
        <x:f>'Raw Results'!BP37</x:f>
        <x:v>1.4095280999317765</x:v>
      </x:c>
      <x:c r="N145" s="30" t="n">
        <x:f>IF('Raw Results'!BQ37="True",1,0)</x:f>
        <x:v>1</x:v>
      </x:c>
      <x:c r="O145" s="30" t="str">
        <x:f>'Raw Results'!BR37</x:f>
        <x:v>50</x:v>
      </x:c>
      <x:c r="P145" s="30" t="str">
        <x:f>'Raw Results'!BS37</x:f>
        <x:v>50</x:v>
      </x:c>
      <x:c r="Q145" s="33" t="str">
        <x:f>'Raw Results'!BT37</x:f>
        <x:v>1.3279500999487936</x:v>
      </x:c>
      <x:c r="R145" s="30" t="n">
        <x:f>IF('Raw Results'!BU37="True",1,0)</x:f>
        <x:v>1</x:v>
      </x:c>
      <x:c r="S145" s="30" t="n">
        <x:f>N145*R145</x:f>
        <x:v>1</x:v>
      </x:c>
      <x:c r="T145" s="30" t="n">
        <x:f>P145-L145</x:f>
        <x:v>3</x:v>
      </x:c>
      <x:c r="U145" s="30" t="n">
        <x:f>O145-K145</x:f>
        <x:v>3</x:v>
      </x:c>
      <x:c r="V145" s="34" t="n">
        <x:f>Q145-M145</x:f>
        <x:v>-0.08157799998298287</x:v>
      </x:c>
      <x:c r="W145" s="35" t="n">
        <x:f>IF(L145=0,"",P145/L145)</x:f>
        <x:v>1.0638297872340425</x:v>
      </x:c>
      <x:c r="X145" s="30" t="n">
        <x:f>K145-L145</x:f>
        <x:v>0</x:v>
      </x:c>
      <x:c r="Y145" s="30" t="n">
        <x:f>O145-P145</x:f>
        <x:v>0</x:v>
      </x:c>
      <x:c r="Z145" s="29" t="str">
        <x:f>IF(S145=0,"Excluded",IF(T145&lt;0,"Collision",IF(T145&gt;0,"Entropy","Tie")))</x:f>
        <x:v>Entropy</x:v>
      </x:c>
      <x:c r="AA145" s="29" t="str">
        <x:f>IF(V145&lt;0,"Collision",IF(V145&gt;0,"Entropy","Tie"))</x:f>
        <x:v>Collision</x:v>
      </x:c>
      <x:c r="AB145" s="29" t="str">
        <x:f>'Raw Results'!CE37</x:f>
        <x:v>none</x:v>
      </x:c>
    </x:row>
    <x:row r="146">
      <x:c r="A146" s="29" t="str">
        <x:v>Grid</x:v>
      </x:c>
      <x:c r="B146" s="30" t="str">
        <x:f>'Raw Results'!A38</x:f>
        <x:v>500</x:v>
      </x:c>
      <x:c r="C146" s="31" t="str">
        <x:f>'Raw Results'!B38</x:f>
        <x:v>0.1</x:v>
      </x:c>
      <x:c r="D146" s="30" t="str">
        <x:f>'Raw Results'!C38</x:f>
        <x:v>1</x:v>
      </x:c>
      <x:c r="E146" s="30" t="str">
        <x:f>'Raw Results'!D38</x:f>
        <x:v>3561489305</x:v>
      </x:c>
      <x:c r="F146" s="30" t="str">
        <x:f>'Raw Results'!E38</x:f>
        <x:v>3494</x:v>
      </x:c>
      <x:c r="G146" s="30" t="str">
        <x:f>'Raw Results'!F38</x:f>
        <x:v>1</x:v>
      </x:c>
      <x:c r="H146" s="30" t="str">
        <x:f>'Raw Results'!G38</x:f>
        <x:v>500</x:v>
      </x:c>
      <x:c r="I146" s="32" t="str">
        <x:f>'Raw Results'!H38</x:f>
        <x:v>13.976</x:v>
      </x:c>
      <x:c r="J146" s="33" t="str">
        <x:f>'Raw Results'!I38</x:f>
        <x:v>0.02800801603206413</x:v>
      </x:c>
      <x:c r="K146" s="30" t="str">
        <x:f>'Raw Results'!L38</x:f>
        <x:v>321</x:v>
      </x:c>
      <x:c r="L146" s="30" t="str">
        <x:f>'Raw Results'!M38</x:f>
        <x:v>56</x:v>
      </x:c>
      <x:c r="M146" s="33" t="str">
        <x:f>'Raw Results'!N38</x:f>
        <x:v>0.7853285999735817</x:v>
      </x:c>
      <x:c r="N146" s="30" t="n">
        <x:f>IF('Raw Results'!O38="True",1,0)</x:f>
        <x:v>1</x:v>
      </x:c>
      <x:c r="O146" s="30" t="str">
        <x:f>'Raw Results'!P38</x:f>
        <x:v>180</x:v>
      </x:c>
      <x:c r="P146" s="30" t="str">
        <x:f>'Raw Results'!Q38</x:f>
        <x:v>58</x:v>
      </x:c>
      <x:c r="Q146" s="33" t="str">
        <x:f>'Raw Results'!R38</x:f>
        <x:v>0.4679550000000745</x:v>
      </x:c>
      <x:c r="R146" s="30" t="n">
        <x:f>IF('Raw Results'!S38="True",1,0)</x:f>
        <x:v>1</x:v>
      </x:c>
      <x:c r="S146" s="30" t="n">
        <x:f>N146*R146</x:f>
        <x:v>1</x:v>
      </x:c>
      <x:c r="T146" s="30" t="n">
        <x:f>P146-L146</x:f>
        <x:v>2</x:v>
      </x:c>
      <x:c r="U146" s="30" t="n">
        <x:f>O146-K146</x:f>
        <x:v>-141</x:v>
      </x:c>
      <x:c r="V146" s="34" t="n">
        <x:f>Q146-M146</x:f>
        <x:v>-0.3173735999735072</x:v>
      </x:c>
      <x:c r="W146" s="35" t="n">
        <x:f>IF(L146=0,"",P146/L146)</x:f>
        <x:v>1.0357142857142858</x:v>
      </x:c>
      <x:c r="X146" s="30" t="n">
        <x:f>K146-L146</x:f>
        <x:v>265</x:v>
      </x:c>
      <x:c r="Y146" s="30" t="n">
        <x:f>O146-P146</x:f>
        <x:v>122</x:v>
      </x:c>
      <x:c r="Z146" s="29" t="str">
        <x:f>IF(S146=0,"Excluded",IF(T146&lt;0,"Collision",IF(T146&gt;0,"Entropy","Tie")))</x:f>
        <x:v>Entropy</x:v>
      </x:c>
      <x:c r="AA146" s="29" t="str">
        <x:f>IF(V146&lt;0,"Collision",IF(V146&gt;0,"Entropy","Tie"))</x:f>
        <x:v>Collision</x:v>
      </x:c>
      <x:c r="AB146" s="29" t="str">
        <x:f>'Raw Results'!AC38</x:f>
        <x:v>none</x:v>
      </x:c>
    </x:row>
    <x:row r="147">
      <x:c r="A147" s="29" t="str">
        <x:v>Circle</x:v>
      </x:c>
      <x:c r="B147" s="30" t="str">
        <x:f>'Raw Results'!A38</x:f>
        <x:v>500</x:v>
      </x:c>
      <x:c r="C147" s="31" t="str">
        <x:f>'Raw Results'!B38</x:f>
        <x:v>0.1</x:v>
      </x:c>
      <x:c r="D147" s="30" t="str">
        <x:f>'Raw Results'!C38</x:f>
        <x:v>1</x:v>
      </x:c>
      <x:c r="E147" s="30" t="str">
        <x:f>'Raw Results'!D38</x:f>
        <x:v>3561489305</x:v>
      </x:c>
      <x:c r="F147" s="30" t="str">
        <x:f>'Raw Results'!E38</x:f>
        <x:v>3494</x:v>
      </x:c>
      <x:c r="G147" s="30" t="str">
        <x:f>'Raw Results'!F38</x:f>
        <x:v>1</x:v>
      </x:c>
      <x:c r="H147" s="30" t="str">
        <x:f>'Raw Results'!G38</x:f>
        <x:v>500</x:v>
      </x:c>
      <x:c r="I147" s="32" t="str">
        <x:f>'Raw Results'!H38</x:f>
        <x:v>13.976</x:v>
      </x:c>
      <x:c r="J147" s="33" t="str">
        <x:f>'Raw Results'!I38</x:f>
        <x:v>0.02800801603206413</x:v>
      </x:c>
      <x:c r="K147" s="30" t="str">
        <x:f>'Raw Results'!AD38</x:f>
        <x:v>367</x:v>
      </x:c>
      <x:c r="L147" s="30" t="str">
        <x:f>'Raw Results'!AE38</x:f>
        <x:v>58</x:v>
      </x:c>
      <x:c r="M147" s="33" t="str">
        <x:f>'Raw Results'!AF38</x:f>
        <x:v>0.9938068999908864</x:v>
      </x:c>
      <x:c r="N147" s="30" t="n">
        <x:f>IF('Raw Results'!AG38="True",1,0)</x:f>
        <x:v>1</x:v>
      </x:c>
      <x:c r="O147" s="30" t="str">
        <x:f>'Raw Results'!AH38</x:f>
        <x:v>293</x:v>
      </x:c>
      <x:c r="P147" s="30" t="str">
        <x:f>'Raw Results'!AI38</x:f>
        <x:v>55</x:v>
      </x:c>
      <x:c r="Q147" s="33" t="str">
        <x:f>'Raw Results'!AJ38</x:f>
        <x:v>0.8250180999748409</x:v>
      </x:c>
      <x:c r="R147" s="30" t="n">
        <x:f>IF('Raw Results'!AK38="True",1,0)</x:f>
        <x:v>1</x:v>
      </x:c>
      <x:c r="S147" s="30" t="n">
        <x:f>N147*R147</x:f>
        <x:v>1</x:v>
      </x:c>
      <x:c r="T147" s="30" t="n">
        <x:f>P147-L147</x:f>
        <x:v>-3</x:v>
      </x:c>
      <x:c r="U147" s="30" t="n">
        <x:f>O147-K147</x:f>
        <x:v>-74</x:v>
      </x:c>
      <x:c r="V147" s="34" t="n">
        <x:f>Q147-M147</x:f>
        <x:v>-0.16878880001604557</x:v>
      </x:c>
      <x:c r="W147" s="35" t="n">
        <x:f>IF(L147=0,"",P147/L147)</x:f>
        <x:v>0.9482758620689655</x:v>
      </x:c>
      <x:c r="X147" s="30" t="n">
        <x:f>K147-L147</x:f>
        <x:v>309</x:v>
      </x:c>
      <x:c r="Y147" s="30" t="n">
        <x:f>O147-P147</x:f>
        <x:v>238</x:v>
      </x:c>
      <x:c r="Z147" s="29" t="str">
        <x:f>IF(S147=0,"Excluded",IF(T147&lt;0,"Collision",IF(T147&gt;0,"Entropy","Tie")))</x:f>
        <x:v>Collision</x:v>
      </x:c>
      <x:c r="AA147" s="29" t="str">
        <x:f>IF(V147&lt;0,"Collision",IF(V147&gt;0,"Entropy","Tie"))</x:f>
        <x:v>Collision</x:v>
      </x:c>
      <x:c r="AB147" s="29" t="str">
        <x:f>'Raw Results'!AU38</x:f>
        <x:v>none</x:v>
      </x:c>
    </x:row>
    <x:row r="148">
      <x:c r="A148" s="29" t="str">
        <x:v>Zoomed Square</x:v>
      </x:c>
      <x:c r="B148" s="30" t="str">
        <x:f>'Raw Results'!A38</x:f>
        <x:v>500</x:v>
      </x:c>
      <x:c r="C148" s="31" t="str">
        <x:f>'Raw Results'!B38</x:f>
        <x:v>0.1</x:v>
      </x:c>
      <x:c r="D148" s="30" t="str">
        <x:f>'Raw Results'!C38</x:f>
        <x:v>1</x:v>
      </x:c>
      <x:c r="E148" s="30" t="str">
        <x:f>'Raw Results'!D38</x:f>
        <x:v>3561489305</x:v>
      </x:c>
      <x:c r="F148" s="30" t="str">
        <x:f>'Raw Results'!E38</x:f>
        <x:v>3494</x:v>
      </x:c>
      <x:c r="G148" s="30" t="str">
        <x:f>'Raw Results'!F38</x:f>
        <x:v>1</x:v>
      </x:c>
      <x:c r="H148" s="30" t="str">
        <x:f>'Raw Results'!G38</x:f>
        <x:v>500</x:v>
      </x:c>
      <x:c r="I148" s="32" t="str">
        <x:f>'Raw Results'!H38</x:f>
        <x:v>13.976</x:v>
      </x:c>
      <x:c r="J148" s="33" t="str">
        <x:f>'Raw Results'!I38</x:f>
        <x:v>0.02800801603206413</x:v>
      </x:c>
      <x:c r="K148" s="30" t="str">
        <x:f>'Raw Results'!AV38</x:f>
        <x:v>342</x:v>
      </x:c>
      <x:c r="L148" s="30" t="str">
        <x:f>'Raw Results'!AW38</x:f>
        <x:v>57</x:v>
      </x:c>
      <x:c r="M148" s="33" t="str">
        <x:f>'Raw Results'!AX38</x:f>
        <x:v>0.8905953000066802</x:v>
      </x:c>
      <x:c r="N148" s="30" t="n">
        <x:f>IF('Raw Results'!AY38="True",1,0)</x:f>
        <x:v>1</x:v>
      </x:c>
      <x:c r="O148" s="30" t="str">
        <x:f>'Raw Results'!AZ38</x:f>
        <x:v>270</x:v>
      </x:c>
      <x:c r="P148" s="30" t="str">
        <x:f>'Raw Results'!BA38</x:f>
        <x:v>56</x:v>
      </x:c>
      <x:c r="Q148" s="33" t="str">
        <x:f>'Raw Results'!BB38</x:f>
        <x:v>0.8195944000035524</x:v>
      </x:c>
      <x:c r="R148" s="30" t="n">
        <x:f>IF('Raw Results'!BC38="True",1,0)</x:f>
        <x:v>1</x:v>
      </x:c>
      <x:c r="S148" s="30" t="n">
        <x:f>N148*R148</x:f>
        <x:v>1</x:v>
      </x:c>
      <x:c r="T148" s="30" t="n">
        <x:f>P148-L148</x:f>
        <x:v>-1</x:v>
      </x:c>
      <x:c r="U148" s="30" t="n">
        <x:f>O148-K148</x:f>
        <x:v>-72</x:v>
      </x:c>
      <x:c r="V148" s="34" t="n">
        <x:f>Q148-M148</x:f>
        <x:v>-0.07100090000312775</x:v>
      </x:c>
      <x:c r="W148" s="35" t="n">
        <x:f>IF(L148=0,"",P148/L148)</x:f>
        <x:v>0.9824561403508771</x:v>
      </x:c>
      <x:c r="X148" s="30" t="n">
        <x:f>K148-L148</x:f>
        <x:v>285</x:v>
      </x:c>
      <x:c r="Y148" s="30" t="n">
        <x:f>O148-P148</x:f>
        <x:v>214</x:v>
      </x:c>
      <x:c r="Z148" s="29" t="str">
        <x:f>IF(S148=0,"Excluded",IF(T148&lt;0,"Collision",IF(T148&gt;0,"Entropy","Tie")))</x:f>
        <x:v>Collision</x:v>
      </x:c>
      <x:c r="AA148" s="29" t="str">
        <x:f>IF(V148&lt;0,"Collision",IF(V148&gt;0,"Entropy","Tie"))</x:f>
        <x:v>Collision</x:v>
      </x:c>
      <x:c r="AB148" s="29" t="str">
        <x:f>'Raw Results'!BM38</x:f>
        <x:v>none</x:v>
      </x:c>
    </x:row>
    <x:row r="149">
      <x:c r="A149" s="29" t="str">
        <x:v>ICH</x:v>
      </x:c>
      <x:c r="B149" s="30" t="str">
        <x:f>'Raw Results'!A38</x:f>
        <x:v>500</x:v>
      </x:c>
      <x:c r="C149" s="31" t="str">
        <x:f>'Raw Results'!B38</x:f>
        <x:v>0.1</x:v>
      </x:c>
      <x:c r="D149" s="30" t="str">
        <x:f>'Raw Results'!C38</x:f>
        <x:v>1</x:v>
      </x:c>
      <x:c r="E149" s="30" t="str">
        <x:f>'Raw Results'!D38</x:f>
        <x:v>3561489305</x:v>
      </x:c>
      <x:c r="F149" s="30" t="str">
        <x:f>'Raw Results'!E38</x:f>
        <x:v>3494</x:v>
      </x:c>
      <x:c r="G149" s="30" t="str">
        <x:f>'Raw Results'!F38</x:f>
        <x:v>1</x:v>
      </x:c>
      <x:c r="H149" s="30" t="str">
        <x:f>'Raw Results'!G38</x:f>
        <x:v>500</x:v>
      </x:c>
      <x:c r="I149" s="32" t="str">
        <x:f>'Raw Results'!H38</x:f>
        <x:v>13.976</x:v>
      </x:c>
      <x:c r="J149" s="33" t="str">
        <x:f>'Raw Results'!I38</x:f>
        <x:v>0.02800801603206413</x:v>
      </x:c>
      <x:c r="K149" s="30" t="str">
        <x:f>'Raw Results'!BN38</x:f>
        <x:v>55</x:v>
      </x:c>
      <x:c r="L149" s="30" t="str">
        <x:f>'Raw Results'!BO38</x:f>
        <x:v>55</x:v>
      </x:c>
      <x:c r="M149" s="33" t="str">
        <x:f>'Raw Results'!BP38</x:f>
        <x:v>19.10659520002082</x:v>
      </x:c>
      <x:c r="N149" s="30" t="n">
        <x:f>IF('Raw Results'!BQ38="True",1,0)</x:f>
        <x:v>1</x:v>
      </x:c>
      <x:c r="O149" s="30" t="str">
        <x:f>'Raw Results'!BR38</x:f>
        <x:v>56</x:v>
      </x:c>
      <x:c r="P149" s="30" t="str">
        <x:f>'Raw Results'!BS38</x:f>
        <x:v>56</x:v>
      </x:c>
      <x:c r="Q149" s="33" t="str">
        <x:f>'Raw Results'!BT38</x:f>
        <x:v>20.874571399996057</x:v>
      </x:c>
      <x:c r="R149" s="30" t="n">
        <x:f>IF('Raw Results'!BU38="True",1,0)</x:f>
        <x:v>1</x:v>
      </x:c>
      <x:c r="S149" s="30" t="n">
        <x:f>N149*R149</x:f>
        <x:v>1</x:v>
      </x:c>
      <x:c r="T149" s="30" t="n">
        <x:f>P149-L149</x:f>
        <x:v>1</x:v>
      </x:c>
      <x:c r="U149" s="30" t="n">
        <x:f>O149-K149</x:f>
        <x:v>1</x:v>
      </x:c>
      <x:c r="V149" s="34" t="n">
        <x:f>Q149-M149</x:f>
        <x:v>1.7679761999752373</x:v>
      </x:c>
      <x:c r="W149" s="35" t="n">
        <x:f>IF(L149=0,"",P149/L149)</x:f>
        <x:v>1.018181818181818</x:v>
      </x:c>
      <x:c r="X149" s="30" t="n">
        <x:f>K149-L149</x:f>
        <x:v>0</x:v>
      </x:c>
      <x:c r="Y149" s="30" t="n">
        <x:f>O149-P149</x:f>
        <x:v>0</x:v>
      </x:c>
      <x:c r="Z149" s="29" t="str">
        <x:f>IF(S149=0,"Excluded",IF(T149&lt;0,"Collision",IF(T149&gt;0,"Entropy","Tie")))</x:f>
        <x:v>Entropy</x:v>
      </x:c>
      <x:c r="AA149" s="29" t="str">
        <x:f>IF(V149&lt;0,"Collision",IF(V149&gt;0,"Entropy","Tie"))</x:f>
        <x:v>Entropy</x:v>
      </x:c>
      <x:c r="AB149" s="29" t="str">
        <x:f>'Raw Results'!CE38</x:f>
        <x:v>none</x:v>
      </x:c>
    </x:row>
    <x:row r="150">
      <x:c r="A150" s="29" t="str">
        <x:v>Grid</x:v>
      </x:c>
      <x:c r="B150" s="30" t="str">
        <x:f>'Raw Results'!A39</x:f>
        <x:v>500</x:v>
      </x:c>
      <x:c r="C150" s="31" t="str">
        <x:f>'Raw Results'!B39</x:f>
        <x:v>0.1</x:v>
      </x:c>
      <x:c r="D150" s="30" t="str">
        <x:f>'Raw Results'!C39</x:f>
        <x:v>2</x:v>
      </x:c>
      <x:c r="E150" s="30" t="str">
        <x:f>'Raw Results'!D39</x:f>
        <x:v>1763200285</x:v>
      </x:c>
      <x:c r="F150" s="30" t="str">
        <x:f>'Raw Results'!E39</x:f>
        <x:v>3612</x:v>
      </x:c>
      <x:c r="G150" s="30" t="str">
        <x:f>'Raw Results'!F39</x:f>
        <x:v>1</x:v>
      </x:c>
      <x:c r="H150" s="30" t="str">
        <x:f>'Raw Results'!G39</x:f>
        <x:v>500</x:v>
      </x:c>
      <x:c r="I150" s="32" t="str">
        <x:f>'Raw Results'!H39</x:f>
        <x:v>14.448</x:v>
      </x:c>
      <x:c r="J150" s="33" t="str">
        <x:f>'Raw Results'!I39</x:f>
        <x:v>0.02895390781563126</x:v>
      </x:c>
      <x:c r="K150" s="30" t="str">
        <x:f>'Raw Results'!L39</x:f>
        <x:v>329</x:v>
      </x:c>
      <x:c r="L150" s="30" t="str">
        <x:f>'Raw Results'!M39</x:f>
        <x:v>61</x:v>
      </x:c>
      <x:c r="M150" s="33" t="str">
        <x:f>'Raw Results'!N39</x:f>
        <x:v>1.122770500020124</x:v>
      </x:c>
      <x:c r="N150" s="30" t="n">
        <x:f>IF('Raw Results'!O39="True",1,0)</x:f>
        <x:v>1</x:v>
      </x:c>
      <x:c r="O150" s="30" t="str">
        <x:f>'Raw Results'!P39</x:f>
        <x:v>185</x:v>
      </x:c>
      <x:c r="P150" s="30" t="str">
        <x:f>'Raw Results'!Q39</x:f>
        <x:v>59</x:v>
      </x:c>
      <x:c r="Q150" s="33" t="str">
        <x:f>'Raw Results'!R39</x:f>
        <x:v>0.5544577999971807</x:v>
      </x:c>
      <x:c r="R150" s="30" t="n">
        <x:f>IF('Raw Results'!S39="True",1,0)</x:f>
        <x:v>1</x:v>
      </x:c>
      <x:c r="S150" s="30" t="n">
        <x:f>N150*R150</x:f>
        <x:v>1</x:v>
      </x:c>
      <x:c r="T150" s="30" t="n">
        <x:f>P150-L150</x:f>
        <x:v>-2</x:v>
      </x:c>
      <x:c r="U150" s="30" t="n">
        <x:f>O150-K150</x:f>
        <x:v>-144</x:v>
      </x:c>
      <x:c r="V150" s="34" t="n">
        <x:f>Q150-M150</x:f>
        <x:v>-0.5683127000229433</x:v>
      </x:c>
      <x:c r="W150" s="35" t="n">
        <x:f>IF(L150=0,"",P150/L150)</x:f>
        <x:v>0.9672131147540983</x:v>
      </x:c>
      <x:c r="X150" s="30" t="n">
        <x:f>K150-L150</x:f>
        <x:v>268</x:v>
      </x:c>
      <x:c r="Y150" s="30" t="n">
        <x:f>O150-P150</x:f>
        <x:v>126</x:v>
      </x:c>
      <x:c r="Z150" s="29" t="str">
        <x:f>IF(S150=0,"Excluded",IF(T150&lt;0,"Collision",IF(T150&gt;0,"Entropy","Tie")))</x:f>
        <x:v>Collision</x:v>
      </x:c>
      <x:c r="AA150" s="29" t="str">
        <x:f>IF(V150&lt;0,"Collision",IF(V150&gt;0,"Entropy","Tie"))</x:f>
        <x:v>Collision</x:v>
      </x:c>
      <x:c r="AB150" s="29" t="str">
        <x:f>'Raw Results'!AC39</x:f>
        <x:v>none</x:v>
      </x:c>
    </x:row>
    <x:row r="151">
      <x:c r="A151" s="29" t="str">
        <x:v>Circle</x:v>
      </x:c>
      <x:c r="B151" s="30" t="str">
        <x:f>'Raw Results'!A39</x:f>
        <x:v>500</x:v>
      </x:c>
      <x:c r="C151" s="31" t="str">
        <x:f>'Raw Results'!B39</x:f>
        <x:v>0.1</x:v>
      </x:c>
      <x:c r="D151" s="30" t="str">
        <x:f>'Raw Results'!C39</x:f>
        <x:v>2</x:v>
      </x:c>
      <x:c r="E151" s="30" t="str">
        <x:f>'Raw Results'!D39</x:f>
        <x:v>1763200285</x:v>
      </x:c>
      <x:c r="F151" s="30" t="str">
        <x:f>'Raw Results'!E39</x:f>
        <x:v>3612</x:v>
      </x:c>
      <x:c r="G151" s="30" t="str">
        <x:f>'Raw Results'!F39</x:f>
        <x:v>1</x:v>
      </x:c>
      <x:c r="H151" s="30" t="str">
        <x:f>'Raw Results'!G39</x:f>
        <x:v>500</x:v>
      </x:c>
      <x:c r="I151" s="32" t="str">
        <x:f>'Raw Results'!H39</x:f>
        <x:v>14.448</x:v>
      </x:c>
      <x:c r="J151" s="33" t="str">
        <x:f>'Raw Results'!I39</x:f>
        <x:v>0.02895390781563126</x:v>
      </x:c>
      <x:c r="K151" s="30" t="str">
        <x:f>'Raw Results'!AD39</x:f>
        <x:v>332</x:v>
      </x:c>
      <x:c r="L151" s="30" t="str">
        <x:f>'Raw Results'!AE39</x:f>
        <x:v>61</x:v>
      </x:c>
      <x:c r="M151" s="33" t="str">
        <x:f>'Raw Results'!AF39</x:f>
        <x:v>0.8930303000379354</x:v>
      </x:c>
      <x:c r="N151" s="30" t="n">
        <x:f>IF('Raw Results'!AG39="True",1,0)</x:f>
        <x:v>1</x:v>
      </x:c>
      <x:c r="O151" s="30" t="str">
        <x:f>'Raw Results'!AH39</x:f>
        <x:v>269</x:v>
      </x:c>
      <x:c r="P151" s="30" t="str">
        <x:f>'Raw Results'!AI39</x:f>
        <x:v>61</x:v>
      </x:c>
      <x:c r="Q151" s="33" t="str">
        <x:f>'Raw Results'!AJ39</x:f>
        <x:v>0.7874852999811992</x:v>
      </x:c>
      <x:c r="R151" s="30" t="n">
        <x:f>IF('Raw Results'!AK39="True",1,0)</x:f>
        <x:v>1</x:v>
      </x:c>
      <x:c r="S151" s="30" t="n">
        <x:f>N151*R151</x:f>
        <x:v>1</x:v>
      </x:c>
      <x:c r="T151" s="30" t="n">
        <x:f>P151-L151</x:f>
        <x:v>0</x:v>
      </x:c>
      <x:c r="U151" s="30" t="n">
        <x:f>O151-K151</x:f>
        <x:v>-63</x:v>
      </x:c>
      <x:c r="V151" s="34" t="n">
        <x:f>Q151-M151</x:f>
        <x:v>-0.10554500005673617</x:v>
      </x:c>
      <x:c r="W151" s="35" t="n">
        <x:f>IF(L151=0,"",P151/L151)</x:f>
        <x:v>1</x:v>
      </x:c>
      <x:c r="X151" s="30" t="n">
        <x:f>K151-L151</x:f>
        <x:v>271</x:v>
      </x:c>
      <x:c r="Y151" s="30" t="n">
        <x:f>O151-P151</x:f>
        <x:v>208</x:v>
      </x:c>
      <x:c r="Z151" s="29" t="str">
        <x:f>IF(S151=0,"Excluded",IF(T151&lt;0,"Collision",IF(T151&gt;0,"Entropy","Tie")))</x:f>
        <x:v>Tie</x:v>
      </x:c>
      <x:c r="AA151" s="29" t="str">
        <x:f>IF(V151&lt;0,"Collision",IF(V151&gt;0,"Entropy","Tie"))</x:f>
        <x:v>Collision</x:v>
      </x:c>
      <x:c r="AB151" s="29" t="str">
        <x:f>'Raw Results'!AU39</x:f>
        <x:v>none</x:v>
      </x:c>
    </x:row>
    <x:row r="152">
      <x:c r="A152" s="29" t="str">
        <x:v>Zoomed Square</x:v>
      </x:c>
      <x:c r="B152" s="30" t="str">
        <x:f>'Raw Results'!A39</x:f>
        <x:v>500</x:v>
      </x:c>
      <x:c r="C152" s="31" t="str">
        <x:f>'Raw Results'!B39</x:f>
        <x:v>0.1</x:v>
      </x:c>
      <x:c r="D152" s="30" t="str">
        <x:f>'Raw Results'!C39</x:f>
        <x:v>2</x:v>
      </x:c>
      <x:c r="E152" s="30" t="str">
        <x:f>'Raw Results'!D39</x:f>
        <x:v>1763200285</x:v>
      </x:c>
      <x:c r="F152" s="30" t="str">
        <x:f>'Raw Results'!E39</x:f>
        <x:v>3612</x:v>
      </x:c>
      <x:c r="G152" s="30" t="str">
        <x:f>'Raw Results'!F39</x:f>
        <x:v>1</x:v>
      </x:c>
      <x:c r="H152" s="30" t="str">
        <x:f>'Raw Results'!G39</x:f>
        <x:v>500</x:v>
      </x:c>
      <x:c r="I152" s="32" t="str">
        <x:f>'Raw Results'!H39</x:f>
        <x:v>14.448</x:v>
      </x:c>
      <x:c r="J152" s="33" t="str">
        <x:f>'Raw Results'!I39</x:f>
        <x:v>0.02895390781563126</x:v>
      </x:c>
      <x:c r="K152" s="30" t="str">
        <x:f>'Raw Results'!AV39</x:f>
        <x:v>357</x:v>
      </x:c>
      <x:c r="L152" s="30" t="str">
        <x:f>'Raw Results'!AW39</x:f>
        <x:v>61</x:v>
      </x:c>
      <x:c r="M152" s="33" t="str">
        <x:f>'Raw Results'!AX39</x:f>
        <x:v>1.0702403000323102</x:v>
      </x:c>
      <x:c r="N152" s="30" t="n">
        <x:f>IF('Raw Results'!AY39="True",1,0)</x:f>
        <x:v>1</x:v>
      </x:c>
      <x:c r="O152" s="30" t="str">
        <x:f>'Raw Results'!AZ39</x:f>
        <x:v>272</x:v>
      </x:c>
      <x:c r="P152" s="30" t="str">
        <x:f>'Raw Results'!BA39</x:f>
        <x:v>63</x:v>
      </x:c>
      <x:c r="Q152" s="33" t="str">
        <x:f>'Raw Results'!BB39</x:f>
        <x:v>0.8989208999555558</x:v>
      </x:c>
      <x:c r="R152" s="30" t="n">
        <x:f>IF('Raw Results'!BC39="True",1,0)</x:f>
        <x:v>1</x:v>
      </x:c>
      <x:c r="S152" s="30" t="n">
        <x:f>N152*R152</x:f>
        <x:v>1</x:v>
      </x:c>
      <x:c r="T152" s="30" t="n">
        <x:f>P152-L152</x:f>
        <x:v>2</x:v>
      </x:c>
      <x:c r="U152" s="30" t="n">
        <x:f>O152-K152</x:f>
        <x:v>-85</x:v>
      </x:c>
      <x:c r="V152" s="34" t="n">
        <x:f>Q152-M152</x:f>
        <x:v>-0.1713194000767544</x:v>
      </x:c>
      <x:c r="W152" s="35" t="n">
        <x:f>IF(L152=0,"",P152/L152)</x:f>
        <x:v>1.0327868852459017</x:v>
      </x:c>
      <x:c r="X152" s="30" t="n">
        <x:f>K152-L152</x:f>
        <x:v>296</x:v>
      </x:c>
      <x:c r="Y152" s="30" t="n">
        <x:f>O152-P152</x:f>
        <x:v>209</x:v>
      </x:c>
      <x:c r="Z152" s="29" t="str">
        <x:f>IF(S152=0,"Excluded",IF(T152&lt;0,"Collision",IF(T152&gt;0,"Entropy","Tie")))</x:f>
        <x:v>Entropy</x:v>
      </x:c>
      <x:c r="AA152" s="29" t="str">
        <x:f>IF(V152&lt;0,"Collision",IF(V152&gt;0,"Entropy","Tie"))</x:f>
        <x:v>Collision</x:v>
      </x:c>
      <x:c r="AB152" s="29" t="str">
        <x:f>'Raw Results'!BM39</x:f>
        <x:v>none</x:v>
      </x:c>
    </x:row>
    <x:row r="153">
      <x:c r="A153" s="29" t="str">
        <x:v>ICH</x:v>
      </x:c>
      <x:c r="B153" s="30" t="str">
        <x:f>'Raw Results'!A39</x:f>
        <x:v>500</x:v>
      </x:c>
      <x:c r="C153" s="31" t="str">
        <x:f>'Raw Results'!B39</x:f>
        <x:v>0.1</x:v>
      </x:c>
      <x:c r="D153" s="30" t="str">
        <x:f>'Raw Results'!C39</x:f>
        <x:v>2</x:v>
      </x:c>
      <x:c r="E153" s="30" t="str">
        <x:f>'Raw Results'!D39</x:f>
        <x:v>1763200285</x:v>
      </x:c>
      <x:c r="F153" s="30" t="str">
        <x:f>'Raw Results'!E39</x:f>
        <x:v>3612</x:v>
      </x:c>
      <x:c r="G153" s="30" t="str">
        <x:f>'Raw Results'!F39</x:f>
        <x:v>1</x:v>
      </x:c>
      <x:c r="H153" s="30" t="str">
        <x:f>'Raw Results'!G39</x:f>
        <x:v>500</x:v>
      </x:c>
      <x:c r="I153" s="32" t="str">
        <x:f>'Raw Results'!H39</x:f>
        <x:v>14.448</x:v>
      </x:c>
      <x:c r="J153" s="33" t="str">
        <x:f>'Raw Results'!I39</x:f>
        <x:v>0.02895390781563126</x:v>
      </x:c>
      <x:c r="K153" s="30" t="str">
        <x:f>'Raw Results'!BN39</x:f>
        <x:v>63</x:v>
      </x:c>
      <x:c r="L153" s="30" t="str">
        <x:f>'Raw Results'!BO39</x:f>
        <x:v>63</x:v>
      </x:c>
      <x:c r="M153" s="33" t="str">
        <x:f>'Raw Results'!BP39</x:f>
        <x:v>21.22664899996016</x:v>
      </x:c>
      <x:c r="N153" s="30" t="n">
        <x:f>IF('Raw Results'!BQ39="True",1,0)</x:f>
        <x:v>1</x:v>
      </x:c>
      <x:c r="O153" s="30" t="str">
        <x:f>'Raw Results'!BR39</x:f>
        <x:v>62</x:v>
      </x:c>
      <x:c r="P153" s="30" t="str">
        <x:f>'Raw Results'!BS39</x:f>
        <x:v>62</x:v>
      </x:c>
      <x:c r="Q153" s="33" t="str">
        <x:f>'Raw Results'!BT39</x:f>
        <x:v>19.29477170004975</x:v>
      </x:c>
      <x:c r="R153" s="30" t="n">
        <x:f>IF('Raw Results'!BU39="True",1,0)</x:f>
        <x:v>1</x:v>
      </x:c>
      <x:c r="S153" s="30" t="n">
        <x:f>N153*R153</x:f>
        <x:v>1</x:v>
      </x:c>
      <x:c r="T153" s="30" t="n">
        <x:f>P153-L153</x:f>
        <x:v>-1</x:v>
      </x:c>
      <x:c r="U153" s="30" t="n">
        <x:f>O153-K153</x:f>
        <x:v>-1</x:v>
      </x:c>
      <x:c r="V153" s="34" t="n">
        <x:f>Q153-M153</x:f>
        <x:v>-1.9318772999104112</x:v>
      </x:c>
      <x:c r="W153" s="35" t="n">
        <x:f>IF(L153=0,"",P153/L153)</x:f>
        <x:v>0.9841269841269841</x:v>
      </x:c>
      <x:c r="X153" s="30" t="n">
        <x:f>K153-L153</x:f>
        <x:v>0</x:v>
      </x:c>
      <x:c r="Y153" s="30" t="n">
        <x:f>O153-P153</x:f>
        <x:v>0</x:v>
      </x:c>
      <x:c r="Z153" s="29" t="str">
        <x:f>IF(S153=0,"Excluded",IF(T153&lt;0,"Collision",IF(T153&gt;0,"Entropy","Tie")))</x:f>
        <x:v>Collision</x:v>
      </x:c>
      <x:c r="AA153" s="29" t="str">
        <x:f>IF(V153&lt;0,"Collision",IF(V153&gt;0,"Entropy","Tie"))</x:f>
        <x:v>Collision</x:v>
      </x:c>
      <x:c r="AB153" s="29" t="str">
        <x:f>'Raw Results'!CE39</x:f>
        <x:v>none</x:v>
      </x:c>
    </x:row>
    <x:row r="154">
      <x:c r="A154" s="29" t="str">
        <x:v>Grid</x:v>
      </x:c>
      <x:c r="B154" s="30" t="str">
        <x:f>'Raw Results'!A40</x:f>
        <x:v>500</x:v>
      </x:c>
      <x:c r="C154" s="31" t="str">
        <x:f>'Raw Results'!B40</x:f>
        <x:v>0.1</x:v>
      </x:c>
      <x:c r="D154" s="30" t="str">
        <x:f>'Raw Results'!C40</x:f>
        <x:v>3</x:v>
      </x:c>
      <x:c r="E154" s="30" t="str">
        <x:f>'Raw Results'!D40</x:f>
        <x:v>3181236062</x:v>
      </x:c>
      <x:c r="F154" s="30" t="str">
        <x:f>'Raw Results'!E40</x:f>
        <x:v>3607</x:v>
      </x:c>
      <x:c r="G154" s="30" t="str">
        <x:f>'Raw Results'!F40</x:f>
        <x:v>1</x:v>
      </x:c>
      <x:c r="H154" s="30" t="str">
        <x:f>'Raw Results'!G40</x:f>
        <x:v>500</x:v>
      </x:c>
      <x:c r="I154" s="32" t="str">
        <x:f>'Raw Results'!H40</x:f>
        <x:v>14.428</x:v>
      </x:c>
      <x:c r="J154" s="33" t="str">
        <x:f>'Raw Results'!I40</x:f>
        <x:v>0.02891382765531062</x:v>
      </x:c>
      <x:c r="K154" s="30" t="str">
        <x:f>'Raw Results'!L40</x:f>
        <x:v>323</x:v>
      </x:c>
      <x:c r="L154" s="30" t="str">
        <x:f>'Raw Results'!M40</x:f>
        <x:v>48</x:v>
      </x:c>
      <x:c r="M154" s="33" t="str">
        <x:f>'Raw Results'!N40</x:f>
        <x:v>0.7688188999891281</x:v>
      </x:c>
      <x:c r="N154" s="30" t="n">
        <x:f>IF('Raw Results'!O40="True",1,0)</x:f>
        <x:v>1</x:v>
      </x:c>
      <x:c r="O154" s="30" t="str">
        <x:f>'Raw Results'!P40</x:f>
        <x:v>192</x:v>
      </x:c>
      <x:c r="P154" s="30" t="str">
        <x:f>'Raw Results'!Q40</x:f>
        <x:v>51</x:v>
      </x:c>
      <x:c r="Q154" s="33" t="str">
        <x:f>'Raw Results'!R40</x:f>
        <x:v>0.5493878999259323</x:v>
      </x:c>
      <x:c r="R154" s="30" t="n">
        <x:f>IF('Raw Results'!S40="True",1,0)</x:f>
        <x:v>1</x:v>
      </x:c>
      <x:c r="S154" s="30" t="n">
        <x:f>N154*R154</x:f>
        <x:v>1</x:v>
      </x:c>
      <x:c r="T154" s="30" t="n">
        <x:f>P154-L154</x:f>
        <x:v>3</x:v>
      </x:c>
      <x:c r="U154" s="30" t="n">
        <x:f>O154-K154</x:f>
        <x:v>-131</x:v>
      </x:c>
      <x:c r="V154" s="34" t="n">
        <x:f>Q154-M154</x:f>
        <x:v>-0.21943100006319582</x:v>
      </x:c>
      <x:c r="W154" s="35" t="n">
        <x:f>IF(L154=0,"",P154/L154)</x:f>
        <x:v>1.0625</x:v>
      </x:c>
      <x:c r="X154" s="30" t="n">
        <x:f>K154-L154</x:f>
        <x:v>275</x:v>
      </x:c>
      <x:c r="Y154" s="30" t="n">
        <x:f>O154-P154</x:f>
        <x:v>141</x:v>
      </x:c>
      <x:c r="Z154" s="29" t="str">
        <x:f>IF(S154=0,"Excluded",IF(T154&lt;0,"Collision",IF(T154&gt;0,"Entropy","Tie")))</x:f>
        <x:v>Entropy</x:v>
      </x:c>
      <x:c r="AA154" s="29" t="str">
        <x:f>IF(V154&lt;0,"Collision",IF(V154&gt;0,"Entropy","Tie"))</x:f>
        <x:v>Collision</x:v>
      </x:c>
      <x:c r="AB154" s="29" t="str">
        <x:f>'Raw Results'!AC40</x:f>
        <x:v>none</x:v>
      </x:c>
    </x:row>
    <x:row r="155">
      <x:c r="A155" s="29" t="str">
        <x:v>Circle</x:v>
      </x:c>
      <x:c r="B155" s="30" t="str">
        <x:f>'Raw Results'!A40</x:f>
        <x:v>500</x:v>
      </x:c>
      <x:c r="C155" s="31" t="str">
        <x:f>'Raw Results'!B40</x:f>
        <x:v>0.1</x:v>
      </x:c>
      <x:c r="D155" s="30" t="str">
        <x:f>'Raw Results'!C40</x:f>
        <x:v>3</x:v>
      </x:c>
      <x:c r="E155" s="30" t="str">
        <x:f>'Raw Results'!D40</x:f>
        <x:v>3181236062</x:v>
      </x:c>
      <x:c r="F155" s="30" t="str">
        <x:f>'Raw Results'!E40</x:f>
        <x:v>3607</x:v>
      </x:c>
      <x:c r="G155" s="30" t="str">
        <x:f>'Raw Results'!F40</x:f>
        <x:v>1</x:v>
      </x:c>
      <x:c r="H155" s="30" t="str">
        <x:f>'Raw Results'!G40</x:f>
        <x:v>500</x:v>
      </x:c>
      <x:c r="I155" s="32" t="str">
        <x:f>'Raw Results'!H40</x:f>
        <x:v>14.428</x:v>
      </x:c>
      <x:c r="J155" s="33" t="str">
        <x:f>'Raw Results'!I40</x:f>
        <x:v>0.02891382765531062</x:v>
      </x:c>
      <x:c r="K155" s="30" t="str">
        <x:f>'Raw Results'!AD40</x:f>
        <x:v>331</x:v>
      </x:c>
      <x:c r="L155" s="30" t="str">
        <x:f>'Raw Results'!AE40</x:f>
        <x:v>53</x:v>
      </x:c>
      <x:c r="M155" s="33" t="str">
        <x:f>'Raw Results'!AF40</x:f>
        <x:v>0.788357499986887</x:v>
      </x:c>
      <x:c r="N155" s="30" t="n">
        <x:f>IF('Raw Results'!AG40="True",1,0)</x:f>
        <x:v>1</x:v>
      </x:c>
      <x:c r="O155" s="30" t="str">
        <x:f>'Raw Results'!AH40</x:f>
        <x:v>266</x:v>
      </x:c>
      <x:c r="P155" s="30" t="str">
        <x:f>'Raw Results'!AI40</x:f>
        <x:v>52</x:v>
      </x:c>
      <x:c r="Q155" s="33" t="str">
        <x:f>'Raw Results'!AJ40</x:f>
        <x:v>0.6478453000308946</x:v>
      </x:c>
      <x:c r="R155" s="30" t="n">
        <x:f>IF('Raw Results'!AK40="True",1,0)</x:f>
        <x:v>1</x:v>
      </x:c>
      <x:c r="S155" s="30" t="n">
        <x:f>N155*R155</x:f>
        <x:v>1</x:v>
      </x:c>
      <x:c r="T155" s="30" t="n">
        <x:f>P155-L155</x:f>
        <x:v>-1</x:v>
      </x:c>
      <x:c r="U155" s="30" t="n">
        <x:f>O155-K155</x:f>
        <x:v>-65</x:v>
      </x:c>
      <x:c r="V155" s="34" t="n">
        <x:f>Q155-M155</x:f>
        <x:v>-0.1405121999559924</x:v>
      </x:c>
      <x:c r="W155" s="35" t="n">
        <x:f>IF(L155=0,"",P155/L155)</x:f>
        <x:v>0.9811320754716981</x:v>
      </x:c>
      <x:c r="X155" s="30" t="n">
        <x:f>K155-L155</x:f>
        <x:v>278</x:v>
      </x:c>
      <x:c r="Y155" s="30" t="n">
        <x:f>O155-P155</x:f>
        <x:v>214</x:v>
      </x:c>
      <x:c r="Z155" s="29" t="str">
        <x:f>IF(S155=0,"Excluded",IF(T155&lt;0,"Collision",IF(T155&gt;0,"Entropy","Tie")))</x:f>
        <x:v>Collision</x:v>
      </x:c>
      <x:c r="AA155" s="29" t="str">
        <x:f>IF(V155&lt;0,"Collision",IF(V155&gt;0,"Entropy","Tie"))</x:f>
        <x:v>Collision</x:v>
      </x:c>
      <x:c r="AB155" s="29" t="str">
        <x:f>'Raw Results'!AU40</x:f>
        <x:v>none</x:v>
      </x:c>
    </x:row>
    <x:row r="156">
      <x:c r="A156" s="29" t="str">
        <x:v>Zoomed Square</x:v>
      </x:c>
      <x:c r="B156" s="30" t="str">
        <x:f>'Raw Results'!A40</x:f>
        <x:v>500</x:v>
      </x:c>
      <x:c r="C156" s="31" t="str">
        <x:f>'Raw Results'!B40</x:f>
        <x:v>0.1</x:v>
      </x:c>
      <x:c r="D156" s="30" t="str">
        <x:f>'Raw Results'!C40</x:f>
        <x:v>3</x:v>
      </x:c>
      <x:c r="E156" s="30" t="str">
        <x:f>'Raw Results'!D40</x:f>
        <x:v>3181236062</x:v>
      </x:c>
      <x:c r="F156" s="30" t="str">
        <x:f>'Raw Results'!E40</x:f>
        <x:v>3607</x:v>
      </x:c>
      <x:c r="G156" s="30" t="str">
        <x:f>'Raw Results'!F40</x:f>
        <x:v>1</x:v>
      </x:c>
      <x:c r="H156" s="30" t="str">
        <x:f>'Raw Results'!G40</x:f>
        <x:v>500</x:v>
      </x:c>
      <x:c r="I156" s="32" t="str">
        <x:f>'Raw Results'!H40</x:f>
        <x:v>14.428</x:v>
      </x:c>
      <x:c r="J156" s="33" t="str">
        <x:f>'Raw Results'!I40</x:f>
        <x:v>0.02891382765531062</x:v>
      </x:c>
      <x:c r="K156" s="30" t="str">
        <x:f>'Raw Results'!AV40</x:f>
        <x:v>334</x:v>
      </x:c>
      <x:c r="L156" s="30" t="str">
        <x:f>'Raw Results'!AW40</x:f>
        <x:v>54</x:v>
      </x:c>
      <x:c r="M156" s="33" t="str">
        <x:f>'Raw Results'!AX40</x:f>
        <x:v>0.8148025000700727</x:v>
      </x:c>
      <x:c r="N156" s="30" t="n">
        <x:f>IF('Raw Results'!AY40="True",1,0)</x:f>
        <x:v>1</x:v>
      </x:c>
      <x:c r="O156" s="30" t="str">
        <x:f>'Raw Results'!AZ40</x:f>
        <x:v>249</x:v>
      </x:c>
      <x:c r="P156" s="30" t="str">
        <x:f>'Raw Results'!BA40</x:f>
        <x:v>50</x:v>
      </x:c>
      <x:c r="Q156" s="33" t="str">
        <x:f>'Raw Results'!BB40</x:f>
        <x:v>0.7063556000357494</x:v>
      </x:c>
      <x:c r="R156" s="30" t="n">
        <x:f>IF('Raw Results'!BC40="True",1,0)</x:f>
        <x:v>1</x:v>
      </x:c>
      <x:c r="S156" s="30" t="n">
        <x:f>N156*R156</x:f>
        <x:v>1</x:v>
      </x:c>
      <x:c r="T156" s="30" t="n">
        <x:f>P156-L156</x:f>
        <x:v>-4</x:v>
      </x:c>
      <x:c r="U156" s="30" t="n">
        <x:f>O156-K156</x:f>
        <x:v>-85</x:v>
      </x:c>
      <x:c r="V156" s="34" t="n">
        <x:f>Q156-M156</x:f>
        <x:v>-0.10844690003432333</x:v>
      </x:c>
      <x:c r="W156" s="35" t="n">
        <x:f>IF(L156=0,"",P156/L156)</x:f>
        <x:v>0.9259259259259259</x:v>
      </x:c>
      <x:c r="X156" s="30" t="n">
        <x:f>K156-L156</x:f>
        <x:v>280</x:v>
      </x:c>
      <x:c r="Y156" s="30" t="n">
        <x:f>O156-P156</x:f>
        <x:v>199</x:v>
      </x:c>
      <x:c r="Z156" s="29" t="str">
        <x:f>IF(S156=0,"Excluded",IF(T156&lt;0,"Collision",IF(T156&gt;0,"Entropy","Tie")))</x:f>
        <x:v>Collision</x:v>
      </x:c>
      <x:c r="AA156" s="29" t="str">
        <x:f>IF(V156&lt;0,"Collision",IF(V156&gt;0,"Entropy","Tie"))</x:f>
        <x:v>Collision</x:v>
      </x:c>
      <x:c r="AB156" s="29" t="str">
        <x:f>'Raw Results'!BM40</x:f>
        <x:v>none</x:v>
      </x:c>
    </x:row>
    <x:row r="157">
      <x:c r="A157" s="29" t="str">
        <x:v>ICH</x:v>
      </x:c>
      <x:c r="B157" s="30" t="str">
        <x:f>'Raw Results'!A40</x:f>
        <x:v>500</x:v>
      </x:c>
      <x:c r="C157" s="31" t="str">
        <x:f>'Raw Results'!B40</x:f>
        <x:v>0.1</x:v>
      </x:c>
      <x:c r="D157" s="30" t="str">
        <x:f>'Raw Results'!C40</x:f>
        <x:v>3</x:v>
      </x:c>
      <x:c r="E157" s="30" t="str">
        <x:f>'Raw Results'!D40</x:f>
        <x:v>3181236062</x:v>
      </x:c>
      <x:c r="F157" s="30" t="str">
        <x:f>'Raw Results'!E40</x:f>
        <x:v>3607</x:v>
      </x:c>
      <x:c r="G157" s="30" t="str">
        <x:f>'Raw Results'!F40</x:f>
        <x:v>1</x:v>
      </x:c>
      <x:c r="H157" s="30" t="str">
        <x:f>'Raw Results'!G40</x:f>
        <x:v>500</x:v>
      </x:c>
      <x:c r="I157" s="32" t="str">
        <x:f>'Raw Results'!H40</x:f>
        <x:v>14.428</x:v>
      </x:c>
      <x:c r="J157" s="33" t="str">
        <x:f>'Raw Results'!I40</x:f>
        <x:v>0.02891382765531062</x:v>
      </x:c>
      <x:c r="K157" s="30" t="str">
        <x:f>'Raw Results'!BN40</x:f>
        <x:v>49</x:v>
      </x:c>
      <x:c r="L157" s="30" t="str">
        <x:f>'Raw Results'!BO40</x:f>
        <x:v>49</x:v>
      </x:c>
      <x:c r="M157" s="33" t="str">
        <x:f>'Raw Results'!BP40</x:f>
        <x:v>17.94523339997977</x:v>
      </x:c>
      <x:c r="N157" s="30" t="n">
        <x:f>IF('Raw Results'!BQ40="True",1,0)</x:f>
        <x:v>1</x:v>
      </x:c>
      <x:c r="O157" s="30" t="str">
        <x:f>'Raw Results'!BR40</x:f>
        <x:v>52</x:v>
      </x:c>
      <x:c r="P157" s="30" t="str">
        <x:f>'Raw Results'!BS40</x:f>
        <x:v>52</x:v>
      </x:c>
      <x:c r="Q157" s="33" t="str">
        <x:f>'Raw Results'!BT40</x:f>
        <x:v>17.354400799958967</x:v>
      </x:c>
      <x:c r="R157" s="30" t="n">
        <x:f>IF('Raw Results'!BU40="True",1,0)</x:f>
        <x:v>1</x:v>
      </x:c>
      <x:c r="S157" s="30" t="n">
        <x:f>N157*R157</x:f>
        <x:v>1</x:v>
      </x:c>
      <x:c r="T157" s="30" t="n">
        <x:f>P157-L157</x:f>
        <x:v>3</x:v>
      </x:c>
      <x:c r="U157" s="30" t="n">
        <x:f>O157-K157</x:f>
        <x:v>3</x:v>
      </x:c>
      <x:c r="V157" s="34" t="n">
        <x:f>Q157-M157</x:f>
        <x:v>-0.5908326000208035</x:v>
      </x:c>
      <x:c r="W157" s="35" t="n">
        <x:f>IF(L157=0,"",P157/L157)</x:f>
        <x:v>1.0612244897959184</x:v>
      </x:c>
      <x:c r="X157" s="30" t="n">
        <x:f>K157-L157</x:f>
        <x:v>0</x:v>
      </x:c>
      <x:c r="Y157" s="30" t="n">
        <x:f>O157-P157</x:f>
        <x:v>0</x:v>
      </x:c>
      <x:c r="Z157" s="29" t="str">
        <x:f>IF(S157=0,"Excluded",IF(T157&lt;0,"Collision",IF(T157&gt;0,"Entropy","Tie")))</x:f>
        <x:v>Entropy</x:v>
      </x:c>
      <x:c r="AA157" s="29" t="str">
        <x:f>IF(V157&lt;0,"Collision",IF(V157&gt;0,"Entropy","Tie"))</x:f>
        <x:v>Collision</x:v>
      </x:c>
      <x:c r="AB157" s="29" t="str">
        <x:f>'Raw Results'!CE40</x:f>
        <x:v>none</x:v>
      </x:c>
    </x:row>
    <x:row r="158">
      <x:c r="A158" s="29" t="str">
        <x:v>Grid</x:v>
      </x:c>
      <x:c r="B158" s="30" t="str">
        <x:f>'Raw Results'!A41</x:f>
        <x:v>500</x:v>
      </x:c>
      <x:c r="C158" s="31" t="str">
        <x:f>'Raw Results'!B41</x:f>
        <x:v>0.3</x:v>
      </x:c>
      <x:c r="D158" s="30" t="str">
        <x:f>'Raw Results'!C41</x:f>
        <x:v>1</x:v>
      </x:c>
      <x:c r="E158" s="30" t="str">
        <x:f>'Raw Results'!D41</x:f>
        <x:v>824905171</x:v>
      </x:c>
      <x:c r="F158" s="30" t="str">
        <x:f>'Raw Results'!E41</x:f>
        <x:v>27162</x:v>
      </x:c>
      <x:c r="G158" s="30" t="str">
        <x:f>'Raw Results'!F41</x:f>
        <x:v>1</x:v>
      </x:c>
      <x:c r="H158" s="30" t="str">
        <x:f>'Raw Results'!G41</x:f>
        <x:v>500</x:v>
      </x:c>
      <x:c r="I158" s="32" t="str">
        <x:f>'Raw Results'!H41</x:f>
        <x:v>108.648</x:v>
      </x:c>
      <x:c r="J158" s="33" t="str">
        <x:f>'Raw Results'!I41</x:f>
        <x:v>0.21773146292585172</x:v>
      </x:c>
      <x:c r="K158" s="30" t="str">
        <x:f>'Raw Results'!L41</x:f>
        <x:v>440</x:v>
      </x:c>
      <x:c r="L158" s="30" t="str">
        <x:f>'Raw Results'!M41</x:f>
        <x:v>58</x:v>
      </x:c>
      <x:c r="M158" s="33" t="str">
        <x:f>'Raw Results'!N41</x:f>
        <x:v>1.5176848000846803</x:v>
      </x:c>
      <x:c r="N158" s="30" t="n">
        <x:f>IF('Raw Results'!O41="True",1,0)</x:f>
        <x:v>1</x:v>
      </x:c>
      <x:c r="O158" s="30" t="str">
        <x:f>'Raw Results'!P41</x:f>
        <x:v>137</x:v>
      </x:c>
      <x:c r="P158" s="30" t="str">
        <x:f>'Raw Results'!Q41</x:f>
        <x:v>56</x:v>
      </x:c>
      <x:c r="Q158" s="33" t="str">
        <x:f>'Raw Results'!R41</x:f>
        <x:v>1.0043868999928236</x:v>
      </x:c>
      <x:c r="R158" s="30" t="n">
        <x:f>IF('Raw Results'!S41="True",1,0)</x:f>
        <x:v>1</x:v>
      </x:c>
      <x:c r="S158" s="30" t="n">
        <x:f>N158*R158</x:f>
        <x:v>1</x:v>
      </x:c>
      <x:c r="T158" s="30" t="n">
        <x:f>P158-L158</x:f>
        <x:v>-2</x:v>
      </x:c>
      <x:c r="U158" s="30" t="n">
        <x:f>O158-K158</x:f>
        <x:v>-303</x:v>
      </x:c>
      <x:c r="V158" s="34" t="n">
        <x:f>Q158-M158</x:f>
        <x:v>-0.5132979000918567</x:v>
      </x:c>
      <x:c r="W158" s="35" t="n">
        <x:f>IF(L158=0,"",P158/L158)</x:f>
        <x:v>0.9655172413793104</x:v>
      </x:c>
      <x:c r="X158" s="30" t="n">
        <x:f>K158-L158</x:f>
        <x:v>382</x:v>
      </x:c>
      <x:c r="Y158" s="30" t="n">
        <x:f>O158-P158</x:f>
        <x:v>81</x:v>
      </x:c>
      <x:c r="Z158" s="29" t="str">
        <x:f>IF(S158=0,"Excluded",IF(T158&lt;0,"Collision",IF(T158&gt;0,"Entropy","Tie")))</x:f>
        <x:v>Collision</x:v>
      </x:c>
      <x:c r="AA158" s="29" t="str">
        <x:f>IF(V158&lt;0,"Collision",IF(V158&gt;0,"Entropy","Tie"))</x:f>
        <x:v>Collision</x:v>
      </x:c>
      <x:c r="AB158" s="29" t="str">
        <x:f>'Raw Results'!AC41</x:f>
        <x:v>none</x:v>
      </x:c>
    </x:row>
    <x:row r="159">
      <x:c r="A159" s="29" t="str">
        <x:v>Circle</x:v>
      </x:c>
      <x:c r="B159" s="30" t="str">
        <x:f>'Raw Results'!A41</x:f>
        <x:v>500</x:v>
      </x:c>
      <x:c r="C159" s="31" t="str">
        <x:f>'Raw Results'!B41</x:f>
        <x:v>0.3</x:v>
      </x:c>
      <x:c r="D159" s="30" t="str">
        <x:f>'Raw Results'!C41</x:f>
        <x:v>1</x:v>
      </x:c>
      <x:c r="E159" s="30" t="str">
        <x:f>'Raw Results'!D41</x:f>
        <x:v>824905171</x:v>
      </x:c>
      <x:c r="F159" s="30" t="str">
        <x:f>'Raw Results'!E41</x:f>
        <x:v>27162</x:v>
      </x:c>
      <x:c r="G159" s="30" t="str">
        <x:f>'Raw Results'!F41</x:f>
        <x:v>1</x:v>
      </x:c>
      <x:c r="H159" s="30" t="str">
        <x:f>'Raw Results'!G41</x:f>
        <x:v>500</x:v>
      </x:c>
      <x:c r="I159" s="32" t="str">
        <x:f>'Raw Results'!H41</x:f>
        <x:v>108.648</x:v>
      </x:c>
      <x:c r="J159" s="33" t="str">
        <x:f>'Raw Results'!I41</x:f>
        <x:v>0.21773146292585172</x:v>
      </x:c>
      <x:c r="K159" s="30" t="str">
        <x:f>'Raw Results'!AD41</x:f>
        <x:v>445</x:v>
      </x:c>
      <x:c r="L159" s="30" t="str">
        <x:f>'Raw Results'!AE41</x:f>
        <x:v>62</x:v>
      </x:c>
      <x:c r="M159" s="33" t="str">
        <x:f>'Raw Results'!AF41</x:f>
        <x:v>0.8682428000029176</x:v>
      </x:c>
      <x:c r="N159" s="30" t="n">
        <x:f>IF('Raw Results'!AG41="True",1,0)</x:f>
        <x:v>1</x:v>
      </x:c>
      <x:c r="O159" s="30" t="str">
        <x:f>'Raw Results'!AH41</x:f>
        <x:v>394</x:v>
      </x:c>
      <x:c r="P159" s="30" t="str">
        <x:f>'Raw Results'!AI41</x:f>
        <x:v>57</x:v>
      </x:c>
      <x:c r="Q159" s="33" t="str">
        <x:f>'Raw Results'!AJ41</x:f>
        <x:v>0.7981987000675872</x:v>
      </x:c>
      <x:c r="R159" s="30" t="n">
        <x:f>IF('Raw Results'!AK41="True",1,0)</x:f>
        <x:v>1</x:v>
      </x:c>
      <x:c r="S159" s="30" t="n">
        <x:f>N159*R159</x:f>
        <x:v>1</x:v>
      </x:c>
      <x:c r="T159" s="30" t="n">
        <x:f>P159-L159</x:f>
        <x:v>-5</x:v>
      </x:c>
      <x:c r="U159" s="30" t="n">
        <x:f>O159-K159</x:f>
        <x:v>-51</x:v>
      </x:c>
      <x:c r="V159" s="34" t="n">
        <x:f>Q159-M159</x:f>
        <x:v>-0.07004409993533045</x:v>
      </x:c>
      <x:c r="W159" s="35" t="n">
        <x:f>IF(L159=0,"",P159/L159)</x:f>
        <x:v>0.9193548387096774</x:v>
      </x:c>
      <x:c r="X159" s="30" t="n">
        <x:f>K159-L159</x:f>
        <x:v>383</x:v>
      </x:c>
      <x:c r="Y159" s="30" t="n">
        <x:f>O159-P159</x:f>
        <x:v>337</x:v>
      </x:c>
      <x:c r="Z159" s="29" t="str">
        <x:f>IF(S159=0,"Excluded",IF(T159&lt;0,"Collision",IF(T159&gt;0,"Entropy","Tie")))</x:f>
        <x:v>Collision</x:v>
      </x:c>
      <x:c r="AA159" s="29" t="str">
        <x:f>IF(V159&lt;0,"Collision",IF(V159&gt;0,"Entropy","Tie"))</x:f>
        <x:v>Collision</x:v>
      </x:c>
      <x:c r="AB159" s="29" t="str">
        <x:f>'Raw Results'!AU41</x:f>
        <x:v>none</x:v>
      </x:c>
    </x:row>
    <x:row r="160">
      <x:c r="A160" s="29" t="str">
        <x:v>Zoomed Square</x:v>
      </x:c>
      <x:c r="B160" s="30" t="str">
        <x:f>'Raw Results'!A41</x:f>
        <x:v>500</x:v>
      </x:c>
      <x:c r="C160" s="31" t="str">
        <x:f>'Raw Results'!B41</x:f>
        <x:v>0.3</x:v>
      </x:c>
      <x:c r="D160" s="30" t="str">
        <x:f>'Raw Results'!C41</x:f>
        <x:v>1</x:v>
      </x:c>
      <x:c r="E160" s="30" t="str">
        <x:f>'Raw Results'!D41</x:f>
        <x:v>824905171</x:v>
      </x:c>
      <x:c r="F160" s="30" t="str">
        <x:f>'Raw Results'!E41</x:f>
        <x:v>27162</x:v>
      </x:c>
      <x:c r="G160" s="30" t="str">
        <x:f>'Raw Results'!F41</x:f>
        <x:v>1</x:v>
      </x:c>
      <x:c r="H160" s="30" t="str">
        <x:f>'Raw Results'!G41</x:f>
        <x:v>500</x:v>
      </x:c>
      <x:c r="I160" s="32" t="str">
        <x:f>'Raw Results'!H41</x:f>
        <x:v>108.648</x:v>
      </x:c>
      <x:c r="J160" s="33" t="str">
        <x:f>'Raw Results'!I41</x:f>
        <x:v>0.21773146292585172</x:v>
      </x:c>
      <x:c r="K160" s="30" t="str">
        <x:f>'Raw Results'!AV41</x:f>
        <x:v>447</x:v>
      </x:c>
      <x:c r="L160" s="30" t="str">
        <x:f>'Raw Results'!AW41</x:f>
        <x:v>63</x:v>
      </x:c>
      <x:c r="M160" s="33" t="str">
        <x:f>'Raw Results'!AX41</x:f>
        <x:v>1.2662631999701262</x:v>
      </x:c>
      <x:c r="N160" s="30" t="n">
        <x:f>IF('Raw Results'!AY41="True",1,0)</x:f>
        <x:v>1</x:v>
      </x:c>
      <x:c r="O160" s="30" t="str">
        <x:f>'Raw Results'!AZ41</x:f>
        <x:v>185</x:v>
      </x:c>
      <x:c r="P160" s="30" t="str">
        <x:f>'Raw Results'!BA41</x:f>
        <x:v>57</x:v>
      </x:c>
      <x:c r="Q160" s="33" t="str">
        <x:f>'Raw Results'!BB41</x:f>
        <x:v>0.9088147999718785</x:v>
      </x:c>
      <x:c r="R160" s="30" t="n">
        <x:f>IF('Raw Results'!BC41="True",1,0)</x:f>
        <x:v>1</x:v>
      </x:c>
      <x:c r="S160" s="30" t="n">
        <x:f>N160*R160</x:f>
        <x:v>1</x:v>
      </x:c>
      <x:c r="T160" s="30" t="n">
        <x:f>P160-L160</x:f>
        <x:v>-6</x:v>
      </x:c>
      <x:c r="U160" s="30" t="n">
        <x:f>O160-K160</x:f>
        <x:v>-262</x:v>
      </x:c>
      <x:c r="V160" s="34" t="n">
        <x:f>Q160-M160</x:f>
        <x:v>-0.3574483999982476</x:v>
      </x:c>
      <x:c r="W160" s="35" t="n">
        <x:f>IF(L160=0,"",P160/L160)</x:f>
        <x:v>0.9047619047619048</x:v>
      </x:c>
      <x:c r="X160" s="30" t="n">
        <x:f>K160-L160</x:f>
        <x:v>384</x:v>
      </x:c>
      <x:c r="Y160" s="30" t="n">
        <x:f>O160-P160</x:f>
        <x:v>128</x:v>
      </x:c>
      <x:c r="Z160" s="29" t="str">
        <x:f>IF(S160=0,"Excluded",IF(T160&lt;0,"Collision",IF(T160&gt;0,"Entropy","Tie")))</x:f>
        <x:v>Collision</x:v>
      </x:c>
      <x:c r="AA160" s="29" t="str">
        <x:f>IF(V160&lt;0,"Collision",IF(V160&gt;0,"Entropy","Tie"))</x:f>
        <x:v>Collision</x:v>
      </x:c>
      <x:c r="AB160" s="29" t="str">
        <x:f>'Raw Results'!BM41</x:f>
        <x:v>none</x:v>
      </x:c>
    </x:row>
    <x:row r="161">
      <x:c r="A161" s="29" t="str">
        <x:v>ICH</x:v>
      </x:c>
      <x:c r="B161" s="30" t="str">
        <x:f>'Raw Results'!A41</x:f>
        <x:v>500</x:v>
      </x:c>
      <x:c r="C161" s="31" t="str">
        <x:f>'Raw Results'!B41</x:f>
        <x:v>0.3</x:v>
      </x:c>
      <x:c r="D161" s="30" t="str">
        <x:f>'Raw Results'!C41</x:f>
        <x:v>1</x:v>
      </x:c>
      <x:c r="E161" s="30" t="str">
        <x:f>'Raw Results'!D41</x:f>
        <x:v>824905171</x:v>
      </x:c>
      <x:c r="F161" s="30" t="str">
        <x:f>'Raw Results'!E41</x:f>
        <x:v>27162</x:v>
      </x:c>
      <x:c r="G161" s="30" t="str">
        <x:f>'Raw Results'!F41</x:f>
        <x:v>1</x:v>
      </x:c>
      <x:c r="H161" s="30" t="str">
        <x:f>'Raw Results'!G41</x:f>
        <x:v>500</x:v>
      </x:c>
      <x:c r="I161" s="32" t="str">
        <x:f>'Raw Results'!H41</x:f>
        <x:v>108.648</x:v>
      </x:c>
      <x:c r="J161" s="33" t="str">
        <x:f>'Raw Results'!I41</x:f>
        <x:v>0.21773146292585172</x:v>
      </x:c>
      <x:c r="K161" s="30" t="str">
        <x:f>'Raw Results'!BN41</x:f>
        <x:v>57</x:v>
      </x:c>
      <x:c r="L161" s="30" t="str">
        <x:f>'Raw Results'!BO41</x:f>
        <x:v>57</x:v>
      </x:c>
      <x:c r="M161" s="33" t="str">
        <x:f>'Raw Results'!BP41</x:f>
        <x:v>17.91342400002759</x:v>
      </x:c>
      <x:c r="N161" s="30" t="n">
        <x:f>IF('Raw Results'!BQ41="True",1,0)</x:f>
        <x:v>1</x:v>
      </x:c>
      <x:c r="O161" s="30" t="str">
        <x:f>'Raw Results'!BR41</x:f>
        <x:v>55</x:v>
      </x:c>
      <x:c r="P161" s="30" t="str">
        <x:f>'Raw Results'!BS41</x:f>
        <x:v>55</x:v>
      </x:c>
      <x:c r="Q161" s="33" t="str">
        <x:f>'Raw Results'!BT41</x:f>
        <x:v>17.898463499965146</x:v>
      </x:c>
      <x:c r="R161" s="30" t="n">
        <x:f>IF('Raw Results'!BU41="True",1,0)</x:f>
        <x:v>1</x:v>
      </x:c>
      <x:c r="S161" s="30" t="n">
        <x:f>N161*R161</x:f>
        <x:v>1</x:v>
      </x:c>
      <x:c r="T161" s="30" t="n">
        <x:f>P161-L161</x:f>
        <x:v>-2</x:v>
      </x:c>
      <x:c r="U161" s="30" t="n">
        <x:f>O161-K161</x:f>
        <x:v>-2</x:v>
      </x:c>
      <x:c r="V161" s="34" t="n">
        <x:f>Q161-M161</x:f>
        <x:v>-0.014960500062443316</x:v>
      </x:c>
      <x:c r="W161" s="35" t="n">
        <x:f>IF(L161=0,"",P161/L161)</x:f>
        <x:v>0.9649122807017544</x:v>
      </x:c>
      <x:c r="X161" s="30" t="n">
        <x:f>K161-L161</x:f>
        <x:v>0</x:v>
      </x:c>
      <x:c r="Y161" s="30" t="n">
        <x:f>O161-P161</x:f>
        <x:v>0</x:v>
      </x:c>
      <x:c r="Z161" s="29" t="str">
        <x:f>IF(S161=0,"Excluded",IF(T161&lt;0,"Collision",IF(T161&gt;0,"Entropy","Tie")))</x:f>
        <x:v>Collision</x:v>
      </x:c>
      <x:c r="AA161" s="29" t="str">
        <x:f>IF(V161&lt;0,"Collision",IF(V161&gt;0,"Entropy","Tie"))</x:f>
        <x:v>Collision</x:v>
      </x:c>
      <x:c r="AB161" s="29" t="str">
        <x:f>'Raw Results'!CE41</x:f>
        <x:v>none</x:v>
      </x:c>
    </x:row>
    <x:row r="162">
      <x:c r="A162" s="29" t="str">
        <x:v>Grid</x:v>
      </x:c>
      <x:c r="B162" s="30" t="str">
        <x:f>'Raw Results'!A42</x:f>
        <x:v>500</x:v>
      </x:c>
      <x:c r="C162" s="31" t="str">
        <x:f>'Raw Results'!B42</x:f>
        <x:v>0.3</x:v>
      </x:c>
      <x:c r="D162" s="30" t="str">
        <x:f>'Raw Results'!C42</x:f>
        <x:v>2</x:v>
      </x:c>
      <x:c r="E162" s="30" t="str">
        <x:f>'Raw Results'!D42</x:f>
        <x:v>3448118686</x:v>
      </x:c>
      <x:c r="F162" s="30" t="str">
        <x:f>'Raw Results'!E42</x:f>
        <x:v>27695</x:v>
      </x:c>
      <x:c r="G162" s="30" t="str">
        <x:f>'Raw Results'!F42</x:f>
        <x:v>1</x:v>
      </x:c>
      <x:c r="H162" s="30" t="str">
        <x:f>'Raw Results'!G42</x:f>
        <x:v>500</x:v>
      </x:c>
      <x:c r="I162" s="32" t="str">
        <x:f>'Raw Results'!H42</x:f>
        <x:v>110.78</x:v>
      </x:c>
      <x:c r="J162" s="33" t="str">
        <x:f>'Raw Results'!I42</x:f>
        <x:v>0.22200400801603207</x:v>
      </x:c>
      <x:c r="K162" s="30" t="str">
        <x:f>'Raw Results'!L42</x:f>
        <x:v>429</x:v>
      </x:c>
      <x:c r="L162" s="30" t="str">
        <x:f>'Raw Results'!M42</x:f>
        <x:v>55</x:v>
      </x:c>
      <x:c r="M162" s="33" t="str">
        <x:f>'Raw Results'!N42</x:f>
        <x:v>1.5560884999576956</x:v>
      </x:c>
      <x:c r="N162" s="30" t="n">
        <x:f>IF('Raw Results'!O42="True",1,0)</x:f>
        <x:v>1</x:v>
      </x:c>
      <x:c r="O162" s="30" t="str">
        <x:f>'Raw Results'!P42</x:f>
        <x:v>135</x:v>
      </x:c>
      <x:c r="P162" s="30" t="str">
        <x:f>'Raw Results'!Q42</x:f>
        <x:v>59</x:v>
      </x:c>
      <x:c r="Q162" s="33" t="str">
        <x:f>'Raw Results'!R42</x:f>
        <x:v>1.0083998000482097</x:v>
      </x:c>
      <x:c r="R162" s="30" t="n">
        <x:f>IF('Raw Results'!S42="True",1,0)</x:f>
        <x:v>1</x:v>
      </x:c>
      <x:c r="S162" s="30" t="n">
        <x:f>N162*R162</x:f>
        <x:v>1</x:v>
      </x:c>
      <x:c r="T162" s="30" t="n">
        <x:f>P162-L162</x:f>
        <x:v>4</x:v>
      </x:c>
      <x:c r="U162" s="30" t="n">
        <x:f>O162-K162</x:f>
        <x:v>-294</x:v>
      </x:c>
      <x:c r="V162" s="34" t="n">
        <x:f>Q162-M162</x:f>
        <x:v>-0.5476886999094859</x:v>
      </x:c>
      <x:c r="W162" s="35" t="n">
        <x:f>IF(L162=0,"",P162/L162)</x:f>
        <x:v>1.0727272727272728</x:v>
      </x:c>
      <x:c r="X162" s="30" t="n">
        <x:f>K162-L162</x:f>
        <x:v>374</x:v>
      </x:c>
      <x:c r="Y162" s="30" t="n">
        <x:f>O162-P162</x:f>
        <x:v>76</x:v>
      </x:c>
      <x:c r="Z162" s="29" t="str">
        <x:f>IF(S162=0,"Excluded",IF(T162&lt;0,"Collision",IF(T162&gt;0,"Entropy","Tie")))</x:f>
        <x:v>Entropy</x:v>
      </x:c>
      <x:c r="AA162" s="29" t="str">
        <x:f>IF(V162&lt;0,"Collision",IF(V162&gt;0,"Entropy","Tie"))</x:f>
        <x:v>Collision</x:v>
      </x:c>
      <x:c r="AB162" s="29" t="str">
        <x:f>'Raw Results'!AC42</x:f>
        <x:v>none</x:v>
      </x:c>
    </x:row>
    <x:row r="163">
      <x:c r="A163" s="29" t="str">
        <x:v>Circle</x:v>
      </x:c>
      <x:c r="B163" s="30" t="str">
        <x:f>'Raw Results'!A42</x:f>
        <x:v>500</x:v>
      </x:c>
      <x:c r="C163" s="31" t="str">
        <x:f>'Raw Results'!B42</x:f>
        <x:v>0.3</x:v>
      </x:c>
      <x:c r="D163" s="30" t="str">
        <x:f>'Raw Results'!C42</x:f>
        <x:v>2</x:v>
      </x:c>
      <x:c r="E163" s="30" t="str">
        <x:f>'Raw Results'!D42</x:f>
        <x:v>3448118686</x:v>
      </x:c>
      <x:c r="F163" s="30" t="str">
        <x:f>'Raw Results'!E42</x:f>
        <x:v>27695</x:v>
      </x:c>
      <x:c r="G163" s="30" t="str">
        <x:f>'Raw Results'!F42</x:f>
        <x:v>1</x:v>
      </x:c>
      <x:c r="H163" s="30" t="str">
        <x:f>'Raw Results'!G42</x:f>
        <x:v>500</x:v>
      </x:c>
      <x:c r="I163" s="32" t="str">
        <x:f>'Raw Results'!H42</x:f>
        <x:v>110.78</x:v>
      </x:c>
      <x:c r="J163" s="33" t="str">
        <x:f>'Raw Results'!I42</x:f>
        <x:v>0.22200400801603207</x:v>
      </x:c>
      <x:c r="K163" s="30" t="str">
        <x:f>'Raw Results'!AD42</x:f>
        <x:v>433</x:v>
      </x:c>
      <x:c r="L163" s="30" t="str">
        <x:f>'Raw Results'!AE42</x:f>
        <x:v>62</x:v>
      </x:c>
      <x:c r="M163" s="33" t="str">
        <x:f>'Raw Results'!AF42</x:f>
        <x:v>0.9691353000234812</x:v>
      </x:c>
      <x:c r="N163" s="30" t="n">
        <x:f>IF('Raw Results'!AG42="True",1,0)</x:f>
        <x:v>1</x:v>
      </x:c>
      <x:c r="O163" s="30" t="str">
        <x:f>'Raw Results'!AH42</x:f>
        <x:v>400</x:v>
      </x:c>
      <x:c r="P163" s="30" t="str">
        <x:f>'Raw Results'!AI42</x:f>
        <x:v>63</x:v>
      </x:c>
      <x:c r="Q163" s="33" t="str">
        <x:f>'Raw Results'!AJ42</x:f>
        <x:v>0.9943806999363005</x:v>
      </x:c>
      <x:c r="R163" s="30" t="n">
        <x:f>IF('Raw Results'!AK42="True",1,0)</x:f>
        <x:v>1</x:v>
      </x:c>
      <x:c r="S163" s="30" t="n">
        <x:f>N163*R163</x:f>
        <x:v>1</x:v>
      </x:c>
      <x:c r="T163" s="30" t="n">
        <x:f>P163-L163</x:f>
        <x:v>1</x:v>
      </x:c>
      <x:c r="U163" s="30" t="n">
        <x:f>O163-K163</x:f>
        <x:v>-33</x:v>
      </x:c>
      <x:c r="V163" s="34" t="n">
        <x:f>Q163-M163</x:f>
        <x:v>0.025245399912819266</x:v>
      </x:c>
      <x:c r="W163" s="35" t="n">
        <x:f>IF(L163=0,"",P163/L163)</x:f>
        <x:v>1.0161290322580645</x:v>
      </x:c>
      <x:c r="X163" s="30" t="n">
        <x:f>K163-L163</x:f>
        <x:v>371</x:v>
      </x:c>
      <x:c r="Y163" s="30" t="n">
        <x:f>O163-P163</x:f>
        <x:v>337</x:v>
      </x:c>
      <x:c r="Z163" s="29" t="str">
        <x:f>IF(S163=0,"Excluded",IF(T163&lt;0,"Collision",IF(T163&gt;0,"Entropy","Tie")))</x:f>
        <x:v>Entropy</x:v>
      </x:c>
      <x:c r="AA163" s="29" t="str">
        <x:f>IF(V163&lt;0,"Collision",IF(V163&gt;0,"Entropy","Tie"))</x:f>
        <x:v>Entropy</x:v>
      </x:c>
      <x:c r="AB163" s="29" t="str">
        <x:f>'Raw Results'!AU42</x:f>
        <x:v>none</x:v>
      </x:c>
    </x:row>
    <x:row r="164">
      <x:c r="A164" s="29" t="str">
        <x:v>Zoomed Square</x:v>
      </x:c>
      <x:c r="B164" s="30" t="str">
        <x:f>'Raw Results'!A42</x:f>
        <x:v>500</x:v>
      </x:c>
      <x:c r="C164" s="31" t="str">
        <x:f>'Raw Results'!B42</x:f>
        <x:v>0.3</x:v>
      </x:c>
      <x:c r="D164" s="30" t="str">
        <x:f>'Raw Results'!C42</x:f>
        <x:v>2</x:v>
      </x:c>
      <x:c r="E164" s="30" t="str">
        <x:f>'Raw Results'!D42</x:f>
        <x:v>3448118686</x:v>
      </x:c>
      <x:c r="F164" s="30" t="str">
        <x:f>'Raw Results'!E42</x:f>
        <x:v>27695</x:v>
      </x:c>
      <x:c r="G164" s="30" t="str">
        <x:f>'Raw Results'!F42</x:f>
        <x:v>1</x:v>
      </x:c>
      <x:c r="H164" s="30" t="str">
        <x:f>'Raw Results'!G42</x:f>
        <x:v>500</x:v>
      </x:c>
      <x:c r="I164" s="32" t="str">
        <x:f>'Raw Results'!H42</x:f>
        <x:v>110.78</x:v>
      </x:c>
      <x:c r="J164" s="33" t="str">
        <x:f>'Raw Results'!I42</x:f>
        <x:v>0.22200400801603207</x:v>
      </x:c>
      <x:c r="K164" s="30" t="str">
        <x:f>'Raw Results'!AV42</x:f>
        <x:v>398</x:v>
      </x:c>
      <x:c r="L164" s="30" t="str">
        <x:f>'Raw Results'!AW42</x:f>
        <x:v>57</x:v>
      </x:c>
      <x:c r="M164" s="33" t="str">
        <x:f>'Raw Results'!AX42</x:f>
        <x:v>1.3931240000529215</x:v>
      </x:c>
      <x:c r="N164" s="30" t="n">
        <x:f>IF('Raw Results'!AY42="True",1,0)</x:f>
        <x:v>1</x:v>
      </x:c>
      <x:c r="O164" s="30" t="str">
        <x:f>'Raw Results'!AZ42</x:f>
        <x:v>247</x:v>
      </x:c>
      <x:c r="P164" s="30" t="str">
        <x:f>'Raw Results'!BA42</x:f>
        <x:v>61</x:v>
      </x:c>
      <x:c r="Q164" s="33" t="str">
        <x:f>'Raw Results'!BB42</x:f>
        <x:v>1.119773600017652</x:v>
      </x:c>
      <x:c r="R164" s="30" t="n">
        <x:f>IF('Raw Results'!BC42="True",1,0)</x:f>
        <x:v>1</x:v>
      </x:c>
      <x:c r="S164" s="30" t="n">
        <x:f>N164*R164</x:f>
        <x:v>1</x:v>
      </x:c>
      <x:c r="T164" s="30" t="n">
        <x:f>P164-L164</x:f>
        <x:v>4</x:v>
      </x:c>
      <x:c r="U164" s="30" t="n">
        <x:f>O164-K164</x:f>
        <x:v>-151</x:v>
      </x:c>
      <x:c r="V164" s="34" t="n">
        <x:f>Q164-M164</x:f>
        <x:v>-0.27335040003526956</x:v>
      </x:c>
      <x:c r="W164" s="35" t="n">
        <x:f>IF(L164=0,"",P164/L164)</x:f>
        <x:v>1.0701754385964912</x:v>
      </x:c>
      <x:c r="X164" s="30" t="n">
        <x:f>K164-L164</x:f>
        <x:v>341</x:v>
      </x:c>
      <x:c r="Y164" s="30" t="n">
        <x:f>O164-P164</x:f>
        <x:v>186</x:v>
      </x:c>
      <x:c r="Z164" s="29" t="str">
        <x:f>IF(S164=0,"Excluded",IF(T164&lt;0,"Collision",IF(T164&gt;0,"Entropy","Tie")))</x:f>
        <x:v>Entropy</x:v>
      </x:c>
      <x:c r="AA164" s="29" t="str">
        <x:f>IF(V164&lt;0,"Collision",IF(V164&gt;0,"Entropy","Tie"))</x:f>
        <x:v>Collision</x:v>
      </x:c>
      <x:c r="AB164" s="29" t="str">
        <x:f>'Raw Results'!BM42</x:f>
        <x:v>none</x:v>
      </x:c>
    </x:row>
    <x:row r="165">
      <x:c r="A165" s="29" t="str">
        <x:v>ICH</x:v>
      </x:c>
      <x:c r="B165" s="30" t="str">
        <x:f>'Raw Results'!A42</x:f>
        <x:v>500</x:v>
      </x:c>
      <x:c r="C165" s="31" t="str">
        <x:f>'Raw Results'!B42</x:f>
        <x:v>0.3</x:v>
      </x:c>
      <x:c r="D165" s="30" t="str">
        <x:f>'Raw Results'!C42</x:f>
        <x:v>2</x:v>
      </x:c>
      <x:c r="E165" s="30" t="str">
        <x:f>'Raw Results'!D42</x:f>
        <x:v>3448118686</x:v>
      </x:c>
      <x:c r="F165" s="30" t="str">
        <x:f>'Raw Results'!E42</x:f>
        <x:v>27695</x:v>
      </x:c>
      <x:c r="G165" s="30" t="str">
        <x:f>'Raw Results'!F42</x:f>
        <x:v>1</x:v>
      </x:c>
      <x:c r="H165" s="30" t="str">
        <x:f>'Raw Results'!G42</x:f>
        <x:v>500</x:v>
      </x:c>
      <x:c r="I165" s="32" t="str">
        <x:f>'Raw Results'!H42</x:f>
        <x:v>110.78</x:v>
      </x:c>
      <x:c r="J165" s="33" t="str">
        <x:f>'Raw Results'!I42</x:f>
        <x:v>0.22200400801603207</x:v>
      </x:c>
      <x:c r="K165" s="30" t="str">
        <x:f>'Raw Results'!BN42</x:f>
        <x:v>54</x:v>
      </x:c>
      <x:c r="L165" s="30" t="str">
        <x:f>'Raw Results'!BO42</x:f>
        <x:v>54</x:v>
      </x:c>
      <x:c r="M165" s="33" t="str">
        <x:f>'Raw Results'!BP42</x:f>
        <x:v>17.740393999964</x:v>
      </x:c>
      <x:c r="N165" s="30" t="n">
        <x:f>IF('Raw Results'!BQ42="True",1,0)</x:f>
        <x:v>1</x:v>
      </x:c>
      <x:c r="O165" s="30" t="str">
        <x:f>'Raw Results'!BR42</x:f>
        <x:v>57</x:v>
      </x:c>
      <x:c r="P165" s="30" t="str">
        <x:f>'Raw Results'!BS42</x:f>
        <x:v>57</x:v>
      </x:c>
      <x:c r="Q165" s="33" t="str">
        <x:f>'Raw Results'!BT42</x:f>
        <x:v>17.101608800003305</x:v>
      </x:c>
      <x:c r="R165" s="30" t="n">
        <x:f>IF('Raw Results'!BU42="True",1,0)</x:f>
        <x:v>1</x:v>
      </x:c>
      <x:c r="S165" s="30" t="n">
        <x:f>N165*R165</x:f>
        <x:v>1</x:v>
      </x:c>
      <x:c r="T165" s="30" t="n">
        <x:f>P165-L165</x:f>
        <x:v>3</x:v>
      </x:c>
      <x:c r="U165" s="30" t="n">
        <x:f>O165-K165</x:f>
        <x:v>3</x:v>
      </x:c>
      <x:c r="V165" s="34" t="n">
        <x:f>Q165-M165</x:f>
        <x:v>-0.6387851999606937</x:v>
      </x:c>
      <x:c r="W165" s="35" t="n">
        <x:f>IF(L165=0,"",P165/L165)</x:f>
        <x:v>1.0555555555555556</x:v>
      </x:c>
      <x:c r="X165" s="30" t="n">
        <x:f>K165-L165</x:f>
        <x:v>0</x:v>
      </x:c>
      <x:c r="Y165" s="30" t="n">
        <x:f>O165-P165</x:f>
        <x:v>0</x:v>
      </x:c>
      <x:c r="Z165" s="29" t="str">
        <x:f>IF(S165=0,"Excluded",IF(T165&lt;0,"Collision",IF(T165&gt;0,"Entropy","Tie")))</x:f>
        <x:v>Entropy</x:v>
      </x:c>
      <x:c r="AA165" s="29" t="str">
        <x:f>IF(V165&lt;0,"Collision",IF(V165&gt;0,"Entropy","Tie"))</x:f>
        <x:v>Collision</x:v>
      </x:c>
      <x:c r="AB165" s="29" t="str">
        <x:f>'Raw Results'!CE42</x:f>
        <x:v>none</x:v>
      </x:c>
    </x:row>
    <x:row r="166">
      <x:c r="A166" s="29" t="str">
        <x:v>Grid</x:v>
      </x:c>
      <x:c r="B166" s="30" t="str">
        <x:f>'Raw Results'!A43</x:f>
        <x:v>500</x:v>
      </x:c>
      <x:c r="C166" s="31" t="str">
        <x:f>'Raw Results'!B43</x:f>
        <x:v>0.3</x:v>
      </x:c>
      <x:c r="D166" s="30" t="str">
        <x:f>'Raw Results'!C43</x:f>
        <x:v>3</x:v>
      </x:c>
      <x:c r="E166" s="30" t="str">
        <x:f>'Raw Results'!D43</x:f>
        <x:v>2826867522</x:v>
      </x:c>
      <x:c r="F166" s="30" t="str">
        <x:f>'Raw Results'!E43</x:f>
        <x:v>27885</x:v>
      </x:c>
      <x:c r="G166" s="30" t="str">
        <x:f>'Raw Results'!F43</x:f>
        <x:v>1</x:v>
      </x:c>
      <x:c r="H166" s="30" t="str">
        <x:f>'Raw Results'!G43</x:f>
        <x:v>500</x:v>
      </x:c>
      <x:c r="I166" s="32" t="str">
        <x:f>'Raw Results'!H43</x:f>
        <x:v>111.54</x:v>
      </x:c>
      <x:c r="J166" s="33" t="str">
        <x:f>'Raw Results'!I43</x:f>
        <x:v>0.22352705410821644</x:v>
      </x:c>
      <x:c r="K166" s="30" t="str">
        <x:f>'Raw Results'!L43</x:f>
        <x:v>393</x:v>
      </x:c>
      <x:c r="L166" s="30" t="str">
        <x:f>'Raw Results'!M43</x:f>
        <x:v>65</x:v>
      </x:c>
      <x:c r="M166" s="33" t="str">
        <x:f>'Raw Results'!N43</x:f>
        <x:v>1.690092399949208</x:v>
      </x:c>
      <x:c r="N166" s="30" t="n">
        <x:f>IF('Raw Results'!O43="True",1,0)</x:f>
        <x:v>1</x:v>
      </x:c>
      <x:c r="O166" s="30" t="str">
        <x:f>'Raw Results'!P43</x:f>
        <x:v>132</x:v>
      </x:c>
      <x:c r="P166" s="30" t="str">
        <x:f>'Raw Results'!Q43</x:f>
        <x:v>67</x:v>
      </x:c>
      <x:c r="Q166" s="33" t="str">
        <x:f>'Raw Results'!R43</x:f>
        <x:v>1.2463138999883085</x:v>
      </x:c>
      <x:c r="R166" s="30" t="n">
        <x:f>IF('Raw Results'!S43="True",1,0)</x:f>
        <x:v>1</x:v>
      </x:c>
      <x:c r="S166" s="30" t="n">
        <x:f>N166*R166</x:f>
        <x:v>1</x:v>
      </x:c>
      <x:c r="T166" s="30" t="n">
        <x:f>P166-L166</x:f>
        <x:v>2</x:v>
      </x:c>
      <x:c r="U166" s="30" t="n">
        <x:f>O166-K166</x:f>
        <x:v>-261</x:v>
      </x:c>
      <x:c r="V166" s="34" t="n">
        <x:f>Q166-M166</x:f>
        <x:v>-0.44377849996089935</x:v>
      </x:c>
      <x:c r="W166" s="35" t="n">
        <x:f>IF(L166=0,"",P166/L166)</x:f>
        <x:v>1.0307692307692307</x:v>
      </x:c>
      <x:c r="X166" s="30" t="n">
        <x:f>K166-L166</x:f>
        <x:v>328</x:v>
      </x:c>
      <x:c r="Y166" s="30" t="n">
        <x:f>O166-P166</x:f>
        <x:v>65</x:v>
      </x:c>
      <x:c r="Z166" s="29" t="str">
        <x:f>IF(S166=0,"Excluded",IF(T166&lt;0,"Collision",IF(T166&gt;0,"Entropy","Tie")))</x:f>
        <x:v>Entropy</x:v>
      </x:c>
      <x:c r="AA166" s="29" t="str">
        <x:f>IF(V166&lt;0,"Collision",IF(V166&gt;0,"Entropy","Tie"))</x:f>
        <x:v>Collision</x:v>
      </x:c>
      <x:c r="AB166" s="29" t="str">
        <x:f>'Raw Results'!AC43</x:f>
        <x:v>none</x:v>
      </x:c>
    </x:row>
    <x:row r="167">
      <x:c r="A167" s="29" t="str">
        <x:v>Circle</x:v>
      </x:c>
      <x:c r="B167" s="30" t="str">
        <x:f>'Raw Results'!A43</x:f>
        <x:v>500</x:v>
      </x:c>
      <x:c r="C167" s="31" t="str">
        <x:f>'Raw Results'!B43</x:f>
        <x:v>0.3</x:v>
      </x:c>
      <x:c r="D167" s="30" t="str">
        <x:f>'Raw Results'!C43</x:f>
        <x:v>3</x:v>
      </x:c>
      <x:c r="E167" s="30" t="str">
        <x:f>'Raw Results'!D43</x:f>
        <x:v>2826867522</x:v>
      </x:c>
      <x:c r="F167" s="30" t="str">
        <x:f>'Raw Results'!E43</x:f>
        <x:v>27885</x:v>
      </x:c>
      <x:c r="G167" s="30" t="str">
        <x:f>'Raw Results'!F43</x:f>
        <x:v>1</x:v>
      </x:c>
      <x:c r="H167" s="30" t="str">
        <x:f>'Raw Results'!G43</x:f>
        <x:v>500</x:v>
      </x:c>
      <x:c r="I167" s="32" t="str">
        <x:f>'Raw Results'!H43</x:f>
        <x:v>111.54</x:v>
      </x:c>
      <x:c r="J167" s="33" t="str">
        <x:f>'Raw Results'!I43</x:f>
        <x:v>0.22352705410821644</x:v>
      </x:c>
      <x:c r="K167" s="30" t="str">
        <x:f>'Raw Results'!AD43</x:f>
        <x:v>448</x:v>
      </x:c>
      <x:c r="L167" s="30" t="str">
        <x:f>'Raw Results'!AE43</x:f>
        <x:v>69</x:v>
      </x:c>
      <x:c r="M167" s="33" t="str">
        <x:f>'Raw Results'!AF43</x:f>
        <x:v>1.1643258000258356</x:v>
      </x:c>
      <x:c r="N167" s="30" t="n">
        <x:f>IF('Raw Results'!AG43="True",1,0)</x:f>
        <x:v>1</x:v>
      </x:c>
      <x:c r="O167" s="30" t="str">
        <x:f>'Raw Results'!AH43</x:f>
        <x:v>431</x:v>
      </x:c>
      <x:c r="P167" s="30" t="str">
        <x:f>'Raw Results'!AI43</x:f>
        <x:v>72</x:v>
      </x:c>
      <x:c r="Q167" s="33" t="str">
        <x:f>'Raw Results'!AJ43</x:f>
        <x:v>1.2643369999714196</x:v>
      </x:c>
      <x:c r="R167" s="30" t="n">
        <x:f>IF('Raw Results'!AK43="True",1,0)</x:f>
        <x:v>1</x:v>
      </x:c>
      <x:c r="S167" s="30" t="n">
        <x:f>N167*R167</x:f>
        <x:v>1</x:v>
      </x:c>
      <x:c r="T167" s="30" t="n">
        <x:f>P167-L167</x:f>
        <x:v>3</x:v>
      </x:c>
      <x:c r="U167" s="30" t="n">
        <x:f>O167-K167</x:f>
        <x:v>-17</x:v>
      </x:c>
      <x:c r="V167" s="34" t="n">
        <x:f>Q167-M167</x:f>
        <x:v>0.10001119994558394</x:v>
      </x:c>
      <x:c r="W167" s="35" t="n">
        <x:f>IF(L167=0,"",P167/L167)</x:f>
        <x:v>1.0434782608695652</x:v>
      </x:c>
      <x:c r="X167" s="30" t="n">
        <x:f>K167-L167</x:f>
        <x:v>379</x:v>
      </x:c>
      <x:c r="Y167" s="30" t="n">
        <x:f>O167-P167</x:f>
        <x:v>359</x:v>
      </x:c>
      <x:c r="Z167" s="29" t="str">
        <x:f>IF(S167=0,"Excluded",IF(T167&lt;0,"Collision",IF(T167&gt;0,"Entropy","Tie")))</x:f>
        <x:v>Entropy</x:v>
      </x:c>
      <x:c r="AA167" s="29" t="str">
        <x:f>IF(V167&lt;0,"Collision",IF(V167&gt;0,"Entropy","Tie"))</x:f>
        <x:v>Entropy</x:v>
      </x:c>
      <x:c r="AB167" s="29" t="str">
        <x:f>'Raw Results'!AU43</x:f>
        <x:v>none</x:v>
      </x:c>
    </x:row>
    <x:row r="168">
      <x:c r="A168" s="29" t="str">
        <x:v>Zoomed Square</x:v>
      </x:c>
      <x:c r="B168" s="30" t="str">
        <x:f>'Raw Results'!A43</x:f>
        <x:v>500</x:v>
      </x:c>
      <x:c r="C168" s="31" t="str">
        <x:f>'Raw Results'!B43</x:f>
        <x:v>0.3</x:v>
      </x:c>
      <x:c r="D168" s="30" t="str">
        <x:f>'Raw Results'!C43</x:f>
        <x:v>3</x:v>
      </x:c>
      <x:c r="E168" s="30" t="str">
        <x:f>'Raw Results'!D43</x:f>
        <x:v>2826867522</x:v>
      </x:c>
      <x:c r="F168" s="30" t="str">
        <x:f>'Raw Results'!E43</x:f>
        <x:v>27885</x:v>
      </x:c>
      <x:c r="G168" s="30" t="str">
        <x:f>'Raw Results'!F43</x:f>
        <x:v>1</x:v>
      </x:c>
      <x:c r="H168" s="30" t="str">
        <x:f>'Raw Results'!G43</x:f>
        <x:v>500</x:v>
      </x:c>
      <x:c r="I168" s="32" t="str">
        <x:f>'Raw Results'!H43</x:f>
        <x:v>111.54</x:v>
      </x:c>
      <x:c r="J168" s="33" t="str">
        <x:f>'Raw Results'!I43</x:f>
        <x:v>0.22352705410821644</x:v>
      </x:c>
      <x:c r="K168" s="30" t="str">
        <x:f>'Raw Results'!AV43</x:f>
        <x:v>406</x:v>
      </x:c>
      <x:c r="L168" s="30" t="str">
        <x:f>'Raw Results'!AW43</x:f>
        <x:v>67</x:v>
      </x:c>
      <x:c r="M168" s="33" t="str">
        <x:f>'Raw Results'!AX43</x:f>
        <x:v>1.2304163000080734</x:v>
      </x:c>
      <x:c r="N168" s="30" t="n">
        <x:f>IF('Raw Results'!AY43="True",1,0)</x:f>
        <x:v>1</x:v>
      </x:c>
      <x:c r="O168" s="30" t="str">
        <x:f>'Raw Results'!AZ43</x:f>
        <x:v>244</x:v>
      </x:c>
      <x:c r="P168" s="30" t="str">
        <x:f>'Raw Results'!BA43</x:f>
        <x:v>66</x:v>
      </x:c>
      <x:c r="Q168" s="33" t="str">
        <x:f>'Raw Results'!BB43</x:f>
        <x:v>0.9657645000843331</x:v>
      </x:c>
      <x:c r="R168" s="30" t="n">
        <x:f>IF('Raw Results'!BC43="True",1,0)</x:f>
        <x:v>1</x:v>
      </x:c>
      <x:c r="S168" s="30" t="n">
        <x:f>N168*R168</x:f>
        <x:v>1</x:v>
      </x:c>
      <x:c r="T168" s="30" t="n">
        <x:f>P168-L168</x:f>
        <x:v>-1</x:v>
      </x:c>
      <x:c r="U168" s="30" t="n">
        <x:f>O168-K168</x:f>
        <x:v>-162</x:v>
      </x:c>
      <x:c r="V168" s="34" t="n">
        <x:f>Q168-M168</x:f>
        <x:v>-0.2646517999237403</x:v>
      </x:c>
      <x:c r="W168" s="35" t="n">
        <x:f>IF(L168=0,"",P168/L168)</x:f>
        <x:v>0.9850746268656716</x:v>
      </x:c>
      <x:c r="X168" s="30" t="n">
        <x:f>K168-L168</x:f>
        <x:v>339</x:v>
      </x:c>
      <x:c r="Y168" s="30" t="n">
        <x:f>O168-P168</x:f>
        <x:v>178</x:v>
      </x:c>
      <x:c r="Z168" s="29" t="str">
        <x:f>IF(S168=0,"Excluded",IF(T168&lt;0,"Collision",IF(T168&gt;0,"Entropy","Tie")))</x:f>
        <x:v>Collision</x:v>
      </x:c>
      <x:c r="AA168" s="29" t="str">
        <x:f>IF(V168&lt;0,"Collision",IF(V168&gt;0,"Entropy","Tie"))</x:f>
        <x:v>Collision</x:v>
      </x:c>
      <x:c r="AB168" s="29" t="str">
        <x:f>'Raw Results'!BM43</x:f>
        <x:v>none</x:v>
      </x:c>
    </x:row>
    <x:row r="169">
      <x:c r="A169" s="29" t="str">
        <x:v>ICH</x:v>
      </x:c>
      <x:c r="B169" s="30" t="str">
        <x:f>'Raw Results'!A43</x:f>
        <x:v>500</x:v>
      </x:c>
      <x:c r="C169" s="31" t="str">
        <x:f>'Raw Results'!B43</x:f>
        <x:v>0.3</x:v>
      </x:c>
      <x:c r="D169" s="30" t="str">
        <x:f>'Raw Results'!C43</x:f>
        <x:v>3</x:v>
      </x:c>
      <x:c r="E169" s="30" t="str">
        <x:f>'Raw Results'!D43</x:f>
        <x:v>2826867522</x:v>
      </x:c>
      <x:c r="F169" s="30" t="str">
        <x:f>'Raw Results'!E43</x:f>
        <x:v>27885</x:v>
      </x:c>
      <x:c r="G169" s="30" t="str">
        <x:f>'Raw Results'!F43</x:f>
        <x:v>1</x:v>
      </x:c>
      <x:c r="H169" s="30" t="str">
        <x:f>'Raw Results'!G43</x:f>
        <x:v>500</x:v>
      </x:c>
      <x:c r="I169" s="32" t="str">
        <x:f>'Raw Results'!H43</x:f>
        <x:v>111.54</x:v>
      </x:c>
      <x:c r="J169" s="33" t="str">
        <x:f>'Raw Results'!I43</x:f>
        <x:v>0.22352705410821644</x:v>
      </x:c>
      <x:c r="K169" s="30" t="str">
        <x:f>'Raw Results'!BN43</x:f>
        <x:v>62</x:v>
      </x:c>
      <x:c r="L169" s="30" t="str">
        <x:f>'Raw Results'!BO43</x:f>
        <x:v>62</x:v>
      </x:c>
      <x:c r="M169" s="33" t="str">
        <x:f>'Raw Results'!BP43</x:f>
        <x:v>18.49954559991602</x:v>
      </x:c>
      <x:c r="N169" s="30" t="n">
        <x:f>IF('Raw Results'!BQ43="True",1,0)</x:f>
        <x:v>1</x:v>
      </x:c>
      <x:c r="O169" s="30" t="str">
        <x:f>'Raw Results'!BR43</x:f>
        <x:v>60</x:v>
      </x:c>
      <x:c r="P169" s="30" t="str">
        <x:f>'Raw Results'!BS43</x:f>
        <x:v>60</x:v>
      </x:c>
      <x:c r="Q169" s="33" t="str">
        <x:f>'Raw Results'!BT43</x:f>
        <x:v>19.96732149994932</x:v>
      </x:c>
      <x:c r="R169" s="30" t="n">
        <x:f>IF('Raw Results'!BU43="True",1,0)</x:f>
        <x:v>1</x:v>
      </x:c>
      <x:c r="S169" s="30" t="n">
        <x:f>N169*R169</x:f>
        <x:v>1</x:v>
      </x:c>
      <x:c r="T169" s="30" t="n">
        <x:f>P169-L169</x:f>
        <x:v>-2</x:v>
      </x:c>
      <x:c r="U169" s="30" t="n">
        <x:f>O169-K169</x:f>
        <x:v>-2</x:v>
      </x:c>
      <x:c r="V169" s="34" t="n">
        <x:f>Q169-M169</x:f>
        <x:v>1.4677759000333026</x:v>
      </x:c>
      <x:c r="W169" s="35" t="n">
        <x:f>IF(L169=0,"",P169/L169)</x:f>
        <x:v>0.967741935483871</x:v>
      </x:c>
      <x:c r="X169" s="30" t="n">
        <x:f>K169-L169</x:f>
        <x:v>0</x:v>
      </x:c>
      <x:c r="Y169" s="30" t="n">
        <x:f>O169-P169</x:f>
        <x:v>0</x:v>
      </x:c>
      <x:c r="Z169" s="29" t="str">
        <x:f>IF(S169=0,"Excluded",IF(T169&lt;0,"Collision",IF(T169&gt;0,"Entropy","Tie")))</x:f>
        <x:v>Collision</x:v>
      </x:c>
      <x:c r="AA169" s="29" t="str">
        <x:f>IF(V169&lt;0,"Collision",IF(V169&gt;0,"Entropy","Tie"))</x:f>
        <x:v>Entropy</x:v>
      </x:c>
      <x:c r="AB169" s="29" t="str">
        <x:f>'Raw Results'!CE43</x:f>
        <x:v>none</x:v>
      </x:c>
    </x:row>
    <x:row r="170">
      <x:c r="A170" s="29" t="str">
        <x:v>Grid</x:v>
      </x:c>
      <x:c r="B170" s="30" t="str">
        <x:f>'Raw Results'!A44</x:f>
        <x:v>500</x:v>
      </x:c>
      <x:c r="C170" s="31" t="str">
        <x:f>'Raw Results'!B44</x:f>
        <x:v>0.5</x:v>
      </x:c>
      <x:c r="D170" s="30" t="str">
        <x:f>'Raw Results'!C44</x:f>
        <x:v>1</x:v>
      </x:c>
      <x:c r="E170" s="30" t="str">
        <x:f>'Raw Results'!D44</x:f>
        <x:v>1879133715</x:v>
      </x:c>
      <x:c r="F170" s="30" t="str">
        <x:f>'Raw Results'!E44</x:f>
        <x:v>59689</x:v>
      </x:c>
      <x:c r="G170" s="30" t="str">
        <x:f>'Raw Results'!F44</x:f>
        <x:v>1</x:v>
      </x:c>
      <x:c r="H170" s="30" t="str">
        <x:f>'Raw Results'!G44</x:f>
        <x:v>500</x:v>
      </x:c>
      <x:c r="I170" s="32" t="str">
        <x:f>'Raw Results'!H44</x:f>
        <x:v>238.756</x:v>
      </x:c>
      <x:c r="J170" s="33" t="str">
        <x:f>'Raw Results'!I44</x:f>
        <x:v>0.4784689378757515</x:v>
      </x:c>
      <x:c r="K170" s="30" t="str">
        <x:f>'Raw Results'!L44</x:f>
        <x:v>414</x:v>
      </x:c>
      <x:c r="L170" s="30" t="str">
        <x:f>'Raw Results'!M44</x:f>
        <x:v>91</x:v>
      </x:c>
      <x:c r="M170" s="33" t="str">
        <x:f>'Raw Results'!N44</x:f>
        <x:v>15.650507100042887</x:v>
      </x:c>
      <x:c r="N170" s="30" t="n">
        <x:f>IF('Raw Results'!O44="True",1,0)</x:f>
        <x:v>1</x:v>
      </x:c>
      <x:c r="O170" s="30" t="str">
        <x:f>'Raw Results'!P44</x:f>
        <x:v>78</x:v>
      </x:c>
      <x:c r="P170" s="30" t="str">
        <x:f>'Raw Results'!Q44</x:f>
        <x:v>74</x:v>
      </x:c>
      <x:c r="Q170" s="33" t="str">
        <x:f>'Raw Results'!R44</x:f>
        <x:v>7.586325900047086</x:v>
      </x:c>
      <x:c r="R170" s="30" t="n">
        <x:f>IF('Raw Results'!S44="True",1,0)</x:f>
        <x:v>1</x:v>
      </x:c>
      <x:c r="S170" s="30" t="n">
        <x:f>N170*R170</x:f>
        <x:v>1</x:v>
      </x:c>
      <x:c r="T170" s="30" t="n">
        <x:f>P170-L170</x:f>
        <x:v>-17</x:v>
      </x:c>
      <x:c r="U170" s="30" t="n">
        <x:f>O170-K170</x:f>
        <x:v>-336</x:v>
      </x:c>
      <x:c r="V170" s="34" t="n">
        <x:f>Q170-M170</x:f>
        <x:v>-8.0641811999958</x:v>
      </x:c>
      <x:c r="W170" s="35" t="n">
        <x:f>IF(L170=0,"",P170/L170)</x:f>
        <x:v>0.8131868131868132</x:v>
      </x:c>
      <x:c r="X170" s="30" t="n">
        <x:f>K170-L170</x:f>
        <x:v>323</x:v>
      </x:c>
      <x:c r="Y170" s="30" t="n">
        <x:f>O170-P170</x:f>
        <x:v>4</x:v>
      </x:c>
      <x:c r="Z170" s="29" t="str">
        <x:f>IF(S170=0,"Excluded",IF(T170&lt;0,"Collision",IF(T170&gt;0,"Entropy","Tie")))</x:f>
        <x:v>Collision</x:v>
      </x:c>
      <x:c r="AA170" s="29" t="str">
        <x:f>IF(V170&lt;0,"Collision",IF(V170&gt;0,"Entropy","Tie"))</x:f>
        <x:v>Collision</x:v>
      </x:c>
      <x:c r="AB170" s="29" t="str">
        <x:f>'Raw Results'!AC44</x:f>
        <x:v>none</x:v>
      </x:c>
    </x:row>
    <x:row r="171">
      <x:c r="A171" s="29" t="str">
        <x:v>Circle</x:v>
      </x:c>
      <x:c r="B171" s="30" t="str">
        <x:f>'Raw Results'!A44</x:f>
        <x:v>500</x:v>
      </x:c>
      <x:c r="C171" s="31" t="str">
        <x:f>'Raw Results'!B44</x:f>
        <x:v>0.5</x:v>
      </x:c>
      <x:c r="D171" s="30" t="str">
        <x:f>'Raw Results'!C44</x:f>
        <x:v>1</x:v>
      </x:c>
      <x:c r="E171" s="30" t="str">
        <x:f>'Raw Results'!D44</x:f>
        <x:v>1879133715</x:v>
      </x:c>
      <x:c r="F171" s="30" t="str">
        <x:f>'Raw Results'!E44</x:f>
        <x:v>59689</x:v>
      </x:c>
      <x:c r="G171" s="30" t="str">
        <x:f>'Raw Results'!F44</x:f>
        <x:v>1</x:v>
      </x:c>
      <x:c r="H171" s="30" t="str">
        <x:f>'Raw Results'!G44</x:f>
        <x:v>500</x:v>
      </x:c>
      <x:c r="I171" s="32" t="str">
        <x:f>'Raw Results'!H44</x:f>
        <x:v>238.756</x:v>
      </x:c>
      <x:c r="J171" s="33" t="str">
        <x:f>'Raw Results'!I44</x:f>
        <x:v>0.4784689378757515</x:v>
      </x:c>
      <x:c r="K171" s="30" t="str">
        <x:f>'Raw Results'!AD44</x:f>
        <x:v>456</x:v>
      </x:c>
      <x:c r="L171" s="30" t="str">
        <x:f>'Raw Results'!AE44</x:f>
        <x:v>90</x:v>
      </x:c>
      <x:c r="M171" s="33" t="str">
        <x:f>'Raw Results'!AF44</x:f>
        <x:v>4.161137500079349</x:v>
      </x:c>
      <x:c r="N171" s="30" t="n">
        <x:f>IF('Raw Results'!AG44="True",1,0)</x:f>
        <x:v>1</x:v>
      </x:c>
      <x:c r="O171" s="30" t="str">
        <x:f>'Raw Results'!AH44</x:f>
        <x:v>451</x:v>
      </x:c>
      <x:c r="P171" s="30" t="str">
        <x:f>'Raw Results'!AI44</x:f>
        <x:v>91</x:v>
      </x:c>
      <x:c r="Q171" s="33" t="str">
        <x:f>'Raw Results'!AJ44</x:f>
        <x:v>3.8854411999927834</x:v>
      </x:c>
      <x:c r="R171" s="30" t="n">
        <x:f>IF('Raw Results'!AK44="True",1,0)</x:f>
        <x:v>1</x:v>
      </x:c>
      <x:c r="S171" s="30" t="n">
        <x:f>N171*R171</x:f>
        <x:v>1</x:v>
      </x:c>
      <x:c r="T171" s="30" t="n">
        <x:f>P171-L171</x:f>
        <x:v>1</x:v>
      </x:c>
      <x:c r="U171" s="30" t="n">
        <x:f>O171-K171</x:f>
        <x:v>-5</x:v>
      </x:c>
      <x:c r="V171" s="34" t="n">
        <x:f>Q171-M171</x:f>
        <x:v>-0.2756963000865653</x:v>
      </x:c>
      <x:c r="W171" s="35" t="n">
        <x:f>IF(L171=0,"",P171/L171)</x:f>
        <x:v>1.011111111111111</x:v>
      </x:c>
      <x:c r="X171" s="30" t="n">
        <x:f>K171-L171</x:f>
        <x:v>366</x:v>
      </x:c>
      <x:c r="Y171" s="30" t="n">
        <x:f>O171-P171</x:f>
        <x:v>360</x:v>
      </x:c>
      <x:c r="Z171" s="29" t="str">
        <x:f>IF(S171=0,"Excluded",IF(T171&lt;0,"Collision",IF(T171&gt;0,"Entropy","Tie")))</x:f>
        <x:v>Entropy</x:v>
      </x:c>
      <x:c r="AA171" s="29" t="str">
        <x:f>IF(V171&lt;0,"Collision",IF(V171&gt;0,"Entropy","Tie"))</x:f>
        <x:v>Collision</x:v>
      </x:c>
      <x:c r="AB171" s="29" t="str">
        <x:f>'Raw Results'!AU44</x:f>
        <x:v>none</x:v>
      </x:c>
    </x:row>
    <x:row r="172">
      <x:c r="A172" s="29" t="str">
        <x:v>Zoomed Square</x:v>
      </x:c>
      <x:c r="B172" s="30" t="str">
        <x:f>'Raw Results'!A44</x:f>
        <x:v>500</x:v>
      </x:c>
      <x:c r="C172" s="31" t="str">
        <x:f>'Raw Results'!B44</x:f>
        <x:v>0.5</x:v>
      </x:c>
      <x:c r="D172" s="30" t="str">
        <x:f>'Raw Results'!C44</x:f>
        <x:v>1</x:v>
      </x:c>
      <x:c r="E172" s="30" t="str">
        <x:f>'Raw Results'!D44</x:f>
        <x:v>1879133715</x:v>
      </x:c>
      <x:c r="F172" s="30" t="str">
        <x:f>'Raw Results'!E44</x:f>
        <x:v>59689</x:v>
      </x:c>
      <x:c r="G172" s="30" t="str">
        <x:f>'Raw Results'!F44</x:f>
        <x:v>1</x:v>
      </x:c>
      <x:c r="H172" s="30" t="str">
        <x:f>'Raw Results'!G44</x:f>
        <x:v>500</x:v>
      </x:c>
      <x:c r="I172" s="32" t="str">
        <x:f>'Raw Results'!H44</x:f>
        <x:v>238.756</x:v>
      </x:c>
      <x:c r="J172" s="33" t="str">
        <x:f>'Raw Results'!I44</x:f>
        <x:v>0.4784689378757515</x:v>
      </x:c>
      <x:c r="K172" s="30" t="str">
        <x:f>'Raw Results'!AV44</x:f>
        <x:v>384</x:v>
      </x:c>
      <x:c r="L172" s="30" t="str">
        <x:f>'Raw Results'!AW44</x:f>
        <x:v>86</x:v>
      </x:c>
      <x:c r="M172" s="33" t="str">
        <x:f>'Raw Results'!AX44</x:f>
        <x:v>5.665584099944681</x:v>
      </x:c>
      <x:c r="N172" s="30" t="n">
        <x:f>IF('Raw Results'!AY44="True",1,0)</x:f>
        <x:v>1</x:v>
      </x:c>
      <x:c r="O172" s="30" t="str">
        <x:f>'Raw Results'!AZ44</x:f>
        <x:v>177</x:v>
      </x:c>
      <x:c r="P172" s="30" t="str">
        <x:f>'Raw Results'!BA44</x:f>
        <x:v>86</x:v>
      </x:c>
      <x:c r="Q172" s="33" t="str">
        <x:f>'Raw Results'!BB44</x:f>
        <x:v>3.919064400019124</x:v>
      </x:c>
      <x:c r="R172" s="30" t="n">
        <x:f>IF('Raw Results'!BC44="True",1,0)</x:f>
        <x:v>1</x:v>
      </x:c>
      <x:c r="S172" s="30" t="n">
        <x:f>N172*R172</x:f>
        <x:v>1</x:v>
      </x:c>
      <x:c r="T172" s="30" t="n">
        <x:f>P172-L172</x:f>
        <x:v>0</x:v>
      </x:c>
      <x:c r="U172" s="30" t="n">
        <x:f>O172-K172</x:f>
        <x:v>-207</x:v>
      </x:c>
      <x:c r="V172" s="34" t="n">
        <x:f>Q172-M172</x:f>
        <x:v>-1.7465196999255568</x:v>
      </x:c>
      <x:c r="W172" s="35" t="n">
        <x:f>IF(L172=0,"",P172/L172)</x:f>
        <x:v>1</x:v>
      </x:c>
      <x:c r="X172" s="30" t="n">
        <x:f>K172-L172</x:f>
        <x:v>298</x:v>
      </x:c>
      <x:c r="Y172" s="30" t="n">
        <x:f>O172-P172</x:f>
        <x:v>91</x:v>
      </x:c>
      <x:c r="Z172" s="29" t="str">
        <x:f>IF(S172=0,"Excluded",IF(T172&lt;0,"Collision",IF(T172&gt;0,"Entropy","Tie")))</x:f>
        <x:v>Tie</x:v>
      </x:c>
      <x:c r="AA172" s="29" t="str">
        <x:f>IF(V172&lt;0,"Collision",IF(V172&gt;0,"Entropy","Tie"))</x:f>
        <x:v>Collision</x:v>
      </x:c>
      <x:c r="AB172" s="29" t="str">
        <x:f>'Raw Results'!BM44</x:f>
        <x:v>none</x:v>
      </x:c>
    </x:row>
    <x:row r="173">
      <x:c r="A173" s="29" t="str">
        <x:v>ICH</x:v>
      </x:c>
      <x:c r="B173" s="30" t="str">
        <x:f>'Raw Results'!A44</x:f>
        <x:v>500</x:v>
      </x:c>
      <x:c r="C173" s="31" t="str">
        <x:f>'Raw Results'!B44</x:f>
        <x:v>0.5</x:v>
      </x:c>
      <x:c r="D173" s="30" t="str">
        <x:f>'Raw Results'!C44</x:f>
        <x:v>1</x:v>
      </x:c>
      <x:c r="E173" s="30" t="str">
        <x:f>'Raw Results'!D44</x:f>
        <x:v>1879133715</x:v>
      </x:c>
      <x:c r="F173" s="30" t="str">
        <x:f>'Raw Results'!E44</x:f>
        <x:v>59689</x:v>
      </x:c>
      <x:c r="G173" s="30" t="str">
        <x:f>'Raw Results'!F44</x:f>
        <x:v>1</x:v>
      </x:c>
      <x:c r="H173" s="30" t="str">
        <x:f>'Raw Results'!G44</x:f>
        <x:v>500</x:v>
      </x:c>
      <x:c r="I173" s="32" t="str">
        <x:f>'Raw Results'!H44</x:f>
        <x:v>238.756</x:v>
      </x:c>
      <x:c r="J173" s="33" t="str">
        <x:f>'Raw Results'!I44</x:f>
        <x:v>0.4784689378757515</x:v>
      </x:c>
      <x:c r="K173" s="30" t="str">
        <x:f>'Raw Results'!BN44</x:f>
        <x:v>79</x:v>
      </x:c>
      <x:c r="L173" s="30" t="str">
        <x:f>'Raw Results'!BO44</x:f>
        <x:v>79</x:v>
      </x:c>
      <x:c r="M173" s="33" t="str">
        <x:f>'Raw Results'!BP44</x:f>
        <x:v>20.44820390001405</x:v>
      </x:c>
      <x:c r="N173" s="30" t="n">
        <x:f>IF('Raw Results'!BQ44="True",1,0)</x:f>
        <x:v>1</x:v>
      </x:c>
      <x:c r="O173" s="30" t="str">
        <x:f>'Raw Results'!BR44</x:f>
        <x:v>79</x:v>
      </x:c>
      <x:c r="P173" s="30" t="str">
        <x:f>'Raw Results'!BS44</x:f>
        <x:v>79</x:v>
      </x:c>
      <x:c r="Q173" s="33" t="str">
        <x:f>'Raw Results'!BT44</x:f>
        <x:v>20.28609549999237</x:v>
      </x:c>
      <x:c r="R173" s="30" t="n">
        <x:f>IF('Raw Results'!BU44="True",1,0)</x:f>
        <x:v>1</x:v>
      </x:c>
      <x:c r="S173" s="30" t="n">
        <x:f>N173*R173</x:f>
        <x:v>1</x:v>
      </x:c>
      <x:c r="T173" s="30" t="n">
        <x:f>P173-L173</x:f>
        <x:v>0</x:v>
      </x:c>
      <x:c r="U173" s="30" t="n">
        <x:f>O173-K173</x:f>
        <x:v>0</x:v>
      </x:c>
      <x:c r="V173" s="34" t="n">
        <x:f>Q173-M173</x:f>
        <x:v>-0.1621084000216797</x:v>
      </x:c>
      <x:c r="W173" s="35" t="n">
        <x:f>IF(L173=0,"",P173/L173)</x:f>
        <x:v>1</x:v>
      </x:c>
      <x:c r="X173" s="30" t="n">
        <x:f>K173-L173</x:f>
        <x:v>0</x:v>
      </x:c>
      <x:c r="Y173" s="30" t="n">
        <x:f>O173-P173</x:f>
        <x:v>0</x:v>
      </x:c>
      <x:c r="Z173" s="29" t="str">
        <x:f>IF(S173=0,"Excluded",IF(T173&lt;0,"Collision",IF(T173&gt;0,"Entropy","Tie")))</x:f>
        <x:v>Tie</x:v>
      </x:c>
      <x:c r="AA173" s="29" t="str">
        <x:f>IF(V173&lt;0,"Collision",IF(V173&gt;0,"Entropy","Tie"))</x:f>
        <x:v>Collision</x:v>
      </x:c>
      <x:c r="AB173" s="29" t="str">
        <x:f>'Raw Results'!CE44</x:f>
        <x:v>none</x:v>
      </x:c>
    </x:row>
    <x:row r="174">
      <x:c r="A174" s="29" t="str">
        <x:v>Grid</x:v>
      </x:c>
      <x:c r="B174" s="30" t="str">
        <x:f>'Raw Results'!A45</x:f>
        <x:v>500</x:v>
      </x:c>
      <x:c r="C174" s="31" t="str">
        <x:f>'Raw Results'!B45</x:f>
        <x:v>0.5</x:v>
      </x:c>
      <x:c r="D174" s="30" t="str">
        <x:f>'Raw Results'!C45</x:f>
        <x:v>2</x:v>
      </x:c>
      <x:c r="E174" s="30" t="str">
        <x:f>'Raw Results'!D45</x:f>
        <x:v>1473547513</x:v>
      </x:c>
      <x:c r="F174" s="30" t="str">
        <x:f>'Raw Results'!E45</x:f>
        <x:v>60769</x:v>
      </x:c>
      <x:c r="G174" s="30" t="str">
        <x:f>'Raw Results'!F45</x:f>
        <x:v>1</x:v>
      </x:c>
      <x:c r="H174" s="30" t="str">
        <x:f>'Raw Results'!G45</x:f>
        <x:v>500</x:v>
      </x:c>
      <x:c r="I174" s="32" t="str">
        <x:f>'Raw Results'!H45</x:f>
        <x:v>243.076</x:v>
      </x:c>
      <x:c r="J174" s="33" t="str">
        <x:f>'Raw Results'!I45</x:f>
        <x:v>0.48712625250501</x:v>
      </x:c>
      <x:c r="K174" s="30" t="str">
        <x:f>'Raw Results'!L45</x:f>
        <x:v>436</x:v>
      </x:c>
      <x:c r="L174" s="30" t="str">
        <x:f>'Raw Results'!M45</x:f>
        <x:v>87</x:v>
      </x:c>
      <x:c r="M174" s="33" t="str">
        <x:f>'Raw Results'!N45</x:f>
        <x:v>15.976107000024058</x:v>
      </x:c>
      <x:c r="N174" s="30" t="n">
        <x:f>IF('Raw Results'!O45="True",1,0)</x:f>
        <x:v>1</x:v>
      </x:c>
      <x:c r="O174" s="30" t="str">
        <x:f>'Raw Results'!P45</x:f>
        <x:v>74</x:v>
      </x:c>
      <x:c r="P174" s="30" t="str">
        <x:f>'Raw Results'!Q45</x:f>
        <x:v>72</x:v>
      </x:c>
      <x:c r="Q174" s="33" t="str">
        <x:f>'Raw Results'!R45</x:f>
        <x:v>7.767146800062619</x:v>
      </x:c>
      <x:c r="R174" s="30" t="n">
        <x:f>IF('Raw Results'!S45="True",1,0)</x:f>
        <x:v>1</x:v>
      </x:c>
      <x:c r="S174" s="30" t="n">
        <x:f>N174*R174</x:f>
        <x:v>1</x:v>
      </x:c>
      <x:c r="T174" s="30" t="n">
        <x:f>P174-L174</x:f>
        <x:v>-15</x:v>
      </x:c>
      <x:c r="U174" s="30" t="n">
        <x:f>O174-K174</x:f>
        <x:v>-362</x:v>
      </x:c>
      <x:c r="V174" s="34" t="n">
        <x:f>Q174-M174</x:f>
        <x:v>-8.208960199961439</x:v>
      </x:c>
      <x:c r="W174" s="35" t="n">
        <x:f>IF(L174=0,"",P174/L174)</x:f>
        <x:v>0.8275862068965517</x:v>
      </x:c>
      <x:c r="X174" s="30" t="n">
        <x:f>K174-L174</x:f>
        <x:v>349</x:v>
      </x:c>
      <x:c r="Y174" s="30" t="n">
        <x:f>O174-P174</x:f>
        <x:v>2</x:v>
      </x:c>
      <x:c r="Z174" s="29" t="str">
        <x:f>IF(S174=0,"Excluded",IF(T174&lt;0,"Collision",IF(T174&gt;0,"Entropy","Tie")))</x:f>
        <x:v>Collision</x:v>
      </x:c>
      <x:c r="AA174" s="29" t="str">
        <x:f>IF(V174&lt;0,"Collision",IF(V174&gt;0,"Entropy","Tie"))</x:f>
        <x:v>Collision</x:v>
      </x:c>
      <x:c r="AB174" s="29" t="str">
        <x:f>'Raw Results'!AC45</x:f>
        <x:v>none</x:v>
      </x:c>
    </x:row>
    <x:row r="175">
      <x:c r="A175" s="29" t="str">
        <x:v>Circle</x:v>
      </x:c>
      <x:c r="B175" s="30" t="str">
        <x:f>'Raw Results'!A45</x:f>
        <x:v>500</x:v>
      </x:c>
      <x:c r="C175" s="31" t="str">
        <x:f>'Raw Results'!B45</x:f>
        <x:v>0.5</x:v>
      </x:c>
      <x:c r="D175" s="30" t="str">
        <x:f>'Raw Results'!C45</x:f>
        <x:v>2</x:v>
      </x:c>
      <x:c r="E175" s="30" t="str">
        <x:f>'Raw Results'!D45</x:f>
        <x:v>1473547513</x:v>
      </x:c>
      <x:c r="F175" s="30" t="str">
        <x:f>'Raw Results'!E45</x:f>
        <x:v>60769</x:v>
      </x:c>
      <x:c r="G175" s="30" t="str">
        <x:f>'Raw Results'!F45</x:f>
        <x:v>1</x:v>
      </x:c>
      <x:c r="H175" s="30" t="str">
        <x:f>'Raw Results'!G45</x:f>
        <x:v>500</x:v>
      </x:c>
      <x:c r="I175" s="32" t="str">
        <x:f>'Raw Results'!H45</x:f>
        <x:v>243.076</x:v>
      </x:c>
      <x:c r="J175" s="33" t="str">
        <x:f>'Raw Results'!I45</x:f>
        <x:v>0.48712625250501</x:v>
      </x:c>
      <x:c r="K175" s="30" t="str">
        <x:f>'Raw Results'!AD45</x:f>
        <x:v>485</x:v>
      </x:c>
      <x:c r="L175" s="30" t="str">
        <x:f>'Raw Results'!AE45</x:f>
        <x:v>83</x:v>
      </x:c>
      <x:c r="M175" s="33" t="str">
        <x:f>'Raw Results'!AF45</x:f>
        <x:v>1.3761670000385493</x:v>
      </x:c>
      <x:c r="N175" s="30" t="n">
        <x:f>IF('Raw Results'!AG45="True",1,0)</x:f>
        <x:v>1</x:v>
      </x:c>
      <x:c r="O175" s="30" t="str">
        <x:f>'Raw Results'!AH45</x:f>
        <x:v>466</x:v>
      </x:c>
      <x:c r="P175" s="30" t="str">
        <x:f>'Raw Results'!AI45</x:f>
        <x:v>86</x:v>
      </x:c>
      <x:c r="Q175" s="33" t="str">
        <x:f>'Raw Results'!AJ45</x:f>
        <x:v>1.4438897999934852</x:v>
      </x:c>
      <x:c r="R175" s="30" t="n">
        <x:f>IF('Raw Results'!AK45="True",1,0)</x:f>
        <x:v>1</x:v>
      </x:c>
      <x:c r="S175" s="30" t="n">
        <x:f>N175*R175</x:f>
        <x:v>1</x:v>
      </x:c>
      <x:c r="T175" s="30" t="n">
        <x:f>P175-L175</x:f>
        <x:v>3</x:v>
      </x:c>
      <x:c r="U175" s="30" t="n">
        <x:f>O175-K175</x:f>
        <x:v>-19</x:v>
      </x:c>
      <x:c r="V175" s="34" t="n">
        <x:f>Q175-M175</x:f>
        <x:v>0.06772279995493591</x:v>
      </x:c>
      <x:c r="W175" s="35" t="n">
        <x:f>IF(L175=0,"",P175/L175)</x:f>
        <x:v>1.036144578313253</x:v>
      </x:c>
      <x:c r="X175" s="30" t="n">
        <x:f>K175-L175</x:f>
        <x:v>402</x:v>
      </x:c>
      <x:c r="Y175" s="30" t="n">
        <x:f>O175-P175</x:f>
        <x:v>380</x:v>
      </x:c>
      <x:c r="Z175" s="29" t="str">
        <x:f>IF(S175=0,"Excluded",IF(T175&lt;0,"Collision",IF(T175&gt;0,"Entropy","Tie")))</x:f>
        <x:v>Entropy</x:v>
      </x:c>
      <x:c r="AA175" s="29" t="str">
        <x:f>IF(V175&lt;0,"Collision",IF(V175&gt;0,"Entropy","Tie"))</x:f>
        <x:v>Entropy</x:v>
      </x:c>
      <x:c r="AB175" s="29" t="str">
        <x:f>'Raw Results'!AU45</x:f>
        <x:v>none</x:v>
      </x:c>
    </x:row>
    <x:row r="176">
      <x:c r="A176" s="29" t="str">
        <x:v>Zoomed Square</x:v>
      </x:c>
      <x:c r="B176" s="30" t="str">
        <x:f>'Raw Results'!A45</x:f>
        <x:v>500</x:v>
      </x:c>
      <x:c r="C176" s="31" t="str">
        <x:f>'Raw Results'!B45</x:f>
        <x:v>0.5</x:v>
      </x:c>
      <x:c r="D176" s="30" t="str">
        <x:f>'Raw Results'!C45</x:f>
        <x:v>2</x:v>
      </x:c>
      <x:c r="E176" s="30" t="str">
        <x:f>'Raw Results'!D45</x:f>
        <x:v>1473547513</x:v>
      </x:c>
      <x:c r="F176" s="30" t="str">
        <x:f>'Raw Results'!E45</x:f>
        <x:v>60769</x:v>
      </x:c>
      <x:c r="G176" s="30" t="str">
        <x:f>'Raw Results'!F45</x:f>
        <x:v>1</x:v>
      </x:c>
      <x:c r="H176" s="30" t="str">
        <x:f>'Raw Results'!G45</x:f>
        <x:v>500</x:v>
      </x:c>
      <x:c r="I176" s="32" t="str">
        <x:f>'Raw Results'!H45</x:f>
        <x:v>243.076</x:v>
      </x:c>
      <x:c r="J176" s="33" t="str">
        <x:f>'Raw Results'!I45</x:f>
        <x:v>0.48712625250501</x:v>
      </x:c>
      <x:c r="K176" s="30" t="str">
        <x:f>'Raw Results'!AV45</x:f>
        <x:v>433</x:v>
      </x:c>
      <x:c r="L176" s="30" t="str">
        <x:f>'Raw Results'!AW45</x:f>
        <x:v>86</x:v>
      </x:c>
      <x:c r="M176" s="33" t="str">
        <x:f>'Raw Results'!AX45</x:f>
        <x:v>3.588400400010869</x:v>
      </x:c>
      <x:c r="N176" s="30" t="n">
        <x:f>IF('Raw Results'!AY45="True",1,0)</x:f>
        <x:v>1</x:v>
      </x:c>
      <x:c r="O176" s="30" t="str">
        <x:f>'Raw Results'!AZ45</x:f>
        <x:v>243</x:v>
      </x:c>
      <x:c r="P176" s="30" t="str">
        <x:f>'Raw Results'!BA45</x:f>
        <x:v>89</x:v>
      </x:c>
      <x:c r="Q176" s="33" t="str">
        <x:f>'Raw Results'!BB45</x:f>
        <x:v>2.9687335999915376</x:v>
      </x:c>
      <x:c r="R176" s="30" t="n">
        <x:f>IF('Raw Results'!BC45="True",1,0)</x:f>
        <x:v>1</x:v>
      </x:c>
      <x:c r="S176" s="30" t="n">
        <x:f>N176*R176</x:f>
        <x:v>1</x:v>
      </x:c>
      <x:c r="T176" s="30" t="n">
        <x:f>P176-L176</x:f>
        <x:v>3</x:v>
      </x:c>
      <x:c r="U176" s="30" t="n">
        <x:f>O176-K176</x:f>
        <x:v>-190</x:v>
      </x:c>
      <x:c r="V176" s="34" t="n">
        <x:f>Q176-M176</x:f>
        <x:v>-0.6196668000193313</x:v>
      </x:c>
      <x:c r="W176" s="35" t="n">
        <x:f>IF(L176=0,"",P176/L176)</x:f>
        <x:v>1.0348837209302326</x:v>
      </x:c>
      <x:c r="X176" s="30" t="n">
        <x:f>K176-L176</x:f>
        <x:v>347</x:v>
      </x:c>
      <x:c r="Y176" s="30" t="n">
        <x:f>O176-P176</x:f>
        <x:v>154</x:v>
      </x:c>
      <x:c r="Z176" s="29" t="str">
        <x:f>IF(S176=0,"Excluded",IF(T176&lt;0,"Collision",IF(T176&gt;0,"Entropy","Tie")))</x:f>
        <x:v>Entropy</x:v>
      </x:c>
      <x:c r="AA176" s="29" t="str">
        <x:f>IF(V176&lt;0,"Collision",IF(V176&gt;0,"Entropy","Tie"))</x:f>
        <x:v>Collision</x:v>
      </x:c>
      <x:c r="AB176" s="29" t="str">
        <x:f>'Raw Results'!BM45</x:f>
        <x:v>none</x:v>
      </x:c>
    </x:row>
    <x:row r="177">
      <x:c r="A177" s="29" t="str">
        <x:v>ICH</x:v>
      </x:c>
      <x:c r="B177" s="30" t="str">
        <x:f>'Raw Results'!A45</x:f>
        <x:v>500</x:v>
      </x:c>
      <x:c r="C177" s="31" t="str">
        <x:f>'Raw Results'!B45</x:f>
        <x:v>0.5</x:v>
      </x:c>
      <x:c r="D177" s="30" t="str">
        <x:f>'Raw Results'!C45</x:f>
        <x:v>2</x:v>
      </x:c>
      <x:c r="E177" s="30" t="str">
        <x:f>'Raw Results'!D45</x:f>
        <x:v>1473547513</x:v>
      </x:c>
      <x:c r="F177" s="30" t="str">
        <x:f>'Raw Results'!E45</x:f>
        <x:v>60769</x:v>
      </x:c>
      <x:c r="G177" s="30" t="str">
        <x:f>'Raw Results'!F45</x:f>
        <x:v>1</x:v>
      </x:c>
      <x:c r="H177" s="30" t="str">
        <x:f>'Raw Results'!G45</x:f>
        <x:v>500</x:v>
      </x:c>
      <x:c r="I177" s="32" t="str">
        <x:f>'Raw Results'!H45</x:f>
        <x:v>243.076</x:v>
      </x:c>
      <x:c r="J177" s="33" t="str">
        <x:f>'Raw Results'!I45</x:f>
        <x:v>0.48712625250501</x:v>
      </x:c>
      <x:c r="K177" s="30" t="str">
        <x:f>'Raw Results'!BN45</x:f>
        <x:v>76</x:v>
      </x:c>
      <x:c r="L177" s="30" t="str">
        <x:f>'Raw Results'!BO45</x:f>
        <x:v>76</x:v>
      </x:c>
      <x:c r="M177" s="33" t="str">
        <x:f>'Raw Results'!BP45</x:f>
        <x:v>22.083660000003874</x:v>
      </x:c>
      <x:c r="N177" s="30" t="n">
        <x:f>IF('Raw Results'!BQ45="True",1,0)</x:f>
        <x:v>1</x:v>
      </x:c>
      <x:c r="O177" s="30" t="str">
        <x:f>'Raw Results'!BR45</x:f>
        <x:v>73</x:v>
      </x:c>
      <x:c r="P177" s="30" t="str">
        <x:f>'Raw Results'!BS45</x:f>
        <x:v>73</x:v>
      </x:c>
      <x:c r="Q177" s="33" t="str">
        <x:f>'Raw Results'!BT45</x:f>
        <x:v>20.20758490008302</x:v>
      </x:c>
      <x:c r="R177" s="30" t="n">
        <x:f>IF('Raw Results'!BU45="True",1,0)</x:f>
        <x:v>1</x:v>
      </x:c>
      <x:c r="S177" s="30" t="n">
        <x:f>N177*R177</x:f>
        <x:v>1</x:v>
      </x:c>
      <x:c r="T177" s="30" t="n">
        <x:f>P177-L177</x:f>
        <x:v>-3</x:v>
      </x:c>
      <x:c r="U177" s="30" t="n">
        <x:f>O177-K177</x:f>
        <x:v>-3</x:v>
      </x:c>
      <x:c r="V177" s="34" t="n">
        <x:f>Q177-M177</x:f>
        <x:v>-1.876075099920854</x:v>
      </x:c>
      <x:c r="W177" s="35" t="n">
        <x:f>IF(L177=0,"",P177/L177)</x:f>
        <x:v>0.9605263157894737</x:v>
      </x:c>
      <x:c r="X177" s="30" t="n">
        <x:f>K177-L177</x:f>
        <x:v>0</x:v>
      </x:c>
      <x:c r="Y177" s="30" t="n">
        <x:f>O177-P177</x:f>
        <x:v>0</x:v>
      </x:c>
      <x:c r="Z177" s="29" t="str">
        <x:f>IF(S177=0,"Excluded",IF(T177&lt;0,"Collision",IF(T177&gt;0,"Entropy","Tie")))</x:f>
        <x:v>Collision</x:v>
      </x:c>
      <x:c r="AA177" s="29" t="str">
        <x:f>IF(V177&lt;0,"Collision",IF(V177&gt;0,"Entropy","Tie"))</x:f>
        <x:v>Collision</x:v>
      </x:c>
      <x:c r="AB177" s="29" t="str">
        <x:f>'Raw Results'!CE45</x:f>
        <x:v>none</x:v>
      </x:c>
    </x:row>
    <x:row r="178">
      <x:c r="A178" s="29" t="str">
        <x:v>Grid</x:v>
      </x:c>
      <x:c r="B178" s="30" t="str">
        <x:f>'Raw Results'!A46</x:f>
        <x:v>500</x:v>
      </x:c>
      <x:c r="C178" s="31" t="str">
        <x:f>'Raw Results'!B46</x:f>
        <x:v>0.5</x:v>
      </x:c>
      <x:c r="D178" s="30" t="str">
        <x:f>'Raw Results'!C46</x:f>
        <x:v>3</x:v>
      </x:c>
      <x:c r="E178" s="30" t="str">
        <x:f>'Raw Results'!D46</x:f>
        <x:v>1909608427</x:v>
      </x:c>
      <x:c r="F178" s="30" t="str">
        <x:f>'Raw Results'!E46</x:f>
        <x:v>59407</x:v>
      </x:c>
      <x:c r="G178" s="30" t="str">
        <x:f>'Raw Results'!F46</x:f>
        <x:v>1</x:v>
      </x:c>
      <x:c r="H178" s="30" t="str">
        <x:f>'Raw Results'!G46</x:f>
        <x:v>500</x:v>
      </x:c>
      <x:c r="I178" s="32" t="str">
        <x:f>'Raw Results'!H46</x:f>
        <x:v>237.628</x:v>
      </x:c>
      <x:c r="J178" s="33" t="str">
        <x:f>'Raw Results'!I46</x:f>
        <x:v>0.4762084168336673</x:v>
      </x:c>
      <x:c r="K178" s="30" t="str">
        <x:f>'Raw Results'!L46</x:f>
        <x:v>401</x:v>
      </x:c>
      <x:c r="L178" s="30" t="str">
        <x:f>'Raw Results'!M46</x:f>
        <x:v>96</x:v>
      </x:c>
      <x:c r="M178" s="33" t="str">
        <x:f>'Raw Results'!N46</x:f>
        <x:v>17.361648000078276</x:v>
      </x:c>
      <x:c r="N178" s="30" t="n">
        <x:f>IF('Raw Results'!O46="True",1,0)</x:f>
        <x:v>1</x:v>
      </x:c>
      <x:c r="O178" s="30" t="str">
        <x:f>'Raw Results'!P46</x:f>
        <x:v>79</x:v>
      </x:c>
      <x:c r="P178" s="30" t="str">
        <x:f>'Raw Results'!Q46</x:f>
        <x:v>78</x:v>
      </x:c>
      <x:c r="Q178" s="33" t="str">
        <x:f>'Raw Results'!R46</x:f>
        <x:v>8.580561499926262</x:v>
      </x:c>
      <x:c r="R178" s="30" t="n">
        <x:f>IF('Raw Results'!S46="True",1,0)</x:f>
        <x:v>1</x:v>
      </x:c>
      <x:c r="S178" s="30" t="n">
        <x:f>N178*R178</x:f>
        <x:v>1</x:v>
      </x:c>
      <x:c r="T178" s="30" t="n">
        <x:f>P178-L178</x:f>
        <x:v>-18</x:v>
      </x:c>
      <x:c r="U178" s="30" t="n">
        <x:f>O178-K178</x:f>
        <x:v>-322</x:v>
      </x:c>
      <x:c r="V178" s="34" t="n">
        <x:f>Q178-M178</x:f>
        <x:v>-8.781086500152014</x:v>
      </x:c>
      <x:c r="W178" s="35" t="n">
        <x:f>IF(L178=0,"",P178/L178)</x:f>
        <x:v>0.8125</x:v>
      </x:c>
      <x:c r="X178" s="30" t="n">
        <x:f>K178-L178</x:f>
        <x:v>305</x:v>
      </x:c>
      <x:c r="Y178" s="30" t="n">
        <x:f>O178-P178</x:f>
        <x:v>1</x:v>
      </x:c>
      <x:c r="Z178" s="29" t="str">
        <x:f>IF(S178=0,"Excluded",IF(T178&lt;0,"Collision",IF(T178&gt;0,"Entropy","Tie")))</x:f>
        <x:v>Collision</x:v>
      </x:c>
      <x:c r="AA178" s="29" t="str">
        <x:f>IF(V178&lt;0,"Collision",IF(V178&gt;0,"Entropy","Tie"))</x:f>
        <x:v>Collision</x:v>
      </x:c>
      <x:c r="AB178" s="29" t="str">
        <x:f>'Raw Results'!AC46</x:f>
        <x:v>none</x:v>
      </x:c>
    </x:row>
    <x:row r="179">
      <x:c r="A179" s="29" t="str">
        <x:v>Circle</x:v>
      </x:c>
      <x:c r="B179" s="30" t="str">
        <x:f>'Raw Results'!A46</x:f>
        <x:v>500</x:v>
      </x:c>
      <x:c r="C179" s="31" t="str">
        <x:f>'Raw Results'!B46</x:f>
        <x:v>0.5</x:v>
      </x:c>
      <x:c r="D179" s="30" t="str">
        <x:f>'Raw Results'!C46</x:f>
        <x:v>3</x:v>
      </x:c>
      <x:c r="E179" s="30" t="str">
        <x:f>'Raw Results'!D46</x:f>
        <x:v>1909608427</x:v>
      </x:c>
      <x:c r="F179" s="30" t="str">
        <x:f>'Raw Results'!E46</x:f>
        <x:v>59407</x:v>
      </x:c>
      <x:c r="G179" s="30" t="str">
        <x:f>'Raw Results'!F46</x:f>
        <x:v>1</x:v>
      </x:c>
      <x:c r="H179" s="30" t="str">
        <x:f>'Raw Results'!G46</x:f>
        <x:v>500</x:v>
      </x:c>
      <x:c r="I179" s="32" t="str">
        <x:f>'Raw Results'!H46</x:f>
        <x:v>237.628</x:v>
      </x:c>
      <x:c r="J179" s="33" t="str">
        <x:f>'Raw Results'!I46</x:f>
        <x:v>0.4762084168336673</x:v>
      </x:c>
      <x:c r="K179" s="30" t="str">
        <x:f>'Raw Results'!AD46</x:f>
        <x:v>488</x:v>
      </x:c>
      <x:c r="L179" s="30" t="str">
        <x:f>'Raw Results'!AE46</x:f>
        <x:v>93</x:v>
      </x:c>
      <x:c r="M179" s="33" t="str">
        <x:f>'Raw Results'!AF46</x:f>
        <x:v>3.026524499990046</x:v>
      </x:c>
      <x:c r="N179" s="30" t="n">
        <x:f>IF('Raw Results'!AG46="True",1,0)</x:f>
        <x:v>1</x:v>
      </x:c>
      <x:c r="O179" s="30" t="str">
        <x:f>'Raw Results'!AH46</x:f>
        <x:v>476</x:v>
      </x:c>
      <x:c r="P179" s="30" t="str">
        <x:f>'Raw Results'!AI46</x:f>
        <x:v>93</x:v>
      </x:c>
      <x:c r="Q179" s="33" t="str">
        <x:f>'Raw Results'!AJ46</x:f>
        <x:v>2.670716500026174</x:v>
      </x:c>
      <x:c r="R179" s="30" t="n">
        <x:f>IF('Raw Results'!AK46="True",1,0)</x:f>
        <x:v>1</x:v>
      </x:c>
      <x:c r="S179" s="30" t="n">
        <x:f>N179*R179</x:f>
        <x:v>1</x:v>
      </x:c>
      <x:c r="T179" s="30" t="n">
        <x:f>P179-L179</x:f>
        <x:v>0</x:v>
      </x:c>
      <x:c r="U179" s="30" t="n">
        <x:f>O179-K179</x:f>
        <x:v>-12</x:v>
      </x:c>
      <x:c r="V179" s="34" t="n">
        <x:f>Q179-M179</x:f>
        <x:v>-0.35580799996387213</x:v>
      </x:c>
      <x:c r="W179" s="35" t="n">
        <x:f>IF(L179=0,"",P179/L179)</x:f>
        <x:v>1</x:v>
      </x:c>
      <x:c r="X179" s="30" t="n">
        <x:f>K179-L179</x:f>
        <x:v>395</x:v>
      </x:c>
      <x:c r="Y179" s="30" t="n">
        <x:f>O179-P179</x:f>
        <x:v>383</x:v>
      </x:c>
      <x:c r="Z179" s="29" t="str">
        <x:f>IF(S179=0,"Excluded",IF(T179&lt;0,"Collision",IF(T179&gt;0,"Entropy","Tie")))</x:f>
        <x:v>Tie</x:v>
      </x:c>
      <x:c r="AA179" s="29" t="str">
        <x:f>IF(V179&lt;0,"Collision",IF(V179&gt;0,"Entropy","Tie"))</x:f>
        <x:v>Collision</x:v>
      </x:c>
      <x:c r="AB179" s="29" t="str">
        <x:f>'Raw Results'!AU46</x:f>
        <x:v>none</x:v>
      </x:c>
    </x:row>
    <x:row r="180">
      <x:c r="A180" s="29" t="str">
        <x:v>Zoomed Square</x:v>
      </x:c>
      <x:c r="B180" s="30" t="str">
        <x:f>'Raw Results'!A46</x:f>
        <x:v>500</x:v>
      </x:c>
      <x:c r="C180" s="31" t="str">
        <x:f>'Raw Results'!B46</x:f>
        <x:v>0.5</x:v>
      </x:c>
      <x:c r="D180" s="30" t="str">
        <x:f>'Raw Results'!C46</x:f>
        <x:v>3</x:v>
      </x:c>
      <x:c r="E180" s="30" t="str">
        <x:f>'Raw Results'!D46</x:f>
        <x:v>1909608427</x:v>
      </x:c>
      <x:c r="F180" s="30" t="str">
        <x:f>'Raw Results'!E46</x:f>
        <x:v>59407</x:v>
      </x:c>
      <x:c r="G180" s="30" t="str">
        <x:f>'Raw Results'!F46</x:f>
        <x:v>1</x:v>
      </x:c>
      <x:c r="H180" s="30" t="str">
        <x:f>'Raw Results'!G46</x:f>
        <x:v>500</x:v>
      </x:c>
      <x:c r="I180" s="32" t="str">
        <x:f>'Raw Results'!H46</x:f>
        <x:v>237.628</x:v>
      </x:c>
      <x:c r="J180" s="33" t="str">
        <x:f>'Raw Results'!I46</x:f>
        <x:v>0.4762084168336673</x:v>
      </x:c>
      <x:c r="K180" s="30" t="str">
        <x:f>'Raw Results'!AV46</x:f>
        <x:v>450</x:v>
      </x:c>
      <x:c r="L180" s="30" t="str">
        <x:f>'Raw Results'!AW46</x:f>
        <x:v>90</x:v>
      </x:c>
      <x:c r="M180" s="33" t="str">
        <x:f>'Raw Results'!AX46</x:f>
        <x:v>4.255862500052899</x:v>
      </x:c>
      <x:c r="N180" s="30" t="n">
        <x:f>IF('Raw Results'!AY46="True",1,0)</x:f>
        <x:v>1</x:v>
      </x:c>
      <x:c r="O180" s="30" t="str">
        <x:f>'Raw Results'!AZ46</x:f>
        <x:v>218</x:v>
      </x:c>
      <x:c r="P180" s="30" t="str">
        <x:f>'Raw Results'!BA46</x:f>
        <x:v>92</x:v>
      </x:c>
      <x:c r="Q180" s="33" t="str">
        <x:f>'Raw Results'!BB46</x:f>
        <x:v>3.2423425999004394</x:v>
      </x:c>
      <x:c r="R180" s="30" t="n">
        <x:f>IF('Raw Results'!BC46="True",1,0)</x:f>
        <x:v>1</x:v>
      </x:c>
      <x:c r="S180" s="30" t="n">
        <x:f>N180*R180</x:f>
        <x:v>1</x:v>
      </x:c>
      <x:c r="T180" s="30" t="n">
        <x:f>P180-L180</x:f>
        <x:v>2</x:v>
      </x:c>
      <x:c r="U180" s="30" t="n">
        <x:f>O180-K180</x:f>
        <x:v>-232</x:v>
      </x:c>
      <x:c r="V180" s="34" t="n">
        <x:f>Q180-M180</x:f>
        <x:v>-1.0135199001524597</x:v>
      </x:c>
      <x:c r="W180" s="35" t="n">
        <x:f>IF(L180=0,"",P180/L180)</x:f>
        <x:v>1.0222222222222221</x:v>
      </x:c>
      <x:c r="X180" s="30" t="n">
        <x:f>K180-L180</x:f>
        <x:v>360</x:v>
      </x:c>
      <x:c r="Y180" s="30" t="n">
        <x:f>O180-P180</x:f>
        <x:v>126</x:v>
      </x:c>
      <x:c r="Z180" s="29" t="str">
        <x:f>IF(S180=0,"Excluded",IF(T180&lt;0,"Collision",IF(T180&gt;0,"Entropy","Tie")))</x:f>
        <x:v>Entropy</x:v>
      </x:c>
      <x:c r="AA180" s="29" t="str">
        <x:f>IF(V180&lt;0,"Collision",IF(V180&gt;0,"Entropy","Tie"))</x:f>
        <x:v>Collision</x:v>
      </x:c>
      <x:c r="AB180" s="29" t="str">
        <x:f>'Raw Results'!BM46</x:f>
        <x:v>none</x:v>
      </x:c>
    </x:row>
    <x:row r="181">
      <x:c r="A181" s="29" t="str">
        <x:v>ICH</x:v>
      </x:c>
      <x:c r="B181" s="30" t="str">
        <x:f>'Raw Results'!A46</x:f>
        <x:v>500</x:v>
      </x:c>
      <x:c r="C181" s="31" t="str">
        <x:f>'Raw Results'!B46</x:f>
        <x:v>0.5</x:v>
      </x:c>
      <x:c r="D181" s="30" t="str">
        <x:f>'Raw Results'!C46</x:f>
        <x:v>3</x:v>
      </x:c>
      <x:c r="E181" s="30" t="str">
        <x:f>'Raw Results'!D46</x:f>
        <x:v>1909608427</x:v>
      </x:c>
      <x:c r="F181" s="30" t="str">
        <x:f>'Raw Results'!E46</x:f>
        <x:v>59407</x:v>
      </x:c>
      <x:c r="G181" s="30" t="str">
        <x:f>'Raw Results'!F46</x:f>
        <x:v>1</x:v>
      </x:c>
      <x:c r="H181" s="30" t="str">
        <x:f>'Raw Results'!G46</x:f>
        <x:v>500</x:v>
      </x:c>
      <x:c r="I181" s="32" t="str">
        <x:f>'Raw Results'!H46</x:f>
        <x:v>237.628</x:v>
      </x:c>
      <x:c r="J181" s="33" t="str">
        <x:f>'Raw Results'!I46</x:f>
        <x:v>0.4762084168336673</x:v>
      </x:c>
      <x:c r="K181" s="30" t="str">
        <x:f>'Raw Results'!BN46</x:f>
        <x:v>82</x:v>
      </x:c>
      <x:c r="L181" s="30" t="str">
        <x:f>'Raw Results'!BO46</x:f>
        <x:v>82</x:v>
      </x:c>
      <x:c r="M181" s="33" t="str">
        <x:f>'Raw Results'!BP46</x:f>
        <x:v>22.38441719999537</x:v>
      </x:c>
      <x:c r="N181" s="30" t="n">
        <x:f>IF('Raw Results'!BQ46="True",1,0)</x:f>
        <x:v>1</x:v>
      </x:c>
      <x:c r="O181" s="30" t="str">
        <x:f>'Raw Results'!BR46</x:f>
        <x:v>81</x:v>
      </x:c>
      <x:c r="P181" s="30" t="str">
        <x:f>'Raw Results'!BS46</x:f>
        <x:v>81</x:v>
      </x:c>
      <x:c r="Q181" s="33" t="str">
        <x:f>'Raw Results'!BT46</x:f>
        <x:v>22.948436900041997</x:v>
      </x:c>
      <x:c r="R181" s="30" t="n">
        <x:f>IF('Raw Results'!BU46="True",1,0)</x:f>
        <x:v>1</x:v>
      </x:c>
      <x:c r="S181" s="30" t="n">
        <x:f>N181*R181</x:f>
        <x:v>1</x:v>
      </x:c>
      <x:c r="T181" s="30" t="n">
        <x:f>P181-L181</x:f>
        <x:v>-1</x:v>
      </x:c>
      <x:c r="U181" s="30" t="n">
        <x:f>O181-K181</x:f>
        <x:v>-1</x:v>
      </x:c>
      <x:c r="V181" s="34" t="n">
        <x:f>Q181-M181</x:f>
        <x:v>0.5640197000466287</x:v>
      </x:c>
      <x:c r="W181" s="35" t="n">
        <x:f>IF(L181=0,"",P181/L181)</x:f>
        <x:v>0.9878048780487805</x:v>
      </x:c>
      <x:c r="X181" s="30" t="n">
        <x:f>K181-L181</x:f>
        <x:v>0</x:v>
      </x:c>
      <x:c r="Y181" s="30" t="n">
        <x:f>O181-P181</x:f>
        <x:v>0</x:v>
      </x:c>
      <x:c r="Z181" s="29" t="str">
        <x:f>IF(S181=0,"Excluded",IF(T181&lt;0,"Collision",IF(T181&gt;0,"Entropy","Tie")))</x:f>
        <x:v>Collision</x:v>
      </x:c>
      <x:c r="AA181" s="29" t="str">
        <x:f>IF(V181&lt;0,"Collision",IF(V181&gt;0,"Entropy","Tie"))</x:f>
        <x:v>Entropy</x:v>
      </x:c>
      <x:c r="AB181" s="29" t="str">
        <x:f>'Raw Results'!CE46</x:f>
        <x:v>none</x:v>
      </x:c>
    </x:row>
    <x:row r="182">
      <x:c r="A182" s="29" t="str">
        <x:v>Grid</x:v>
      </x:c>
      <x:c r="B182" s="30" t="str">
        <x:f>'Raw Results'!A47</x:f>
        <x:v>500</x:v>
      </x:c>
      <x:c r="C182" s="31" t="str">
        <x:f>'Raw Results'!B47</x:f>
        <x:v>0.7</x:v>
      </x:c>
      <x:c r="D182" s="30" t="str">
        <x:f>'Raw Results'!C47</x:f>
        <x:v>1</x:v>
      </x:c>
      <x:c r="E182" s="30" t="str">
        <x:f>'Raw Results'!D47</x:f>
        <x:v>4260616327</x:v>
      </x:c>
      <x:c r="F182" s="30" t="str">
        <x:f>'Raw Results'!E47</x:f>
        <x:v>93645</x:v>
      </x:c>
      <x:c r="G182" s="30" t="str">
        <x:f>'Raw Results'!F47</x:f>
        <x:v>1</x:v>
      </x:c>
      <x:c r="H182" s="30" t="str">
        <x:f>'Raw Results'!G47</x:f>
        <x:v>500</x:v>
      </x:c>
      <x:c r="I182" s="32" t="str">
        <x:f>'Raw Results'!H47</x:f>
        <x:v>374.58</x:v>
      </x:c>
      <x:c r="J182" s="33" t="str">
        <x:f>'Raw Results'!I47</x:f>
        <x:v>0.7506613226452906</x:v>
      </x:c>
      <x:c r="K182" s="30" t="str">
        <x:f>'Raw Results'!L47</x:f>
        <x:v>403</x:v>
      </x:c>
      <x:c r="L182" s="30" t="str">
        <x:f>'Raw Results'!M47</x:f>
        <x:v>112</x:v>
      </x:c>
      <x:c r="M182" s="33" t="str">
        <x:f>'Raw Results'!N47</x:f>
        <x:v>14.815197599935345</x:v>
      </x:c>
      <x:c r="N182" s="30" t="n">
        <x:f>IF('Raw Results'!O47="True",1,0)</x:f>
        <x:v>1</x:v>
      </x:c>
      <x:c r="O182" s="30" t="str">
        <x:f>'Raw Results'!P47</x:f>
        <x:v>100</x:v>
      </x:c>
      <x:c r="P182" s="30" t="str">
        <x:f>'Raw Results'!Q47</x:f>
        <x:v>97</x:v>
      </x:c>
      <x:c r="Q182" s="33" t="str">
        <x:f>'Raw Results'!R47</x:f>
        <x:v>8.900302099995315</x:v>
      </x:c>
      <x:c r="R182" s="30" t="n">
        <x:f>IF('Raw Results'!S47="True",1,0)</x:f>
        <x:v>1</x:v>
      </x:c>
      <x:c r="S182" s="30" t="n">
        <x:f>N182*R182</x:f>
        <x:v>1</x:v>
      </x:c>
      <x:c r="T182" s="30" t="n">
        <x:f>P182-L182</x:f>
        <x:v>-15</x:v>
      </x:c>
      <x:c r="U182" s="30" t="n">
        <x:f>O182-K182</x:f>
        <x:v>-303</x:v>
      </x:c>
      <x:c r="V182" s="34" t="n">
        <x:f>Q182-M182</x:f>
        <x:v>-5.91489549994003</x:v>
      </x:c>
      <x:c r="W182" s="35" t="n">
        <x:f>IF(L182=0,"",P182/L182)</x:f>
        <x:v>0.8660714285714286</x:v>
      </x:c>
      <x:c r="X182" s="30" t="n">
        <x:f>K182-L182</x:f>
        <x:v>291</x:v>
      </x:c>
      <x:c r="Y182" s="30" t="n">
        <x:f>O182-P182</x:f>
        <x:v>3</x:v>
      </x:c>
      <x:c r="Z182" s="29" t="str">
        <x:f>IF(S182=0,"Excluded",IF(T182&lt;0,"Collision",IF(T182&gt;0,"Entropy","Tie")))</x:f>
        <x:v>Collision</x:v>
      </x:c>
      <x:c r="AA182" s="29" t="str">
        <x:f>IF(V182&lt;0,"Collision",IF(V182&gt;0,"Entropy","Tie"))</x:f>
        <x:v>Collision</x:v>
      </x:c>
      <x:c r="AB182" s="29" t="str">
        <x:f>'Raw Results'!AC47</x:f>
        <x:v>none</x:v>
      </x:c>
    </x:row>
    <x:row r="183">
      <x:c r="A183" s="29" t="str">
        <x:v>Circle</x:v>
      </x:c>
      <x:c r="B183" s="30" t="str">
        <x:f>'Raw Results'!A47</x:f>
        <x:v>500</x:v>
      </x:c>
      <x:c r="C183" s="31" t="str">
        <x:f>'Raw Results'!B47</x:f>
        <x:v>0.7</x:v>
      </x:c>
      <x:c r="D183" s="30" t="str">
        <x:f>'Raw Results'!C47</x:f>
        <x:v>1</x:v>
      </x:c>
      <x:c r="E183" s="30" t="str">
        <x:f>'Raw Results'!D47</x:f>
        <x:v>4260616327</x:v>
      </x:c>
      <x:c r="F183" s="30" t="str">
        <x:f>'Raw Results'!E47</x:f>
        <x:v>93645</x:v>
      </x:c>
      <x:c r="G183" s="30" t="str">
        <x:f>'Raw Results'!F47</x:f>
        <x:v>1</x:v>
      </x:c>
      <x:c r="H183" s="30" t="str">
        <x:f>'Raw Results'!G47</x:f>
        <x:v>500</x:v>
      </x:c>
      <x:c r="I183" s="32" t="str">
        <x:f>'Raw Results'!H47</x:f>
        <x:v>374.58</x:v>
      </x:c>
      <x:c r="J183" s="33" t="str">
        <x:f>'Raw Results'!I47</x:f>
        <x:v>0.7506613226452906</x:v>
      </x:c>
      <x:c r="K183" s="30" t="str">
        <x:f>'Raw Results'!AD47</x:f>
        <x:v>475</x:v>
      </x:c>
      <x:c r="L183" s="30" t="str">
        <x:f>'Raw Results'!AE47</x:f>
        <x:v>120</x:v>
      </x:c>
      <x:c r="M183" s="33" t="str">
        <x:f>'Raw Results'!AF47</x:f>
        <x:v>2.9643443999812007</x:v>
      </x:c>
      <x:c r="N183" s="30" t="n">
        <x:f>IF('Raw Results'!AG47="True",1,0)</x:f>
        <x:v>1</x:v>
      </x:c>
      <x:c r="O183" s="30" t="str">
        <x:f>'Raw Results'!AH47</x:f>
        <x:v>466</x:v>
      </x:c>
      <x:c r="P183" s="30" t="str">
        <x:f>'Raw Results'!AI47</x:f>
        <x:v>120</x:v>
      </x:c>
      <x:c r="Q183" s="33" t="str">
        <x:f>'Raw Results'!AJ47</x:f>
        <x:v>2.841864199959673</x:v>
      </x:c>
      <x:c r="R183" s="30" t="n">
        <x:f>IF('Raw Results'!AK47="True",1,0)</x:f>
        <x:v>1</x:v>
      </x:c>
      <x:c r="S183" s="30" t="n">
        <x:f>N183*R183</x:f>
        <x:v>1</x:v>
      </x:c>
      <x:c r="T183" s="30" t="n">
        <x:f>P183-L183</x:f>
        <x:v>0</x:v>
      </x:c>
      <x:c r="U183" s="30" t="n">
        <x:f>O183-K183</x:f>
        <x:v>-9</x:v>
      </x:c>
      <x:c r="V183" s="34" t="n">
        <x:f>Q183-M183</x:f>
        <x:v>-0.12248020002152771</x:v>
      </x:c>
      <x:c r="W183" s="35" t="n">
        <x:f>IF(L183=0,"",P183/L183)</x:f>
        <x:v>1</x:v>
      </x:c>
      <x:c r="X183" s="30" t="n">
        <x:f>K183-L183</x:f>
        <x:v>355</x:v>
      </x:c>
      <x:c r="Y183" s="30" t="n">
        <x:f>O183-P183</x:f>
        <x:v>346</x:v>
      </x:c>
      <x:c r="Z183" s="29" t="str">
        <x:f>IF(S183=0,"Excluded",IF(T183&lt;0,"Collision",IF(T183&gt;0,"Entropy","Tie")))</x:f>
        <x:v>Tie</x:v>
      </x:c>
      <x:c r="AA183" s="29" t="str">
        <x:f>IF(V183&lt;0,"Collision",IF(V183&gt;0,"Entropy","Tie"))</x:f>
        <x:v>Collision</x:v>
      </x:c>
      <x:c r="AB183" s="29" t="str">
        <x:f>'Raw Results'!AU47</x:f>
        <x:v>none</x:v>
      </x:c>
    </x:row>
    <x:row r="184">
      <x:c r="A184" s="29" t="str">
        <x:v>Zoomed Square</x:v>
      </x:c>
      <x:c r="B184" s="30" t="str">
        <x:f>'Raw Results'!A47</x:f>
        <x:v>500</x:v>
      </x:c>
      <x:c r="C184" s="31" t="str">
        <x:f>'Raw Results'!B47</x:f>
        <x:v>0.7</x:v>
      </x:c>
      <x:c r="D184" s="30" t="str">
        <x:f>'Raw Results'!C47</x:f>
        <x:v>1</x:v>
      </x:c>
      <x:c r="E184" s="30" t="str">
        <x:f>'Raw Results'!D47</x:f>
        <x:v>4260616327</x:v>
      </x:c>
      <x:c r="F184" s="30" t="str">
        <x:f>'Raw Results'!E47</x:f>
        <x:v>93645</x:v>
      </x:c>
      <x:c r="G184" s="30" t="str">
        <x:f>'Raw Results'!F47</x:f>
        <x:v>1</x:v>
      </x:c>
      <x:c r="H184" s="30" t="str">
        <x:f>'Raw Results'!G47</x:f>
        <x:v>500</x:v>
      </x:c>
      <x:c r="I184" s="32" t="str">
        <x:f>'Raw Results'!H47</x:f>
        <x:v>374.58</x:v>
      </x:c>
      <x:c r="J184" s="33" t="str">
        <x:f>'Raw Results'!I47</x:f>
        <x:v>0.7506613226452906</x:v>
      </x:c>
      <x:c r="K184" s="30" t="str">
        <x:f>'Raw Results'!AV47</x:f>
        <x:v>470</x:v>
      </x:c>
      <x:c r="L184" s="30" t="str">
        <x:f>'Raw Results'!AW47</x:f>
        <x:v>126</x:v>
      </x:c>
      <x:c r="M184" s="33" t="str">
        <x:f>'Raw Results'!AX47</x:f>
        <x:v>9.462062300066464</x:v>
      </x:c>
      <x:c r="N184" s="30" t="n">
        <x:f>IF('Raw Results'!AY47="True",1,0)</x:f>
        <x:v>1</x:v>
      </x:c>
      <x:c r="O184" s="30" t="str">
        <x:f>'Raw Results'!AZ47</x:f>
        <x:v>246</x:v>
      </x:c>
      <x:c r="P184" s="30" t="str">
        <x:f>'Raw Results'!BA47</x:f>
        <x:v>246</x:v>
      </x:c>
      <x:c r="Q184" s="33" t="str">
        <x:f>'Raw Results'!BB47</x:f>
        <x:v>7.175591100007296</x:v>
      </x:c>
      <x:c r="R184" s="30" t="n">
        <x:f>IF('Raw Results'!BC47="True",1,0)</x:f>
        <x:v>0</x:v>
      </x:c>
      <x:c r="S184" s="30" t="n">
        <x:f>N184*R184</x:f>
        <x:v>0</x:v>
      </x:c>
      <x:c r="T184" s="30" t="n">
        <x:f>P184-L184</x:f>
        <x:v>120</x:v>
      </x:c>
      <x:c r="U184" s="30" t="n">
        <x:f>O184-K184</x:f>
        <x:v>-224</x:v>
      </x:c>
      <x:c r="V184" s="34" t="n">
        <x:f>Q184-M184</x:f>
        <x:v>-2.286471200059168</x:v>
      </x:c>
      <x:c r="W184" s="35" t="n">
        <x:f>IF(L184=0,"",P184/L184)</x:f>
        <x:v>1.9523809523809523</x:v>
      </x:c>
      <x:c r="X184" s="30" t="n">
        <x:f>K184-L184</x:f>
        <x:v>344</x:v>
      </x:c>
      <x:c r="Y184" s="30" t="n">
        <x:f>O184-P184</x:f>
        <x:v>0</x:v>
      </x:c>
      <x:c r="Z184" s="29" t="str">
        <x:f>IF(S184=0,"Excluded",IF(T184&lt;0,"Collision",IF(T184&gt;0,"Entropy","Tie")))</x:f>
        <x:v>Excluded</x:v>
      </x:c>
      <x:c r="AA184" s="29" t="str">
        <x:f>IF(V184&lt;0,"Collision",IF(V184&gt;0,"Entropy","Tie"))</x:f>
        <x:v>Collision</x:v>
      </x:c>
      <x:c r="AB184" s="29" t="str">
        <x:f>'Raw Results'!BM47</x:f>
        <x:v>large_and_invalid</x:v>
      </x:c>
    </x:row>
    <x:row r="185">
      <x:c r="A185" s="29" t="str">
        <x:v>ICH</x:v>
      </x:c>
      <x:c r="B185" s="30" t="str">
        <x:f>'Raw Results'!A47</x:f>
        <x:v>500</x:v>
      </x:c>
      <x:c r="C185" s="31" t="str">
        <x:f>'Raw Results'!B47</x:f>
        <x:v>0.7</x:v>
      </x:c>
      <x:c r="D185" s="30" t="str">
        <x:f>'Raw Results'!C47</x:f>
        <x:v>1</x:v>
      </x:c>
      <x:c r="E185" s="30" t="str">
        <x:f>'Raw Results'!D47</x:f>
        <x:v>4260616327</x:v>
      </x:c>
      <x:c r="F185" s="30" t="str">
        <x:f>'Raw Results'!E47</x:f>
        <x:v>93645</x:v>
      </x:c>
      <x:c r="G185" s="30" t="str">
        <x:f>'Raw Results'!F47</x:f>
        <x:v>1</x:v>
      </x:c>
      <x:c r="H185" s="30" t="str">
        <x:f>'Raw Results'!G47</x:f>
        <x:v>500</x:v>
      </x:c>
      <x:c r="I185" s="32" t="str">
        <x:f>'Raw Results'!H47</x:f>
        <x:v>374.58</x:v>
      </x:c>
      <x:c r="J185" s="33" t="str">
        <x:f>'Raw Results'!I47</x:f>
        <x:v>0.7506613226452906</x:v>
      </x:c>
      <x:c r="K185" s="30" t="str">
        <x:f>'Raw Results'!BN47</x:f>
        <x:v>100</x:v>
      </x:c>
      <x:c r="L185" s="30" t="str">
        <x:f>'Raw Results'!BO47</x:f>
        <x:v>100</x:v>
      </x:c>
      <x:c r="M185" s="33" t="str">
        <x:f>'Raw Results'!BP47</x:f>
        <x:v>23.210552100092173</x:v>
      </x:c>
      <x:c r="N185" s="30" t="n">
        <x:f>IF('Raw Results'!BQ47="True",1,0)</x:f>
        <x:v>1</x:v>
      </x:c>
      <x:c r="O185" s="30" t="str">
        <x:f>'Raw Results'!BR47</x:f>
        <x:v>99</x:v>
      </x:c>
      <x:c r="P185" s="30" t="str">
        <x:f>'Raw Results'!BS47</x:f>
        <x:v>99</x:v>
      </x:c>
      <x:c r="Q185" s="33" t="str">
        <x:f>'Raw Results'!BT47</x:f>
        <x:v>20.9884832999669</x:v>
      </x:c>
      <x:c r="R185" s="30" t="n">
        <x:f>IF('Raw Results'!BU47="True",1,0)</x:f>
        <x:v>1</x:v>
      </x:c>
      <x:c r="S185" s="30" t="n">
        <x:f>N185*R185</x:f>
        <x:v>1</x:v>
      </x:c>
      <x:c r="T185" s="30" t="n">
        <x:f>P185-L185</x:f>
        <x:v>-1</x:v>
      </x:c>
      <x:c r="U185" s="30" t="n">
        <x:f>O185-K185</x:f>
        <x:v>-1</x:v>
      </x:c>
      <x:c r="V185" s="34" t="n">
        <x:f>Q185-M185</x:f>
        <x:v>-2.222068800125271</x:v>
      </x:c>
      <x:c r="W185" s="35" t="n">
        <x:f>IF(L185=0,"",P185/L185)</x:f>
        <x:v>0.99</x:v>
      </x:c>
      <x:c r="X185" s="30" t="n">
        <x:f>K185-L185</x:f>
        <x:v>0</x:v>
      </x:c>
      <x:c r="Y185" s="30" t="n">
        <x:f>O185-P185</x:f>
        <x:v>0</x:v>
      </x:c>
      <x:c r="Z185" s="29" t="str">
        <x:f>IF(S185=0,"Excluded",IF(T185&lt;0,"Collision",IF(T185&gt;0,"Entropy","Tie")))</x:f>
        <x:v>Collision</x:v>
      </x:c>
      <x:c r="AA185" s="29" t="str">
        <x:f>IF(V185&lt;0,"Collision",IF(V185&gt;0,"Entropy","Tie"))</x:f>
        <x:v>Collision</x:v>
      </x:c>
      <x:c r="AB185" s="29" t="str">
        <x:f>'Raw Results'!CE47</x:f>
        <x:v>none</x:v>
      </x:c>
    </x:row>
    <x:row r="186">
      <x:c r="A186" s="29" t="str">
        <x:v>Grid</x:v>
      </x:c>
      <x:c r="B186" s="30" t="str">
        <x:f>'Raw Results'!A48</x:f>
        <x:v>500</x:v>
      </x:c>
      <x:c r="C186" s="31" t="str">
        <x:f>'Raw Results'!B48</x:f>
        <x:v>0.7</x:v>
      </x:c>
      <x:c r="D186" s="30" t="str">
        <x:f>'Raw Results'!C48</x:f>
        <x:v>2</x:v>
      </x:c>
      <x:c r="E186" s="30" t="str">
        <x:f>'Raw Results'!D48</x:f>
        <x:v>896421585</x:v>
      </x:c>
      <x:c r="F186" s="30" t="str">
        <x:f>'Raw Results'!E48</x:f>
        <x:v>94487</x:v>
      </x:c>
      <x:c r="G186" s="30" t="str">
        <x:f>'Raw Results'!F48</x:f>
        <x:v>1</x:v>
      </x:c>
      <x:c r="H186" s="30" t="str">
        <x:f>'Raw Results'!G48</x:f>
        <x:v>500</x:v>
      </x:c>
      <x:c r="I186" s="32" t="str">
        <x:f>'Raw Results'!H48</x:f>
        <x:v>377.948</x:v>
      </x:c>
      <x:c r="J186" s="33" t="str">
        <x:f>'Raw Results'!I48</x:f>
        <x:v>0.7574108216432865</x:v>
      </x:c>
      <x:c r="K186" s="30" t="str">
        <x:f>'Raw Results'!L48</x:f>
        <x:v>496</x:v>
      </x:c>
      <x:c r="L186" s="30" t="str">
        <x:f>'Raw Results'!M48</x:f>
        <x:v>117</x:v>
      </x:c>
      <x:c r="M186" s="33" t="str">
        <x:f>'Raw Results'!N48</x:f>
        <x:v>14.452629399951547</x:v>
      </x:c>
      <x:c r="N186" s="30" t="n">
        <x:f>IF('Raw Results'!O48="True",1,0)</x:f>
        <x:v>1</x:v>
      </x:c>
      <x:c r="O186" s="30" t="str">
        <x:f>'Raw Results'!P48</x:f>
        <x:v>99</x:v>
      </x:c>
      <x:c r="P186" s="30" t="str">
        <x:f>'Raw Results'!Q48</x:f>
        <x:v>97</x:v>
      </x:c>
      <x:c r="Q186" s="33" t="str">
        <x:f>'Raw Results'!R48</x:f>
        <x:v>8.843005200033076</x:v>
      </x:c>
      <x:c r="R186" s="30" t="n">
        <x:f>IF('Raw Results'!S48="True",1,0)</x:f>
        <x:v>1</x:v>
      </x:c>
      <x:c r="S186" s="30" t="n">
        <x:f>N186*R186</x:f>
        <x:v>1</x:v>
      </x:c>
      <x:c r="T186" s="30" t="n">
        <x:f>P186-L186</x:f>
        <x:v>-20</x:v>
      </x:c>
      <x:c r="U186" s="30" t="n">
        <x:f>O186-K186</x:f>
        <x:v>-397</x:v>
      </x:c>
      <x:c r="V186" s="34" t="n">
        <x:f>Q186-M186</x:f>
        <x:v>-5.609624199918471</x:v>
      </x:c>
      <x:c r="W186" s="35" t="n">
        <x:f>IF(L186=0,"",P186/L186)</x:f>
        <x:v>0.8290598290598291</x:v>
      </x:c>
      <x:c r="X186" s="30" t="n">
        <x:f>K186-L186</x:f>
        <x:v>379</x:v>
      </x:c>
      <x:c r="Y186" s="30" t="n">
        <x:f>O186-P186</x:f>
        <x:v>2</x:v>
      </x:c>
      <x:c r="Z186" s="29" t="str">
        <x:f>IF(S186=0,"Excluded",IF(T186&lt;0,"Collision",IF(T186&gt;0,"Entropy","Tie")))</x:f>
        <x:v>Collision</x:v>
      </x:c>
      <x:c r="AA186" s="29" t="str">
        <x:f>IF(V186&lt;0,"Collision",IF(V186&gt;0,"Entropy","Tie"))</x:f>
        <x:v>Collision</x:v>
      </x:c>
      <x:c r="AB186" s="29" t="str">
        <x:f>'Raw Results'!AC48</x:f>
        <x:v>none</x:v>
      </x:c>
    </x:row>
    <x:row r="187">
      <x:c r="A187" s="29" t="str">
        <x:v>Circle</x:v>
      </x:c>
      <x:c r="B187" s="30" t="str">
        <x:f>'Raw Results'!A48</x:f>
        <x:v>500</x:v>
      </x:c>
      <x:c r="C187" s="31" t="str">
        <x:f>'Raw Results'!B48</x:f>
        <x:v>0.7</x:v>
      </x:c>
      <x:c r="D187" s="30" t="str">
        <x:f>'Raw Results'!C48</x:f>
        <x:v>2</x:v>
      </x:c>
      <x:c r="E187" s="30" t="str">
        <x:f>'Raw Results'!D48</x:f>
        <x:v>896421585</x:v>
      </x:c>
      <x:c r="F187" s="30" t="str">
        <x:f>'Raw Results'!E48</x:f>
        <x:v>94487</x:v>
      </x:c>
      <x:c r="G187" s="30" t="str">
        <x:f>'Raw Results'!F48</x:f>
        <x:v>1</x:v>
      </x:c>
      <x:c r="H187" s="30" t="str">
        <x:f>'Raw Results'!G48</x:f>
        <x:v>500</x:v>
      </x:c>
      <x:c r="I187" s="32" t="str">
        <x:f>'Raw Results'!H48</x:f>
        <x:v>377.948</x:v>
      </x:c>
      <x:c r="J187" s="33" t="str">
        <x:f>'Raw Results'!I48</x:f>
        <x:v>0.7574108216432865</x:v>
      </x:c>
      <x:c r="K187" s="30" t="str">
        <x:f>'Raw Results'!AD48</x:f>
        <x:v>452</x:v>
      </x:c>
      <x:c r="L187" s="30" t="str">
        <x:f>'Raw Results'!AE48</x:f>
        <x:v>144</x:v>
      </x:c>
      <x:c r="M187" s="33" t="str">
        <x:f>'Raw Results'!AF48</x:f>
        <x:v>3.0488606999861076</x:v>
      </x:c>
      <x:c r="N187" s="30" t="n">
        <x:f>IF('Raw Results'!AG48="True",1,0)</x:f>
        <x:v>1</x:v>
      </x:c>
      <x:c r="O187" s="30" t="str">
        <x:f>'Raw Results'!AH48</x:f>
        <x:v>440</x:v>
      </x:c>
      <x:c r="P187" s="30" t="str">
        <x:f>'Raw Results'!AI48</x:f>
        <x:v>144</x:v>
      </x:c>
      <x:c r="Q187" s="33" t="str">
        <x:f>'Raw Results'!AJ48</x:f>
        <x:v>2.837141799973324</x:v>
      </x:c>
      <x:c r="R187" s="30" t="n">
        <x:f>IF('Raw Results'!AK48="True",1,0)</x:f>
        <x:v>1</x:v>
      </x:c>
      <x:c r="S187" s="30" t="n">
        <x:f>N187*R187</x:f>
        <x:v>1</x:v>
      </x:c>
      <x:c r="T187" s="30" t="n">
        <x:f>P187-L187</x:f>
        <x:v>0</x:v>
      </x:c>
      <x:c r="U187" s="30" t="n">
        <x:f>O187-K187</x:f>
        <x:v>-12</x:v>
      </x:c>
      <x:c r="V187" s="34" t="n">
        <x:f>Q187-M187</x:f>
        <x:v>-0.2117189000127837</x:v>
      </x:c>
      <x:c r="W187" s="35" t="n">
        <x:f>IF(L187=0,"",P187/L187)</x:f>
        <x:v>1</x:v>
      </x:c>
      <x:c r="X187" s="30" t="n">
        <x:f>K187-L187</x:f>
        <x:v>308</x:v>
      </x:c>
      <x:c r="Y187" s="30" t="n">
        <x:f>O187-P187</x:f>
        <x:v>296</x:v>
      </x:c>
      <x:c r="Z187" s="29" t="str">
        <x:f>IF(S187=0,"Excluded",IF(T187&lt;0,"Collision",IF(T187&gt;0,"Entropy","Tie")))</x:f>
        <x:v>Tie</x:v>
      </x:c>
      <x:c r="AA187" s="29" t="str">
        <x:f>IF(V187&lt;0,"Collision",IF(V187&gt;0,"Entropy","Tie"))</x:f>
        <x:v>Collision</x:v>
      </x:c>
      <x:c r="AB187" s="29" t="str">
        <x:f>'Raw Results'!AU48</x:f>
        <x:v>none</x:v>
      </x:c>
    </x:row>
    <x:row r="188">
      <x:c r="A188" s="29" t="str">
        <x:v>Zoomed Square</x:v>
      </x:c>
      <x:c r="B188" s="30" t="str">
        <x:f>'Raw Results'!A48</x:f>
        <x:v>500</x:v>
      </x:c>
      <x:c r="C188" s="31" t="str">
        <x:f>'Raw Results'!B48</x:f>
        <x:v>0.7</x:v>
      </x:c>
      <x:c r="D188" s="30" t="str">
        <x:f>'Raw Results'!C48</x:f>
        <x:v>2</x:v>
      </x:c>
      <x:c r="E188" s="30" t="str">
        <x:f>'Raw Results'!D48</x:f>
        <x:v>896421585</x:v>
      </x:c>
      <x:c r="F188" s="30" t="str">
        <x:f>'Raw Results'!E48</x:f>
        <x:v>94487</x:v>
      </x:c>
      <x:c r="G188" s="30" t="str">
        <x:f>'Raw Results'!F48</x:f>
        <x:v>1</x:v>
      </x:c>
      <x:c r="H188" s="30" t="str">
        <x:f>'Raw Results'!G48</x:f>
        <x:v>500</x:v>
      </x:c>
      <x:c r="I188" s="32" t="str">
        <x:f>'Raw Results'!H48</x:f>
        <x:v>377.948</x:v>
      </x:c>
      <x:c r="J188" s="33" t="str">
        <x:f>'Raw Results'!I48</x:f>
        <x:v>0.7574108216432865</x:v>
      </x:c>
      <x:c r="K188" s="30" t="str">
        <x:f>'Raw Results'!AV48</x:f>
        <x:v>406</x:v>
      </x:c>
      <x:c r="L188" s="30" t="str">
        <x:f>'Raw Results'!AW48</x:f>
        <x:v>142</x:v>
      </x:c>
      <x:c r="M188" s="33" t="str">
        <x:f>'Raw Results'!AX48</x:f>
        <x:v>6.6005553000140935</x:v>
      </x:c>
      <x:c r="N188" s="30" t="n">
        <x:f>IF('Raw Results'!AY48="True",1,0)</x:f>
        <x:v>1</x:v>
      </x:c>
      <x:c r="O188" s="30" t="str">
        <x:f>'Raw Results'!AZ48</x:f>
        <x:v>275</x:v>
      </x:c>
      <x:c r="P188" s="30" t="str">
        <x:f>'Raw Results'!BA48</x:f>
        <x:v>112</x:v>
      </x:c>
      <x:c r="Q188" s="33" t="str">
        <x:f>'Raw Results'!BB48</x:f>
        <x:v>6.547440900001675</x:v>
      </x:c>
      <x:c r="R188" s="30" t="n">
        <x:f>IF('Raw Results'!BC48="True",1,0)</x:f>
        <x:v>1</x:v>
      </x:c>
      <x:c r="S188" s="30" t="n">
        <x:f>N188*R188</x:f>
        <x:v>1</x:v>
      </x:c>
      <x:c r="T188" s="30" t="n">
        <x:f>P188-L188</x:f>
        <x:v>-30</x:v>
      </x:c>
      <x:c r="U188" s="30" t="n">
        <x:f>O188-K188</x:f>
        <x:v>-131</x:v>
      </x:c>
      <x:c r="V188" s="34" t="n">
        <x:f>Q188-M188</x:f>
        <x:v>-0.05311440001241863</x:v>
      </x:c>
      <x:c r="W188" s="35" t="n">
        <x:f>IF(L188=0,"",P188/L188)</x:f>
        <x:v>0.7887323943661971</x:v>
      </x:c>
      <x:c r="X188" s="30" t="n">
        <x:f>K188-L188</x:f>
        <x:v>264</x:v>
      </x:c>
      <x:c r="Y188" s="30" t="n">
        <x:f>O188-P188</x:f>
        <x:v>163</x:v>
      </x:c>
      <x:c r="Z188" s="29" t="str">
        <x:f>IF(S188=0,"Excluded",IF(T188&lt;0,"Collision",IF(T188&gt;0,"Entropy","Tie")))</x:f>
        <x:v>Collision</x:v>
      </x:c>
      <x:c r="AA188" s="29" t="str">
        <x:f>IF(V188&lt;0,"Collision",IF(V188&gt;0,"Entropy","Tie"))</x:f>
        <x:v>Collision</x:v>
      </x:c>
      <x:c r="AB188" s="29" t="str">
        <x:f>'Raw Results'!BM48</x:f>
        <x:v>none</x:v>
      </x:c>
    </x:row>
    <x:row r="189">
      <x:c r="A189" s="29" t="str">
        <x:v>ICH</x:v>
      </x:c>
      <x:c r="B189" s="30" t="str">
        <x:f>'Raw Results'!A48</x:f>
        <x:v>500</x:v>
      </x:c>
      <x:c r="C189" s="31" t="str">
        <x:f>'Raw Results'!B48</x:f>
        <x:v>0.7</x:v>
      </x:c>
      <x:c r="D189" s="30" t="str">
        <x:f>'Raw Results'!C48</x:f>
        <x:v>2</x:v>
      </x:c>
      <x:c r="E189" s="30" t="str">
        <x:f>'Raw Results'!D48</x:f>
        <x:v>896421585</x:v>
      </x:c>
      <x:c r="F189" s="30" t="str">
        <x:f>'Raw Results'!E48</x:f>
        <x:v>94487</x:v>
      </x:c>
      <x:c r="G189" s="30" t="str">
        <x:f>'Raw Results'!F48</x:f>
        <x:v>1</x:v>
      </x:c>
      <x:c r="H189" s="30" t="str">
        <x:f>'Raw Results'!G48</x:f>
        <x:v>500</x:v>
      </x:c>
      <x:c r="I189" s="32" t="str">
        <x:f>'Raw Results'!H48</x:f>
        <x:v>377.948</x:v>
      </x:c>
      <x:c r="J189" s="33" t="str">
        <x:f>'Raw Results'!I48</x:f>
        <x:v>0.7574108216432865</x:v>
      </x:c>
      <x:c r="K189" s="30" t="str">
        <x:f>'Raw Results'!BN48</x:f>
        <x:v>99</x:v>
      </x:c>
      <x:c r="L189" s="30" t="str">
        <x:f>'Raw Results'!BO48</x:f>
        <x:v>99</x:v>
      </x:c>
      <x:c r="M189" s="33" t="str">
        <x:f>'Raw Results'!BP48</x:f>
        <x:v>22.502508000005037</x:v>
      </x:c>
      <x:c r="N189" s="30" t="n">
        <x:f>IF('Raw Results'!BQ48="True",1,0)</x:f>
        <x:v>1</x:v>
      </x:c>
      <x:c r="O189" s="30" t="str">
        <x:f>'Raw Results'!BR48</x:f>
        <x:v>101</x:v>
      </x:c>
      <x:c r="P189" s="30" t="str">
        <x:f>'Raw Results'!BS48</x:f>
        <x:v>101</x:v>
      </x:c>
      <x:c r="Q189" s="33" t="str">
        <x:f>'Raw Results'!BT48</x:f>
        <x:v>21.053653400042094</x:v>
      </x:c>
      <x:c r="R189" s="30" t="n">
        <x:f>IF('Raw Results'!BU48="True",1,0)</x:f>
        <x:v>1</x:v>
      </x:c>
      <x:c r="S189" s="30" t="n">
        <x:f>N189*R189</x:f>
        <x:v>1</x:v>
      </x:c>
      <x:c r="T189" s="30" t="n">
        <x:f>P189-L189</x:f>
        <x:v>2</x:v>
      </x:c>
      <x:c r="U189" s="30" t="n">
        <x:f>O189-K189</x:f>
        <x:v>2</x:v>
      </x:c>
      <x:c r="V189" s="34" t="n">
        <x:f>Q189-M189</x:f>
        <x:v>-1.4488545999629423</x:v>
      </x:c>
      <x:c r="W189" s="35" t="n">
        <x:f>IF(L189=0,"",P189/L189)</x:f>
        <x:v>1.02020202020202</x:v>
      </x:c>
      <x:c r="X189" s="30" t="n">
        <x:f>K189-L189</x:f>
        <x:v>0</x:v>
      </x:c>
      <x:c r="Y189" s="30" t="n">
        <x:f>O189-P189</x:f>
        <x:v>0</x:v>
      </x:c>
      <x:c r="Z189" s="29" t="str">
        <x:f>IF(S189=0,"Excluded",IF(T189&lt;0,"Collision",IF(T189&gt;0,"Entropy","Tie")))</x:f>
        <x:v>Entropy</x:v>
      </x:c>
      <x:c r="AA189" s="29" t="str">
        <x:f>IF(V189&lt;0,"Collision",IF(V189&gt;0,"Entropy","Tie"))</x:f>
        <x:v>Collision</x:v>
      </x:c>
      <x:c r="AB189" s="29" t="str">
        <x:f>'Raw Results'!CE48</x:f>
        <x:v>none</x:v>
      </x:c>
    </x:row>
    <x:row r="190">
      <x:c r="A190" s="29" t="str">
        <x:v>Grid</x:v>
      </x:c>
      <x:c r="B190" s="30" t="str">
        <x:f>'Raw Results'!A49</x:f>
        <x:v>500</x:v>
      </x:c>
      <x:c r="C190" s="31" t="str">
        <x:f>'Raw Results'!B49</x:f>
        <x:v>0.7</x:v>
      </x:c>
      <x:c r="D190" s="30" t="str">
        <x:f>'Raw Results'!C49</x:f>
        <x:v>3</x:v>
      </x:c>
      <x:c r="E190" s="30" t="str">
        <x:f>'Raw Results'!D49</x:f>
        <x:v>1929132124</x:v>
      </x:c>
      <x:c r="F190" s="30" t="str">
        <x:f>'Raw Results'!E49</x:f>
        <x:v>88948</x:v>
      </x:c>
      <x:c r="G190" s="30" t="str">
        <x:f>'Raw Results'!F49</x:f>
        <x:v>1</x:v>
      </x:c>
      <x:c r="H190" s="30" t="str">
        <x:f>'Raw Results'!G49</x:f>
        <x:v>500</x:v>
      </x:c>
      <x:c r="I190" s="32" t="str">
        <x:f>'Raw Results'!H49</x:f>
        <x:v>355.792</x:v>
      </x:c>
      <x:c r="J190" s="33" t="str">
        <x:f>'Raw Results'!I49</x:f>
        <x:v>0.7130100200400802</x:v>
      </x:c>
      <x:c r="K190" s="30" t="str">
        <x:f>'Raw Results'!L49</x:f>
        <x:v>424</x:v>
      </x:c>
      <x:c r="L190" s="30" t="str">
        <x:f>'Raw Results'!M49</x:f>
        <x:v>111</x:v>
      </x:c>
      <x:c r="M190" s="33" t="str">
        <x:f>'Raw Results'!N49</x:f>
        <x:v>14.215119799948297</x:v>
      </x:c>
      <x:c r="N190" s="30" t="n">
        <x:f>IF('Raw Results'!O49="True",1,0)</x:f>
        <x:v>1</x:v>
      </x:c>
      <x:c r="O190" s="30" t="str">
        <x:f>'Raw Results'!P49</x:f>
        <x:v>99</x:v>
      </x:c>
      <x:c r="P190" s="30" t="str">
        <x:f>'Raw Results'!Q49</x:f>
        <x:v>94</x:v>
      </x:c>
      <x:c r="Q190" s="33" t="str">
        <x:f>'Raw Results'!R49</x:f>
        <x:v>8.750613800017163</x:v>
      </x:c>
      <x:c r="R190" s="30" t="n">
        <x:f>IF('Raw Results'!S49="True",1,0)</x:f>
        <x:v>1</x:v>
      </x:c>
      <x:c r="S190" s="30" t="n">
        <x:f>N190*R190</x:f>
        <x:v>1</x:v>
      </x:c>
      <x:c r="T190" s="30" t="n">
        <x:f>P190-L190</x:f>
        <x:v>-17</x:v>
      </x:c>
      <x:c r="U190" s="30" t="n">
        <x:f>O190-K190</x:f>
        <x:v>-325</x:v>
      </x:c>
      <x:c r="V190" s="34" t="n">
        <x:f>Q190-M190</x:f>
        <x:v>-5.464505999931134</x:v>
      </x:c>
      <x:c r="W190" s="35" t="n">
        <x:f>IF(L190=0,"",P190/L190)</x:f>
        <x:v>0.8468468468468469</x:v>
      </x:c>
      <x:c r="X190" s="30" t="n">
        <x:f>K190-L190</x:f>
        <x:v>313</x:v>
      </x:c>
      <x:c r="Y190" s="30" t="n">
        <x:f>O190-P190</x:f>
        <x:v>5</x:v>
      </x:c>
      <x:c r="Z190" s="29" t="str">
        <x:f>IF(S190=0,"Excluded",IF(T190&lt;0,"Collision",IF(T190&gt;0,"Entropy","Tie")))</x:f>
        <x:v>Collision</x:v>
      </x:c>
      <x:c r="AA190" s="29" t="str">
        <x:f>IF(V190&lt;0,"Collision",IF(V190&gt;0,"Entropy","Tie"))</x:f>
        <x:v>Collision</x:v>
      </x:c>
      <x:c r="AB190" s="29" t="str">
        <x:f>'Raw Results'!AC49</x:f>
        <x:v>none</x:v>
      </x:c>
    </x:row>
    <x:row r="191">
      <x:c r="A191" s="29" t="str">
        <x:v>Circle</x:v>
      </x:c>
      <x:c r="B191" s="30" t="str">
        <x:f>'Raw Results'!A49</x:f>
        <x:v>500</x:v>
      </x:c>
      <x:c r="C191" s="31" t="str">
        <x:f>'Raw Results'!B49</x:f>
        <x:v>0.7</x:v>
      </x:c>
      <x:c r="D191" s="30" t="str">
        <x:f>'Raw Results'!C49</x:f>
        <x:v>3</x:v>
      </x:c>
      <x:c r="E191" s="30" t="str">
        <x:f>'Raw Results'!D49</x:f>
        <x:v>1929132124</x:v>
      </x:c>
      <x:c r="F191" s="30" t="str">
        <x:f>'Raw Results'!E49</x:f>
        <x:v>88948</x:v>
      </x:c>
      <x:c r="G191" s="30" t="str">
        <x:f>'Raw Results'!F49</x:f>
        <x:v>1</x:v>
      </x:c>
      <x:c r="H191" s="30" t="str">
        <x:f>'Raw Results'!G49</x:f>
        <x:v>500</x:v>
      </x:c>
      <x:c r="I191" s="32" t="str">
        <x:f>'Raw Results'!H49</x:f>
        <x:v>355.792</x:v>
      </x:c>
      <x:c r="J191" s="33" t="str">
        <x:f>'Raw Results'!I49</x:f>
        <x:v>0.7130100200400802</x:v>
      </x:c>
      <x:c r="K191" s="30" t="str">
        <x:f>'Raw Results'!AD49</x:f>
        <x:v>316</x:v>
      </x:c>
      <x:c r="L191" s="30" t="str">
        <x:f>'Raw Results'!AE49</x:f>
        <x:v>147</x:v>
      </x:c>
      <x:c r="M191" s="33" t="str">
        <x:f>'Raw Results'!AF49</x:f>
        <x:v>3.1712197000160813</x:v>
      </x:c>
      <x:c r="N191" s="30" t="n">
        <x:f>IF('Raw Results'!AG49="True",1,0)</x:f>
        <x:v>1</x:v>
      </x:c>
      <x:c r="O191" s="30" t="str">
        <x:f>'Raw Results'!AH49</x:f>
        <x:v>309</x:v>
      </x:c>
      <x:c r="P191" s="30" t="str">
        <x:f>'Raw Results'!AI49</x:f>
        <x:v>153</x:v>
      </x:c>
      <x:c r="Q191" s="33" t="str">
        <x:f>'Raw Results'!AJ49</x:f>
        <x:v>3.1149930000538006</x:v>
      </x:c>
      <x:c r="R191" s="30" t="n">
        <x:f>IF('Raw Results'!AK49="True",1,0)</x:f>
        <x:v>1</x:v>
      </x:c>
      <x:c r="S191" s="30" t="n">
        <x:f>N191*R191</x:f>
        <x:v>1</x:v>
      </x:c>
      <x:c r="T191" s="30" t="n">
        <x:f>P191-L191</x:f>
        <x:v>6</x:v>
      </x:c>
      <x:c r="U191" s="30" t="n">
        <x:f>O191-K191</x:f>
        <x:v>-7</x:v>
      </x:c>
      <x:c r="V191" s="34" t="n">
        <x:f>Q191-M191</x:f>
        <x:v>-0.05622669996228069</x:v>
      </x:c>
      <x:c r="W191" s="35" t="n">
        <x:f>IF(L191=0,"",P191/L191)</x:f>
        <x:v>1.0408163265306123</x:v>
      </x:c>
      <x:c r="X191" s="30" t="n">
        <x:f>K191-L191</x:f>
        <x:v>169</x:v>
      </x:c>
      <x:c r="Y191" s="30" t="n">
        <x:f>O191-P191</x:f>
        <x:v>156</x:v>
      </x:c>
      <x:c r="Z191" s="29" t="str">
        <x:f>IF(S191=0,"Excluded",IF(T191&lt;0,"Collision",IF(T191&gt;0,"Entropy","Tie")))</x:f>
        <x:v>Entropy</x:v>
      </x:c>
      <x:c r="AA191" s="29" t="str">
        <x:f>IF(V191&lt;0,"Collision",IF(V191&gt;0,"Entropy","Tie"))</x:f>
        <x:v>Collision</x:v>
      </x:c>
      <x:c r="AB191" s="29" t="str">
        <x:f>'Raw Results'!AU49</x:f>
        <x:v>none</x:v>
      </x:c>
    </x:row>
    <x:row r="192">
      <x:c r="A192" s="29" t="str">
        <x:v>Zoomed Square</x:v>
      </x:c>
      <x:c r="B192" s="30" t="str">
        <x:f>'Raw Results'!A49</x:f>
        <x:v>500</x:v>
      </x:c>
      <x:c r="C192" s="31" t="str">
        <x:f>'Raw Results'!B49</x:f>
        <x:v>0.7</x:v>
      </x:c>
      <x:c r="D192" s="30" t="str">
        <x:f>'Raw Results'!C49</x:f>
        <x:v>3</x:v>
      </x:c>
      <x:c r="E192" s="30" t="str">
        <x:f>'Raw Results'!D49</x:f>
        <x:v>1929132124</x:v>
      </x:c>
      <x:c r="F192" s="30" t="str">
        <x:f>'Raw Results'!E49</x:f>
        <x:v>88948</x:v>
      </x:c>
      <x:c r="G192" s="30" t="str">
        <x:f>'Raw Results'!F49</x:f>
        <x:v>1</x:v>
      </x:c>
      <x:c r="H192" s="30" t="str">
        <x:f>'Raw Results'!G49</x:f>
        <x:v>500</x:v>
      </x:c>
      <x:c r="I192" s="32" t="str">
        <x:f>'Raw Results'!H49</x:f>
        <x:v>355.792</x:v>
      </x:c>
      <x:c r="J192" s="33" t="str">
        <x:f>'Raw Results'!I49</x:f>
        <x:v>0.7130100200400802</x:v>
      </x:c>
      <x:c r="K192" s="30" t="str">
        <x:f>'Raw Results'!AV49</x:f>
        <x:v>456</x:v>
      </x:c>
      <x:c r="L192" s="30" t="str">
        <x:f>'Raw Results'!AW49</x:f>
        <x:v>115</x:v>
      </x:c>
      <x:c r="M192" s="33" t="str">
        <x:f>'Raw Results'!AX49</x:f>
        <x:v>6.171383599983528</x:v>
      </x:c>
      <x:c r="N192" s="30" t="n">
        <x:f>IF('Raw Results'!AY49="True",1,0)</x:f>
        <x:v>1</x:v>
      </x:c>
      <x:c r="O192" s="30" t="str">
        <x:f>'Raw Results'!AZ49</x:f>
        <x:v>214</x:v>
      </x:c>
      <x:c r="P192" s="30" t="str">
        <x:f>'Raw Results'!BA49</x:f>
        <x:v>107</x:v>
      </x:c>
      <x:c r="Q192" s="33" t="str">
        <x:f>'Raw Results'!BB49</x:f>
        <x:v>5.550550599931739</x:v>
      </x:c>
      <x:c r="R192" s="30" t="n">
        <x:f>IF('Raw Results'!BC49="True",1,0)</x:f>
        <x:v>1</x:v>
      </x:c>
      <x:c r="S192" s="30" t="n">
        <x:f>N192*R192</x:f>
        <x:v>1</x:v>
      </x:c>
      <x:c r="T192" s="30" t="n">
        <x:f>P192-L192</x:f>
        <x:v>-8</x:v>
      </x:c>
      <x:c r="U192" s="30" t="n">
        <x:f>O192-K192</x:f>
        <x:v>-242</x:v>
      </x:c>
      <x:c r="V192" s="34" t="n">
        <x:f>Q192-M192</x:f>
        <x:v>-0.620833000051789</x:v>
      </x:c>
      <x:c r="W192" s="35" t="n">
        <x:f>IF(L192=0,"",P192/L192)</x:f>
        <x:v>0.9304347826086956</x:v>
      </x:c>
      <x:c r="X192" s="30" t="n">
        <x:f>K192-L192</x:f>
        <x:v>341</x:v>
      </x:c>
      <x:c r="Y192" s="30" t="n">
        <x:f>O192-P192</x:f>
        <x:v>107</x:v>
      </x:c>
      <x:c r="Z192" s="29" t="str">
        <x:f>IF(S192=0,"Excluded",IF(T192&lt;0,"Collision",IF(T192&gt;0,"Entropy","Tie")))</x:f>
        <x:v>Collision</x:v>
      </x:c>
      <x:c r="AA192" s="29" t="str">
        <x:f>IF(V192&lt;0,"Collision",IF(V192&gt;0,"Entropy","Tie"))</x:f>
        <x:v>Collision</x:v>
      </x:c>
      <x:c r="AB192" s="29" t="str">
        <x:f>'Raw Results'!BM49</x:f>
        <x:v>none</x:v>
      </x:c>
    </x:row>
    <x:row r="193">
      <x:c r="A193" s="36" t="str">
        <x:v>ICH</x:v>
      </x:c>
      <x:c r="B193" s="37" t="str">
        <x:f>'Raw Results'!A49</x:f>
        <x:v>500</x:v>
      </x:c>
      <x:c r="C193" s="38" t="str">
        <x:f>'Raw Results'!B49</x:f>
        <x:v>0.7</x:v>
      </x:c>
      <x:c r="D193" s="37" t="str">
        <x:f>'Raw Results'!C49</x:f>
        <x:v>3</x:v>
      </x:c>
      <x:c r="E193" s="37" t="str">
        <x:f>'Raw Results'!D49</x:f>
        <x:v>1929132124</x:v>
      </x:c>
      <x:c r="F193" s="37" t="str">
        <x:f>'Raw Results'!E49</x:f>
        <x:v>88948</x:v>
      </x:c>
      <x:c r="G193" s="37" t="str">
        <x:f>'Raw Results'!F49</x:f>
        <x:v>1</x:v>
      </x:c>
      <x:c r="H193" s="37" t="str">
        <x:f>'Raw Results'!G49</x:f>
        <x:v>500</x:v>
      </x:c>
      <x:c r="I193" s="39" t="str">
        <x:f>'Raw Results'!H49</x:f>
        <x:v>355.792</x:v>
      </x:c>
      <x:c r="J193" s="40" t="str">
        <x:f>'Raw Results'!I49</x:f>
        <x:v>0.7130100200400802</x:v>
      </x:c>
      <x:c r="K193" s="37" t="str">
        <x:f>'Raw Results'!BN49</x:f>
        <x:v>93</x:v>
      </x:c>
      <x:c r="L193" s="37" t="str">
        <x:f>'Raw Results'!BO49</x:f>
        <x:v>93</x:v>
      </x:c>
      <x:c r="M193" s="40" t="str">
        <x:f>'Raw Results'!BP49</x:f>
        <x:v>21.147465600050054</x:v>
      </x:c>
      <x:c r="N193" s="37" t="n">
        <x:f>IF('Raw Results'!BQ49="True",1,0)</x:f>
        <x:v>1</x:v>
      </x:c>
      <x:c r="O193" s="37" t="str">
        <x:f>'Raw Results'!BR49</x:f>
        <x:v>90</x:v>
      </x:c>
      <x:c r="P193" s="37" t="str">
        <x:f>'Raw Results'!BS49</x:f>
        <x:v>90</x:v>
      </x:c>
      <x:c r="Q193" s="40" t="str">
        <x:f>'Raw Results'!BT49</x:f>
        <x:v>19.434748400002718</x:v>
      </x:c>
      <x:c r="R193" s="37" t="n">
        <x:f>IF('Raw Results'!BU49="True",1,0)</x:f>
        <x:v>1</x:v>
      </x:c>
      <x:c r="S193" s="37" t="n">
        <x:f>N193*R193</x:f>
        <x:v>1</x:v>
      </x:c>
      <x:c r="T193" s="37" t="n">
        <x:f>P193-L193</x:f>
        <x:v>-3</x:v>
      </x:c>
      <x:c r="U193" s="37" t="n">
        <x:f>O193-K193</x:f>
        <x:v>-3</x:v>
      </x:c>
      <x:c r="V193" s="41" t="n">
        <x:f>Q193-M193</x:f>
        <x:v>-1.7127172000473365</x:v>
      </x:c>
      <x:c r="W193" s="42" t="n">
        <x:f>IF(L193=0,"",P193/L193)</x:f>
        <x:v>0.967741935483871</x:v>
      </x:c>
      <x:c r="X193" s="37" t="n">
        <x:f>K193-L193</x:f>
        <x:v>0</x:v>
      </x:c>
      <x:c r="Y193" s="37" t="n">
        <x:f>O193-P193</x:f>
        <x:v>0</x:v>
      </x:c>
      <x:c r="Z193" s="36" t="str">
        <x:f>IF(S193=0,"Excluded",IF(T193&lt;0,"Collision",IF(T193&gt;0,"Entropy","Tie")))</x:f>
        <x:v>Collision</x:v>
      </x:c>
      <x:c r="AA193" s="36" t="str">
        <x:f>IF(V193&lt;0,"Collision",IF(V193&gt;0,"Entropy","Tie"))</x:f>
        <x:v>Collision</x:v>
      </x:c>
      <x:c r="AB193" s="36" t="str">
        <x:f>'Raw Results'!CE49</x:f>
        <x:v>none</x:v>
      </x:c>
    </x:row>
  </x:sheetData>
  <x:conditionalFormatting sqref="T2:T193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591893d81e45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4" hidden="0" customWidth="1"/>
  </x:cols>
  <x:sheetData>
    <x:row r="1" ht="36" customHeight="1">
      <x:c r="A1" s="186" t="str">
        <x:v>Methodology and Findings</x:v>
      </x:c>
      <x:c r="B1" s="186"/>
    </x:row>
    <x:row r="3" ht="31" customHeight="1">
      <x:c r="A3" s="238" t="str">
        <x:v>Graph generator</x:v>
      </x:c>
      <x:c r="B3" s="239" t="str">
        <x:v>networkx.random_geometric_graph</x:v>
      </x:c>
    </x:row>
    <x:row r="4" ht="31" customHeight="1">
      <x:c r="A4" s="240" t="str">
        <x:v>Graph sizes</x:v>
      </x:c>
      <x:c r="B4" s="241" t="str">
        <x:v>50, 100, 200, 500</x:v>
      </x:c>
    </x:row>
    <x:row r="5" ht="31" customHeight="1">
      <x:c r="A5" s="240" t="str">
        <x:v>Connection radii</x:v>
      </x:c>
      <x:c r="B5" s="241" t="str">
        <x:v>0.1, 0.3, 0.5, 0.7</x:v>
      </x:c>
    </x:row>
    <x:row r="6" ht="31" customHeight="1">
      <x:c r="A6" s="240" t="str">
        <x:v>Repeats</x:v>
      </x:c>
      <x:c r="B6" s="241" t="str">
        <x:v>3 per (n, radius), producing 48 shared graphs</x:v>
      </x:c>
    </x:row>
    <x:row r="7" ht="31" customHeight="1">
      <x:c r="A7" s="240" t="str">
        <x:v>Compared pairs</x:v>
      </x:c>
      <x:c r="B7" s="241" t="str">
        <x:v>Grid, Circle, Zoomed Square, and ICH; Entropy vs. Collision for each</x:v>
      </x:c>
    </x:row>
    <x:row r="8" ht="31" customHeight="1">
      <x:c r="A8" s="240" t="str">
        <x:v>Candidate pool</x:v>
      </x:c>
      <x:c r="B8" s="241" t="str">
        <x:v>k_nearest=5 for geometric methods; ICH evaluates every remaining node</x:v>
      </x:c>
    </x:row>
    <x:row r="9" ht="31" customHeight="1">
      <x:c r="A9" s="240" t="str">
        <x:v>Base seed</x:v>
      </x:c>
      <x:c r="B9" s="241" t="n">
        <x:v>20260810</x:v>
      </x:c>
    </x:row>
    <x:row r="10" ht="31" customHeight="1">
      <x:c r="A10" s="240" t="str">
        <x:v>Pairing control</x:v>
      </x:c>
      <x:c r="B10" s="241" t="str">
        <x:v>Each pair receives the same graph and random seed; method order alternates by repeat</x:v>
      </x:c>
    </x:row>
    <x:row r="11" ht="31" customHeight="1">
      <x:c r="A11" s="240" t="str">
        <x:v>Timing</x:v>
      </x:c>
      <x:c r="B11" s="241" t="str">
        <x:v>Includes selection and shared pruning; excludes graph generation and independent validation</x:v>
      </x:c>
    </x:row>
    <x:row r="12" ht="31" customHeight="1">
      <x:c r="A12" s="240" t="str">
        <x:v>Size comparison</x:v>
      </x:c>
      <x:c r="B12" s="241" t="str">
        <x:v>Only rows where both methods independently validate are included</x:v>
      </x:c>
    </x:row>
    <x:row r="13" ht="31" customHeight="1">
      <x:c r="A13" s="240" t="str">
        <x:v>Outlier definition</x:v>
      </x:c>
      <x:c r="B13" s="241" t="str">
        <x:v>Collision exceeds Entropy by at least max(10 probes, 25%)</x:v>
      </x:c>
    </x:row>
    <x:row r="14" ht="31" customHeight="1">
      <x:c r="A14" s="240" t="str">
        <x:v>Primary outlier cause</x:v>
      </x:c>
      <x:c r="B14" s="241" t="str">
        <x:v>Local signature tracking resets for each cell/neighborhood, allowing cross-group pairs to remain identical</x:v>
      </x:c>
    </x:row>
    <x:row r="15" ht="31" customHeight="1">
      <x:c r="A15" s="240" t="str">
        <x:v>Why pruning stalls</x:v>
      </x:c>
      <x:c r="B15" s="241" t="str">
        <x:v>Removing a landmark cannot separate an already-colliding pair, so invalid input remains unpruned</x:v>
      </x:c>
    </x:row>
    <x:row r="16" ht="31" customHeight="1">
      <x:c r="A16" s="240" t="str">
        <x:v>Secondary valid losses</x:v>
      </x:c>
      <x:c r="B16" s="241" t="str">
        <x:v>Greedy choices, frequent integer-score ties, restricted candidate pools, and pruning order</x:v>
      </x:c>
    </x:row>
    <x:row r="17" ht="31" customHeight="1">
      <x:c r="A17" s="240" t="str">
        <x:v>Global-method evidence</x:v>
      </x:c>
      <x:c r="B17" s="241" t="str">
        <x:v>Circle and ICH had no large outliers; ICH Collision was valid on every graph</x:v>
      </x:c>
    </x:row>
    <x:row r="18" ht="31" customHeight="1">
      <x:c r="A18" s="240" t="str">
        <x:v>Recommended repair</x:v>
      </x:c>
      <x:c r="B18" s="241" t="str">
        <x:v>Before pruning, count global collisions; add globally collision-minimizing probes until valid, then prune</x:v>
      </x:c>
    </x:row>
    <x:row r="19" ht="31" customHeight="1">
      <x:c r="A19" s="240" t="str">
        <x:v>Recommended tie-break</x:v>
      </x:c>
      <x:c r="B19" s="241" t="str">
        <x:v>After local collision score: minimize global collisions, maximize conditional entropy, then distance and node id</x:v>
      </x:c>
    </x:row>
    <x:row r="20" ht="31" customHeight="1">
      <x:c r="A20" s="242" t="str">
        <x:v>Reporting rule</x:v>
      </x:c>
      <x:c r="B20" s="243" t="str">
        <x:v>Never report an invalid output as a resolving-set size; mark it invalid or report the repaired result</x:v>
      </x:c>
    </x:row>
  </x:sheetData>
  <x:mergeCells>
    <x:mergeCell ref="A1:B1"/>
  </x:mergeCells>
  <x:pageMargins left="0.7" right="0.7" top="0.75" bottom="0.75" header="0.3" footer="0.3"/>
</x:worksheet>
</file>