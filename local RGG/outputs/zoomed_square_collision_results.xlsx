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c7d5bcfd054351" /></Relationships>
</file>

<file path=xl/workbook.xml><?xml version="1.0" encoding="utf-8"?>
<x:workbook xmlns:x="http://schemas.openxmlformats.org/spreadsheetml/2006/main">
  <x:sheets>
    <x:sheet xmlns:r="http://schemas.openxmlformats.org/officeDocument/2006/relationships" name="Raw Results" sheetId="1" r:id="R4dcffd67019647df"/>
    <x:sheet xmlns:r="http://schemas.openxmlformats.org/officeDocument/2006/relationships" name="Analysis" sheetId="2" r:id="R127b974fd3924bb2"/>
    <x:sheet xmlns:r="http://schemas.openxmlformats.org/officeDocument/2006/relationships" name="Dashboard" sheetId="3" r:id="R1c56574afd984b56"/>
    <x:sheet xmlns:r="http://schemas.openxmlformats.org/officeDocument/2006/relationships" name="By Configuration" sheetId="4" r:id="Rddef1ae63f344816"/>
    <x:sheet xmlns:r="http://schemas.openxmlformats.org/officeDocument/2006/relationships" name="Methodology" sheetId="5" r:id="R06c1e5ed874c4f5e"/>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
    <x:numFmt numFmtId="201" formatCode="0.0"/>
    <x:numFmt numFmtId="202" formatCode="0.0000"/>
    <x:numFmt numFmtId="203" formatCode="+0;-0;0"/>
    <x:numFmt numFmtId="204" formatCode="+0.0000;-0.0000;0.0000"/>
    <x:numFmt numFmtId="205" formatCode="0.00x"/>
    <x:numFmt numFmtId="206" formatCode="+0.00;-0.00;0.00"/>
    <x:numFmt numFmtId="207" formatCode="0.0%"/>
    <x:numFmt numFmtId="208" formatCode="0.00"/>
  </x:numFmts>
  <x:fonts count="10">
    <x:font>
      <x:sz val="11"/>
      <x:name val="Carlito"/>
    </x:font>
    <x:font>
      <x:sz val="10"/>
      <x:color rgb="FF263746"/>
      <x:name val="Aptos"/>
    </x:font>
    <x:font>
      <x:b/>
      <x:sz val="9"/>
      <x:color rgb="FFFFFFFF"/>
      <x:name val="Aptos"/>
    </x:font>
    <x:font>
      <x:b/>
      <x:sz val="19"/>
      <x:color rgb="FFFFFFFF"/>
      <x:name val="Aptos Display"/>
    </x:font>
    <x:font>
      <x:i/>
      <x:sz val="10"/>
      <x:color rgb="FF263746"/>
      <x:name val="Aptos"/>
    </x:font>
    <x:font>
      <x:b/>
      <x:sz val="18"/>
      <x:color rgb="FF17324D"/>
      <x:name val="Aptos Display"/>
    </x:font>
    <x:font>
      <x:b/>
      <x:sz val="10"/>
      <x:color rgb="FFFFFFFF"/>
      <x:name val="Aptos"/>
    </x:font>
    <x:font>
      <x:sz val="11"/>
      <x:color rgb="FF263746"/>
      <x:name val="Aptos"/>
    </x:font>
    <x:font>
      <x:b/>
      <x:sz val="11"/>
      <x:color rgb="FF17324D"/>
      <x:name val="Aptos"/>
    </x:font>
    <x:font>
      <x:b/>
      <x:sz val="18"/>
      <x:color rgb="FFFFFFFF"/>
      <x:name val="Aptos Display"/>
    </x:font>
  </x:fonts>
  <x:fills count="7">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177D7A"/>
      </x:patternFill>
    </x:fill>
    <x:fill>
      <x:patternFill patternType="solid">
        <x:fgColor rgb="FFE8F5F3"/>
      </x:patternFill>
    </x:fill>
    <x:fill>
      <x:patternFill patternType="solid">
        <x:fgColor rgb="FFFFF5D6"/>
      </x:patternFill>
    </x:fill>
  </x:fills>
  <x:borders count="43">
    <x:border/>
    <x:border/>
    <x:border>
      <x:bottom style="thin">
        <x:color rgb="FFE6EBF0"/>
      </x:bottom>
    </x:border>
    <x:border>
      <x:top style="thin">
        <x:color rgb="FFE6EBF0"/>
      </x:top>
      <x:bottom style="thin">
        <x:color rgb="FFE6EBF0"/>
      </x:bottom>
    </x:border>
    <x:border>
      <x:top style="thin">
        <x:color rgb="FFE6EBF0"/>
      </x:top>
    </x:border>
    <x:border>
      <x:bottom style="thin">
        <x:color rgb="FFE6EBF0"/>
      </x:bottom>
    </x:border>
    <x:border>
      <x:top style="thin">
        <x:color rgb="FFE6EBF0"/>
      </x:top>
      <x:bottom style="thin">
        <x:color rgb="FFE6EBF0"/>
      </x:bottom>
    </x:border>
    <x:border>
      <x:top style="thin">
        <x:color rgb="FFE6EBF0"/>
      </x:top>
    </x:border>
    <x:border>
      <x:left style="thin">
        <x:color rgb="FFCDD8E2"/>
      </x:left>
      <x:top style="thin">
        <x:color rgb="FFCDD8E2"/>
      </x:top>
    </x:border>
    <x:border>
      <x:right style="thin">
        <x:color rgb="FFCDD8E2"/>
      </x:right>
      <x:top style="thin">
        <x:color rgb="FFCDD8E2"/>
      </x:top>
    </x:border>
    <x:border>
      <x:left style="thin">
        <x:color rgb="FFCDD8E2"/>
      </x:left>
      <x:bottom style="thin">
        <x:color rgb="FFCDD8E2"/>
      </x:bottom>
    </x:border>
    <x:border>
      <x:right style="thin">
        <x:color rgb="FFCDD8E2"/>
      </x:right>
      <x:bottom style="thin">
        <x:color rgb="FFCDD8E2"/>
      </x:bottom>
    </x:border>
    <x:border>
      <x:left style="thin">
        <x:color rgb="FFCDD8E2"/>
      </x:left>
      <x:top style="thin">
        <x:color rgb="FFCDD8E2"/>
      </x:top>
    </x:border>
    <x:border>
      <x:right style="thin">
        <x:color rgb="FFCDD8E2"/>
      </x:right>
      <x:top style="thin">
        <x:color rgb="FFCDD8E2"/>
      </x:top>
    </x:border>
    <x:border>
      <x:left style="thin">
        <x:color rgb="FFCDD8E2"/>
      </x:left>
      <x:bottom style="thin">
        <x:color rgb="FFCDD8E2"/>
      </x:bottom>
    </x:border>
    <x:border>
      <x:right style="thin">
        <x:color rgb="FFCDD8E2"/>
      </x:right>
      <x:bottom style="thin">
        <x:color rgb="FFCDD8E2"/>
      </x:bottom>
    </x:border>
    <x:border>
      <x:right style="thin">
        <x:color rgb="FFE6EBF0"/>
      </x:right>
      <x:bottom style="thin">
        <x:color rgb="FFE6EBF0"/>
      </x:bottom>
    </x:border>
    <x:border>
      <x:left style="thin">
        <x:color rgb="FFE6EBF0"/>
      </x:left>
      <x:right style="thin">
        <x:color rgb="FFE6EBF0"/>
      </x:right>
      <x:bottom style="thin">
        <x:color rgb="FFE6EBF0"/>
      </x:bottom>
    </x:border>
    <x:border>
      <x:left style="thin">
        <x:color rgb="FFE6EBF0"/>
      </x:left>
      <x:bottom style="thin">
        <x:color rgb="FFE6EBF0"/>
      </x:bottom>
    </x:border>
    <x:border>
      <x:right style="thin">
        <x:color rgb="FFE6EBF0"/>
      </x:right>
      <x:top style="thin">
        <x:color rgb="FFE6EBF0"/>
      </x:top>
    </x:border>
    <x:border>
      <x:left style="thin">
        <x:color rgb="FFE6EBF0"/>
      </x:left>
      <x:right style="thin">
        <x:color rgb="FFE6EBF0"/>
      </x:right>
      <x:top style="thin">
        <x:color rgb="FFE6EBF0"/>
      </x:top>
    </x:border>
    <x:border>
      <x:left style="thin">
        <x:color rgb="FFE6EBF0"/>
      </x:left>
      <x:top style="thin">
        <x:color rgb="FFE6EBF0"/>
      </x:top>
    </x:border>
    <x:border>
      <x:right style="thin">
        <x:color rgb="FFE6EBF0"/>
      </x:right>
      <x:bottom style="thin">
        <x:color rgb="FFE6EBF0"/>
      </x:bottom>
    </x:border>
    <x:border>
      <x:left style="thin">
        <x:color rgb="FFE6EBF0"/>
      </x:left>
      <x:right style="thin">
        <x:color rgb="FFE6EBF0"/>
      </x:right>
      <x:bottom style="thin">
        <x:color rgb="FFE6EBF0"/>
      </x:bottom>
    </x:border>
    <x:border>
      <x:left style="thin">
        <x:color rgb="FFE6EBF0"/>
      </x:left>
      <x:bottom style="thin">
        <x:color rgb="FFE6EBF0"/>
      </x:bottom>
    </x:border>
    <x:border>
      <x:right style="thin">
        <x:color rgb="FFE6EBF0"/>
      </x:right>
      <x:top style="thin">
        <x:color rgb="FFE6EBF0"/>
      </x:top>
    </x:border>
    <x:border>
      <x:left style="thin">
        <x:color rgb="FFE6EBF0"/>
      </x:left>
      <x:right style="thin">
        <x:color rgb="FFE6EBF0"/>
      </x:right>
      <x:top style="thin">
        <x:color rgb="FFE6EBF0"/>
      </x:top>
    </x:border>
    <x:border>
      <x:left style="thin">
        <x:color rgb="FFE6EBF0"/>
      </x:left>
      <x:top style="thin">
        <x:color rgb="FFE6EBF0"/>
      </x:top>
    </x:border>
    <x:border>
      <x:left style="thin">
        <x:color rgb="FFE7CE75"/>
      </x:left>
      <x:top style="thin">
        <x:color rgb="FFE7CE75"/>
      </x:top>
    </x:border>
    <x:border>
      <x:top style="thin">
        <x:color rgb="FFE7CE75"/>
      </x:top>
    </x:border>
    <x:border>
      <x:right style="thin">
        <x:color rgb="FFE7CE75"/>
      </x:right>
      <x:top style="thin">
        <x:color rgb="FFE7CE75"/>
      </x:top>
    </x:border>
    <x:border>
      <x:left style="thin">
        <x:color rgb="FFE7CE75"/>
      </x:left>
      <x:bottom style="thin">
        <x:color rgb="FFE7CE75"/>
      </x:bottom>
    </x:border>
    <x:border>
      <x:bottom style="thin">
        <x:color rgb="FFE7CE75"/>
      </x:bottom>
    </x:border>
    <x:border>
      <x:right style="thin">
        <x:color rgb="FFE7CE75"/>
      </x:right>
      <x:bottom style="thin">
        <x:color rgb="FFE7CE75"/>
      </x:bottom>
    </x:border>
    <x:border>
      <x:left style="thin">
        <x:color rgb="FFE7CE75"/>
      </x:left>
      <x:top style="thin">
        <x:color rgb="FFE7CE75"/>
      </x:top>
    </x:border>
    <x:border>
      <x:top style="thin">
        <x:color rgb="FFE7CE75"/>
      </x:top>
    </x:border>
    <x:border>
      <x:right style="thin">
        <x:color rgb="FFE7CE75"/>
      </x:right>
      <x:top style="thin">
        <x:color rgb="FFE7CE75"/>
      </x:top>
    </x:border>
    <x:border>
      <x:left style="thin">
        <x:color rgb="FFE7CE75"/>
      </x:left>
      <x:bottom style="thin">
        <x:color rgb="FFE7CE75"/>
      </x:bottom>
    </x:border>
    <x:border>
      <x:bottom style="thin">
        <x:color rgb="FFE7CE75"/>
      </x:bottom>
    </x:border>
    <x:border>
      <x:right style="thin">
        <x:color rgb="FFE7CE75"/>
      </x:right>
      <x:bottom style="thin">
        <x:color rgb="FFE7CE75"/>
      </x:bottom>
    </x:border>
    <x:border>
      <x:bottom style="thin">
        <x:color rgb="FFCDD8E2"/>
      </x:bottom>
    </x:border>
    <x:border>
      <x:top style="thin">
        <x:color rgb="FFCDD8E2"/>
      </x:top>
      <x:bottom style="thin">
        <x:color rgb="FFCDD8E2"/>
      </x:bottom>
    </x:border>
    <x:border>
      <x:top style="thin">
        <x:color rgb="FFCDD8E2"/>
      </x:top>
    </x:border>
  </x:borders>
  <x:cellStyleXfs count="1">
    <x:xf numFmtId="0" fontId="0" fillId="0" borderId="0"/>
  </x:cellStyleXfs>
  <x:cellXfs count="32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200" fontId="1" fillId="0" borderId="2" xfId="0" applyNumberFormat="1" applyFont="1" applyFill="1" applyBorder="1"/>
    <x:xf numFmtId="200" fontId="1" fillId="0" borderId="3" xfId="0" applyNumberFormat="1" applyFont="1" applyFill="1" applyBorder="1"/>
    <x:xf numFmtId="200" fontId="1" fillId="0" borderId="4" xfId="0" applyNumberFormat="1" applyFont="1" applyFill="1" applyBorder="1"/>
    <x:xf numFmtId="200" fontId="1" fillId="0" borderId="5" xfId="0" applyNumberFormat="1" applyFont="1" applyFill="1" applyBorder="1"/>
    <x:xf numFmtId="200" fontId="1" fillId="0" borderId="6" xfId="0" applyNumberFormat="1" applyFont="1" applyFill="1" applyBorder="1"/>
    <x:xf numFmtId="200" fontId="1" fillId="0" borderId="7" xfId="0" applyNumberFormat="1" applyFont="1" applyFill="1" applyBorder="1"/>
    <x:xf numFmtId="201" fontId="1" fillId="0" borderId="2" xfId="0" applyNumberFormat="1" applyFont="1" applyFill="1" applyBorder="1"/>
    <x:xf numFmtId="201" fontId="1" fillId="0" borderId="3" xfId="0" applyNumberFormat="1" applyFont="1" applyFill="1" applyBorder="1"/>
    <x:xf numFmtId="201" fontId="1" fillId="0" borderId="4" xfId="0" applyNumberFormat="1" applyFont="1" applyFill="1" applyBorder="1"/>
    <x:xf numFmtId="201" fontId="1" fillId="0" borderId="5" xfId="0" applyNumberFormat="1" applyFont="1" applyFill="1" applyBorder="1"/>
    <x:xf numFmtId="201" fontId="1" fillId="0" borderId="6" xfId="0" applyNumberFormat="1" applyFont="1" applyFill="1" applyBorder="1"/>
    <x:xf numFmtId="201" fontId="1" fillId="0" borderId="7" xfId="0" applyNumberFormat="1" applyFont="1" applyFill="1" applyBorder="1"/>
    <x:xf numFmtId="202" fontId="1" fillId="0" borderId="2" xfId="0" applyNumberFormat="1" applyFont="1" applyFill="1" applyBorder="1"/>
    <x:xf numFmtId="202" fontId="1" fillId="0" borderId="3" xfId="0" applyNumberFormat="1" applyFont="1" applyFill="1" applyBorder="1"/>
    <x:xf numFmtId="202" fontId="1" fillId="0" borderId="4" xfId="0" applyNumberFormat="1" applyFont="1" applyFill="1" applyBorder="1"/>
    <x:xf numFmtId="202" fontId="1" fillId="0" borderId="5" xfId="0" applyNumberFormat="1" applyFont="1" applyFill="1" applyBorder="1"/>
    <x:xf numFmtId="202" fontId="1" fillId="0" borderId="6" xfId="0" applyNumberFormat="1" applyFont="1" applyFill="1" applyBorder="1"/>
    <x:xf numFmtId="202" fontId="1" fillId="0" borderId="7" xfId="0" applyNumberFormat="1" applyFont="1" applyFill="1" applyBorder="1"/>
    <x:xf numFmtId="203" fontId="1" fillId="0" borderId="2" xfId="0" applyNumberFormat="1" applyFont="1" applyFill="1" applyBorder="1"/>
    <x:xf numFmtId="203" fontId="1" fillId="0" borderId="3" xfId="0" applyNumberFormat="1" applyFont="1" applyFill="1" applyBorder="1"/>
    <x:xf numFmtId="203" fontId="1" fillId="0" borderId="4" xfId="0" applyNumberFormat="1" applyFont="1" applyFill="1" applyBorder="1"/>
    <x:xf numFmtId="203" fontId="1" fillId="0" borderId="5" xfId="0" applyNumberFormat="1" applyFont="1" applyFill="1" applyBorder="1"/>
    <x:xf numFmtId="203" fontId="1" fillId="0" borderId="6" xfId="0" applyNumberFormat="1" applyFont="1" applyFill="1" applyBorder="1"/>
    <x:xf numFmtId="203" fontId="1" fillId="0" borderId="7" xfId="0" applyNumberFormat="1" applyFont="1" applyFill="1" applyBorder="1"/>
    <x:xf numFmtId="204" fontId="1" fillId="0" borderId="2" xfId="0" applyNumberFormat="1" applyFont="1" applyFill="1" applyBorder="1"/>
    <x:xf numFmtId="204" fontId="1" fillId="0" borderId="3" xfId="0" applyNumberFormat="1" applyFont="1" applyFill="1" applyBorder="1"/>
    <x:xf numFmtId="204" fontId="1" fillId="0" borderId="4" xfId="0" applyNumberFormat="1" applyFont="1" applyFill="1" applyBorder="1"/>
    <x:xf numFmtId="204" fontId="1" fillId="0" borderId="5" xfId="0" applyNumberFormat="1" applyFont="1" applyFill="1" applyBorder="1"/>
    <x:xf numFmtId="204" fontId="1" fillId="0" borderId="6" xfId="0" applyNumberFormat="1" applyFont="1" applyFill="1" applyBorder="1"/>
    <x:xf numFmtId="204" fontId="1" fillId="0" borderId="7" xfId="0" applyNumberFormat="1" applyFont="1" applyFill="1" applyBorder="1"/>
    <x:xf numFmtId="0" fontId="0" fillId="2" borderId="0" xfId="0" applyNumberFormat="1" applyFont="1" applyFill="1" applyBorder="1"/>
    <x:xf numFmtId="0" fontId="0" fillId="2"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200" fontId="0" fillId="0" borderId="2" xfId="0" applyNumberFormat="1" applyFont="1" applyFill="1" applyBorder="1"/>
    <x:xf numFmtId="201" fontId="0" fillId="0" borderId="2" xfId="0" applyNumberFormat="1" applyFont="1" applyFill="1" applyBorder="1"/>
    <x:xf numFmtId="203" fontId="0" fillId="0" borderId="2" xfId="0" applyNumberFormat="1" applyFont="1" applyFill="1" applyBorder="1"/>
    <x:xf numFmtId="0" fontId="0" fillId="0" borderId="2" xfId="0" applyNumberFormat="1" applyFont="1" applyFill="1" applyBorder="1"/>
    <x:xf numFmtId="204" fontId="0" fillId="0" borderId="2" xfId="0" applyNumberFormat="1" applyFont="1" applyFill="1" applyBorder="1"/>
    <x:xf numFmtId="205" fontId="0" fillId="0" borderId="2" xfId="0" applyNumberFormat="1" applyFont="1" applyFill="1" applyBorder="1"/>
    <x:xf numFmtId="200" fontId="0" fillId="0" borderId="3" xfId="0" applyNumberFormat="1" applyFont="1" applyFill="1" applyBorder="1"/>
    <x:xf numFmtId="201" fontId="0" fillId="0" borderId="3" xfId="0" applyNumberFormat="1" applyFont="1" applyFill="1" applyBorder="1"/>
    <x:xf numFmtId="203" fontId="0" fillId="0" borderId="3" xfId="0" applyNumberFormat="1" applyFont="1" applyFill="1" applyBorder="1"/>
    <x:xf numFmtId="0" fontId="0" fillId="0" borderId="3" xfId="0" applyNumberFormat="1" applyFont="1" applyFill="1" applyBorder="1"/>
    <x:xf numFmtId="204" fontId="0" fillId="0" borderId="3" xfId="0" applyNumberFormat="1" applyFont="1" applyFill="1" applyBorder="1"/>
    <x:xf numFmtId="205" fontId="0" fillId="0" borderId="3" xfId="0" applyNumberFormat="1" applyFont="1" applyFill="1" applyBorder="1"/>
    <x:xf numFmtId="200" fontId="0" fillId="0" borderId="4" xfId="0" applyNumberFormat="1" applyFont="1" applyFill="1" applyBorder="1"/>
    <x:xf numFmtId="201" fontId="0" fillId="0" borderId="4" xfId="0" applyNumberFormat="1" applyFont="1" applyFill="1" applyBorder="1"/>
    <x:xf numFmtId="203" fontId="0" fillId="0" borderId="4" xfId="0" applyNumberFormat="1" applyFont="1" applyFill="1" applyBorder="1"/>
    <x:xf numFmtId="0" fontId="0" fillId="0" borderId="4" xfId="0" applyNumberFormat="1" applyFont="1" applyFill="1" applyBorder="1"/>
    <x:xf numFmtId="204" fontId="0" fillId="0" borderId="4" xfId="0" applyNumberFormat="1" applyFont="1" applyFill="1" applyBorder="1"/>
    <x:xf numFmtId="205" fontId="0" fillId="0" borderId="4" xfId="0" applyNumberFormat="1" applyFont="1" applyFill="1" applyBorder="1"/>
    <x:xf numFmtId="200" fontId="0" fillId="0" borderId="5" xfId="0" applyNumberFormat="1" applyFont="1" applyFill="1" applyBorder="1"/>
    <x:xf numFmtId="201" fontId="0" fillId="0" borderId="5" xfId="0" applyNumberFormat="1" applyFont="1" applyFill="1" applyBorder="1"/>
    <x:xf numFmtId="203" fontId="0" fillId="0" borderId="5" xfId="0" applyNumberFormat="1" applyFont="1" applyFill="1" applyBorder="1"/>
    <x:xf numFmtId="0" fontId="0" fillId="0" borderId="5" xfId="0" applyNumberFormat="1" applyFont="1" applyFill="1" applyBorder="1"/>
    <x:xf numFmtId="204" fontId="0" fillId="0" borderId="5" xfId="0" applyNumberFormat="1" applyFont="1" applyFill="1" applyBorder="1"/>
    <x:xf numFmtId="205" fontId="0" fillId="0" borderId="5" xfId="0" applyNumberFormat="1" applyFont="1" applyFill="1" applyBorder="1"/>
    <x:xf numFmtId="200" fontId="0" fillId="0" borderId="6" xfId="0" applyNumberFormat="1" applyFont="1" applyFill="1" applyBorder="1"/>
    <x:xf numFmtId="201" fontId="0" fillId="0" borderId="6" xfId="0" applyNumberFormat="1" applyFont="1" applyFill="1" applyBorder="1"/>
    <x:xf numFmtId="203" fontId="0" fillId="0" borderId="6" xfId="0" applyNumberFormat="1" applyFont="1" applyFill="1" applyBorder="1"/>
    <x:xf numFmtId="0" fontId="0" fillId="0" borderId="6" xfId="0" applyNumberFormat="1" applyFont="1" applyFill="1" applyBorder="1"/>
    <x:xf numFmtId="204" fontId="0" fillId="0" borderId="6" xfId="0" applyNumberFormat="1" applyFont="1" applyFill="1" applyBorder="1"/>
    <x:xf numFmtId="205" fontId="0" fillId="0" borderId="6" xfId="0" applyNumberFormat="1" applyFont="1" applyFill="1" applyBorder="1"/>
    <x:xf numFmtId="200" fontId="0" fillId="0" borderId="7" xfId="0" applyNumberFormat="1" applyFont="1" applyFill="1" applyBorder="1"/>
    <x:xf numFmtId="201" fontId="0" fillId="0" borderId="7" xfId="0" applyNumberFormat="1" applyFont="1" applyFill="1" applyBorder="1"/>
    <x:xf numFmtId="203" fontId="0" fillId="0" borderId="7" xfId="0" applyNumberFormat="1" applyFont="1" applyFill="1" applyBorder="1"/>
    <x:xf numFmtId="0" fontId="0" fillId="0" borderId="7" xfId="0" applyNumberFormat="1" applyFont="1" applyFill="1" applyBorder="1"/>
    <x:xf numFmtId="204" fontId="0" fillId="0" borderId="7" xfId="0" applyNumberFormat="1" applyFont="1" applyFill="1" applyBorder="1"/>
    <x:xf numFmtId="205" fontId="0" fillId="0" borderId="7"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4"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horizontal="center"/>
    </x:xf>
    <x:xf numFmtId="0" fontId="2" fillId="4" borderId="1"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2" fillId="4" borderId="1" xfId="0" applyNumberFormat="1" applyFont="1" applyFill="1" applyBorder="1" applyAlignment="1">
      <x:alignment horizontal="center" vertical="center"/>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12" xfId="0" applyNumberFormat="1" applyFont="1" applyFill="1" applyBorder="1"/>
    <x:xf numFmtId="0" fontId="5" fillId="5" borderId="13" xfId="0" applyNumberFormat="1" applyFont="1" applyFill="1" applyBorder="1"/>
    <x:xf numFmtId="0" fontId="5" fillId="5" borderId="14" xfId="0" applyNumberFormat="1" applyFont="1" applyFill="1" applyBorder="1"/>
    <x:xf numFmtId="0" fontId="5" fillId="5" borderId="15" xfId="0" applyNumberFormat="1" applyFont="1" applyFill="1" applyBorder="1"/>
    <x:xf numFmtId="200" fontId="5" fillId="5" borderId="8" xfId="0" applyNumberFormat="1" applyFont="1" applyFill="1" applyBorder="1"/>
    <x:xf numFmtId="200" fontId="5" fillId="5" borderId="9" xfId="0" applyNumberFormat="1" applyFont="1" applyFill="1" applyBorder="1"/>
    <x:xf numFmtId="200" fontId="5" fillId="5" borderId="10" xfId="0" applyNumberFormat="1" applyFont="1" applyFill="1" applyBorder="1"/>
    <x:xf numFmtId="200" fontId="5" fillId="5" borderId="11" xfId="0" applyNumberFormat="1" applyFont="1" applyFill="1" applyBorder="1"/>
    <x:xf numFmtId="200" fontId="5" fillId="5" borderId="12" xfId="0" applyNumberFormat="1" applyFont="1" applyFill="1" applyBorder="1"/>
    <x:xf numFmtId="200" fontId="5" fillId="5" borderId="13" xfId="0" applyNumberFormat="1" applyFont="1" applyFill="1" applyBorder="1"/>
    <x:xf numFmtId="200" fontId="5" fillId="5" borderId="14" xfId="0" applyNumberFormat="1" applyFont="1" applyFill="1" applyBorder="1"/>
    <x:xf numFmtId="200" fontId="5" fillId="5" borderId="15" xfId="0" applyNumberFormat="1" applyFont="1" applyFill="1" applyBorder="1"/>
    <x:xf numFmtId="200" fontId="5" fillId="5" borderId="8" xfId="0" applyNumberFormat="1" applyFont="1" applyFill="1" applyBorder="1" applyAlignment="1">
      <x:alignment horizontal="center"/>
    </x:xf>
    <x:xf numFmtId="200" fontId="5" fillId="5" borderId="9" xfId="0" applyNumberFormat="1" applyFont="1" applyFill="1" applyBorder="1" applyAlignment="1">
      <x:alignment horizontal="center"/>
    </x:xf>
    <x:xf numFmtId="200" fontId="5" fillId="5" borderId="10" xfId="0" applyNumberFormat="1" applyFont="1" applyFill="1" applyBorder="1" applyAlignment="1">
      <x:alignment horizontal="center"/>
    </x:xf>
    <x:xf numFmtId="200" fontId="5" fillId="5" borderId="11" xfId="0" applyNumberFormat="1" applyFont="1" applyFill="1" applyBorder="1" applyAlignment="1">
      <x:alignment horizontal="center"/>
    </x:xf>
    <x:xf numFmtId="200" fontId="5" fillId="5" borderId="12" xfId="0" applyNumberFormat="1" applyFont="1" applyFill="1" applyBorder="1" applyAlignment="1">
      <x:alignment horizontal="center"/>
    </x:xf>
    <x:xf numFmtId="200" fontId="5" fillId="5" borderId="13" xfId="0" applyNumberFormat="1" applyFont="1" applyFill="1" applyBorder="1" applyAlignment="1">
      <x:alignment horizontal="center"/>
    </x:xf>
    <x:xf numFmtId="200" fontId="5" fillId="5" borderId="14" xfId="0" applyNumberFormat="1" applyFont="1" applyFill="1" applyBorder="1" applyAlignment="1">
      <x:alignment horizontal="center"/>
    </x:xf>
    <x:xf numFmtId="200" fontId="5" fillId="5" borderId="15" xfId="0" applyNumberFormat="1" applyFont="1" applyFill="1" applyBorder="1" applyAlignment="1">
      <x:alignment horizontal="center"/>
    </x:xf>
    <x:xf numFmtId="200" fontId="5" fillId="5" borderId="8" xfId="0" applyNumberFormat="1" applyFont="1" applyFill="1" applyBorder="1" applyAlignment="1">
      <x:alignment horizontal="center" vertical="center"/>
    </x:xf>
    <x:xf numFmtId="200" fontId="5" fillId="5" borderId="9" xfId="0" applyNumberFormat="1" applyFont="1" applyFill="1" applyBorder="1" applyAlignment="1">
      <x:alignment horizontal="center" vertical="center"/>
    </x:xf>
    <x:xf numFmtId="200" fontId="5" fillId="5" borderId="10" xfId="0" applyNumberFormat="1" applyFont="1" applyFill="1" applyBorder="1" applyAlignment="1">
      <x:alignment horizontal="center" vertical="center"/>
    </x:xf>
    <x:xf numFmtId="200" fontId="5" fillId="5" borderId="11" xfId="0" applyNumberFormat="1" applyFont="1" applyFill="1" applyBorder="1" applyAlignment="1">
      <x:alignment horizontal="center" vertical="center"/>
    </x:xf>
    <x:xf numFmtId="200" fontId="5" fillId="5" borderId="12" xfId="0" applyNumberFormat="1" applyFont="1" applyFill="1" applyBorder="1" applyAlignment="1">
      <x:alignment horizontal="center" vertical="center"/>
    </x:xf>
    <x:xf numFmtId="200" fontId="5" fillId="5" borderId="13" xfId="0" applyNumberFormat="1" applyFont="1" applyFill="1" applyBorder="1" applyAlignment="1">
      <x:alignment horizontal="center" vertical="center"/>
    </x:xf>
    <x:xf numFmtId="200" fontId="5" fillId="5" borderId="14" xfId="0" applyNumberFormat="1" applyFont="1" applyFill="1" applyBorder="1" applyAlignment="1">
      <x:alignment horizontal="center" vertical="center"/>
    </x:xf>
    <x:xf numFmtId="200" fontId="5" fillId="5" borderId="15" xfId="0" applyNumberFormat="1" applyFont="1" applyFill="1" applyBorder="1" applyAlignment="1">
      <x:alignment horizontal="center" vertical="center"/>
    </x:xf>
    <x:xf numFmtId="206" fontId="5" fillId="5" borderId="8" xfId="0" applyNumberFormat="1" applyFont="1" applyFill="1" applyBorder="1"/>
    <x:xf numFmtId="206" fontId="5" fillId="5" borderId="9" xfId="0" applyNumberFormat="1" applyFont="1" applyFill="1" applyBorder="1"/>
    <x:xf numFmtId="206" fontId="5" fillId="5" borderId="10" xfId="0" applyNumberFormat="1" applyFont="1" applyFill="1" applyBorder="1"/>
    <x:xf numFmtId="206" fontId="5" fillId="5" borderId="11" xfId="0" applyNumberFormat="1" applyFont="1" applyFill="1" applyBorder="1"/>
    <x:xf numFmtId="206" fontId="5" fillId="5" borderId="12" xfId="0" applyNumberFormat="1" applyFont="1" applyFill="1" applyBorder="1"/>
    <x:xf numFmtId="206" fontId="5" fillId="5" borderId="13" xfId="0" applyNumberFormat="1" applyFont="1" applyFill="1" applyBorder="1"/>
    <x:xf numFmtId="206" fontId="5" fillId="5" borderId="14" xfId="0" applyNumberFormat="1" applyFont="1" applyFill="1" applyBorder="1"/>
    <x:xf numFmtId="206" fontId="5" fillId="5" borderId="15" xfId="0" applyNumberFormat="1" applyFont="1" applyFill="1" applyBorder="1"/>
    <x:xf numFmtId="206" fontId="5" fillId="5" borderId="8" xfId="0" applyNumberFormat="1" applyFont="1" applyFill="1" applyBorder="1" applyAlignment="1">
      <x:alignment horizontal="center"/>
    </x:xf>
    <x:xf numFmtId="206" fontId="5" fillId="5" borderId="9" xfId="0" applyNumberFormat="1" applyFont="1" applyFill="1" applyBorder="1" applyAlignment="1">
      <x:alignment horizontal="center"/>
    </x:xf>
    <x:xf numFmtId="206" fontId="5" fillId="5" borderId="10" xfId="0" applyNumberFormat="1" applyFont="1" applyFill="1" applyBorder="1" applyAlignment="1">
      <x:alignment horizontal="center"/>
    </x:xf>
    <x:xf numFmtId="206" fontId="5" fillId="5" borderId="11" xfId="0" applyNumberFormat="1" applyFont="1" applyFill="1" applyBorder="1" applyAlignment="1">
      <x:alignment horizontal="center"/>
    </x:xf>
    <x:xf numFmtId="206" fontId="5" fillId="5" borderId="12" xfId="0" applyNumberFormat="1" applyFont="1" applyFill="1" applyBorder="1" applyAlignment="1">
      <x:alignment horizontal="center"/>
    </x:xf>
    <x:xf numFmtId="206" fontId="5" fillId="5" borderId="13" xfId="0" applyNumberFormat="1" applyFont="1" applyFill="1" applyBorder="1" applyAlignment="1">
      <x:alignment horizontal="center"/>
    </x:xf>
    <x:xf numFmtId="206" fontId="5" fillId="5" borderId="14" xfId="0" applyNumberFormat="1" applyFont="1" applyFill="1" applyBorder="1" applyAlignment="1">
      <x:alignment horizontal="center"/>
    </x:xf>
    <x:xf numFmtId="206" fontId="5" fillId="5" borderId="15" xfId="0" applyNumberFormat="1" applyFont="1" applyFill="1" applyBorder="1" applyAlignment="1">
      <x:alignment horizontal="center"/>
    </x:xf>
    <x:xf numFmtId="206" fontId="5" fillId="5" borderId="8" xfId="0" applyNumberFormat="1" applyFont="1" applyFill="1" applyBorder="1" applyAlignment="1">
      <x:alignment horizontal="center" vertical="center"/>
    </x:xf>
    <x:xf numFmtId="206" fontId="5" fillId="5" borderId="9" xfId="0" applyNumberFormat="1" applyFont="1" applyFill="1" applyBorder="1" applyAlignment="1">
      <x:alignment horizontal="center" vertical="center"/>
    </x:xf>
    <x:xf numFmtId="206" fontId="5" fillId="5" borderId="10" xfId="0" applyNumberFormat="1" applyFont="1" applyFill="1" applyBorder="1" applyAlignment="1">
      <x:alignment horizontal="center" vertical="center"/>
    </x:xf>
    <x:xf numFmtId="206" fontId="5" fillId="5" borderId="11" xfId="0" applyNumberFormat="1" applyFont="1" applyFill="1" applyBorder="1" applyAlignment="1">
      <x:alignment horizontal="center" vertical="center"/>
    </x:xf>
    <x:xf numFmtId="206" fontId="5" fillId="5" borderId="12" xfId="0" applyNumberFormat="1" applyFont="1" applyFill="1" applyBorder="1" applyAlignment="1">
      <x:alignment horizontal="center" vertical="center"/>
    </x:xf>
    <x:xf numFmtId="206" fontId="5" fillId="5" borderId="13" xfId="0" applyNumberFormat="1" applyFont="1" applyFill="1" applyBorder="1" applyAlignment="1">
      <x:alignment horizontal="center" vertical="center"/>
    </x:xf>
    <x:xf numFmtId="206" fontId="5" fillId="5" borderId="14" xfId="0" applyNumberFormat="1" applyFont="1" applyFill="1" applyBorder="1" applyAlignment="1">
      <x:alignment horizontal="center" vertical="center"/>
    </x:xf>
    <x:xf numFmtId="206" fontId="5" fillId="5" borderId="15" xfId="0" applyNumberFormat="1" applyFont="1" applyFill="1" applyBorder="1" applyAlignment="1">
      <x:alignment horizontal="center" vertical="center"/>
    </x:xf>
    <x:xf numFmtId="205" fontId="5" fillId="5" borderId="8" xfId="0" applyNumberFormat="1" applyFont="1" applyFill="1" applyBorder="1"/>
    <x:xf numFmtId="205" fontId="5" fillId="5" borderId="9" xfId="0" applyNumberFormat="1" applyFont="1" applyFill="1" applyBorder="1"/>
    <x:xf numFmtId="205" fontId="5" fillId="5" borderId="10" xfId="0" applyNumberFormat="1" applyFont="1" applyFill="1" applyBorder="1"/>
    <x:xf numFmtId="205" fontId="5" fillId="5" borderId="11" xfId="0" applyNumberFormat="1" applyFont="1" applyFill="1" applyBorder="1"/>
    <x:xf numFmtId="205" fontId="5" fillId="5" borderId="12" xfId="0" applyNumberFormat="1" applyFont="1" applyFill="1" applyBorder="1"/>
    <x:xf numFmtId="205" fontId="5" fillId="5" borderId="13" xfId="0" applyNumberFormat="1" applyFont="1" applyFill="1" applyBorder="1"/>
    <x:xf numFmtId="205" fontId="5" fillId="5" borderId="14" xfId="0" applyNumberFormat="1" applyFont="1" applyFill="1" applyBorder="1"/>
    <x:xf numFmtId="205" fontId="5" fillId="5" borderId="15" xfId="0" applyNumberFormat="1" applyFont="1" applyFill="1" applyBorder="1"/>
    <x:xf numFmtId="205" fontId="5" fillId="5" borderId="8" xfId="0" applyNumberFormat="1" applyFont="1" applyFill="1" applyBorder="1" applyAlignment="1">
      <x:alignment horizontal="center"/>
    </x:xf>
    <x:xf numFmtId="205" fontId="5" fillId="5" borderId="9" xfId="0" applyNumberFormat="1" applyFont="1" applyFill="1" applyBorder="1" applyAlignment="1">
      <x:alignment horizontal="center"/>
    </x:xf>
    <x:xf numFmtId="205" fontId="5" fillId="5" borderId="10" xfId="0" applyNumberFormat="1" applyFont="1" applyFill="1" applyBorder="1" applyAlignment="1">
      <x:alignment horizontal="center"/>
    </x:xf>
    <x:xf numFmtId="205" fontId="5" fillId="5" borderId="11" xfId="0" applyNumberFormat="1" applyFont="1" applyFill="1" applyBorder="1" applyAlignment="1">
      <x:alignment horizontal="center"/>
    </x:xf>
    <x:xf numFmtId="205" fontId="5" fillId="5" borderId="12" xfId="0" applyNumberFormat="1" applyFont="1" applyFill="1" applyBorder="1" applyAlignment="1">
      <x:alignment horizontal="center"/>
    </x:xf>
    <x:xf numFmtId="205" fontId="5" fillId="5" borderId="13" xfId="0" applyNumberFormat="1" applyFont="1" applyFill="1" applyBorder="1" applyAlignment="1">
      <x:alignment horizontal="center"/>
    </x:xf>
    <x:xf numFmtId="205" fontId="5" fillId="5" borderId="14" xfId="0" applyNumberFormat="1" applyFont="1" applyFill="1" applyBorder="1" applyAlignment="1">
      <x:alignment horizontal="center"/>
    </x:xf>
    <x:xf numFmtId="205" fontId="5" fillId="5" borderId="15" xfId="0" applyNumberFormat="1" applyFont="1" applyFill="1" applyBorder="1" applyAlignment="1">
      <x:alignment horizontal="center"/>
    </x:xf>
    <x:xf numFmtId="205" fontId="5" fillId="5" borderId="8" xfId="0" applyNumberFormat="1" applyFont="1" applyFill="1" applyBorder="1" applyAlignment="1">
      <x:alignment horizontal="center" vertical="center"/>
    </x:xf>
    <x:xf numFmtId="205" fontId="5" fillId="5" borderId="9" xfId="0" applyNumberFormat="1" applyFont="1" applyFill="1" applyBorder="1" applyAlignment="1">
      <x:alignment horizontal="center" vertical="center"/>
    </x:xf>
    <x:xf numFmtId="205" fontId="5" fillId="5" borderId="10" xfId="0" applyNumberFormat="1" applyFont="1" applyFill="1" applyBorder="1" applyAlignment="1">
      <x:alignment horizontal="center" vertical="center"/>
    </x:xf>
    <x:xf numFmtId="205" fontId="5" fillId="5" borderId="11" xfId="0" applyNumberFormat="1" applyFont="1" applyFill="1" applyBorder="1" applyAlignment="1">
      <x:alignment horizontal="center" vertical="center"/>
    </x:xf>
    <x:xf numFmtId="205" fontId="5" fillId="5" borderId="12" xfId="0" applyNumberFormat="1" applyFont="1" applyFill="1" applyBorder="1" applyAlignment="1">
      <x:alignment horizontal="center" vertical="center"/>
    </x:xf>
    <x:xf numFmtId="205" fontId="5" fillId="5" borderId="13" xfId="0" applyNumberFormat="1" applyFont="1" applyFill="1" applyBorder="1" applyAlignment="1">
      <x:alignment horizontal="center" vertical="center"/>
    </x:xf>
    <x:xf numFmtId="205" fontId="5" fillId="5" borderId="14" xfId="0" applyNumberFormat="1" applyFont="1" applyFill="1" applyBorder="1" applyAlignment="1">
      <x:alignment horizontal="center" vertical="center"/>
    </x:xf>
    <x:xf numFmtId="205" fontId="5" fillId="5" borderId="15" xfId="0" applyNumberFormat="1" applyFont="1" applyFill="1" applyBorder="1" applyAlignment="1">
      <x:alignment horizontal="center" vertical="center"/>
    </x:xf>
    <x:xf numFmtId="0" fontId="6" fillId="2" borderId="0" xfId="0" applyNumberFormat="1" applyFont="1" applyFill="1" applyBorder="1"/>
    <x:xf numFmtId="0" fontId="6" fillId="2" borderId="1" xfId="0" applyNumberFormat="1" applyFont="1" applyFill="1" applyBorder="1"/>
    <x:xf numFmtId="0" fontId="6" fillId="2" borderId="0" xfId="0" applyNumberFormat="1" applyFont="1" applyFill="1" applyBorder="1" applyAlignment="1">
      <x:alignment wrapText="1"/>
    </x:xf>
    <x:xf numFmtId="0" fontId="6" fillId="2" borderId="1" xfId="0" applyNumberFormat="1" applyFont="1" applyFill="1" applyBorder="1" applyAlignment="1">
      <x:alignment wrapText="1"/>
    </x:xf>
    <x:xf numFmtId="0" fontId="6" fillId="2" borderId="0" xfId="0" applyNumberFormat="1" applyFont="1" applyFill="1" applyBorder="1" applyAlignment="1">
      <x:alignment vertical="center" wrapText="1"/>
    </x:xf>
    <x:xf numFmtId="0" fontId="6" fillId="2" borderId="1" xfId="0" applyNumberFormat="1" applyFont="1" applyFill="1" applyBorder="1" applyAlignment="1">
      <x:alignment vertical="center" wrapText="1"/>
    </x:xf>
    <x:xf numFmtId="0" fontId="7" fillId="0" borderId="0" xfId="0" applyNumberFormat="1" applyFont="1" applyFill="1" applyBorder="1"/>
    <x:xf numFmtId="0" fontId="7" fillId="0" borderId="1" xfId="0" applyNumberFormat="1" applyFont="1" applyFill="1" applyBorder="1"/>
    <x:xf numFmtId="0" fontId="7" fillId="0" borderId="16" xfId="0" applyNumberFormat="1" applyFont="1" applyFill="1" applyBorder="1"/>
    <x:xf numFmtId="0" fontId="7" fillId="0" borderId="17"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22" xfId="0" applyNumberFormat="1" applyFont="1" applyFill="1" applyBorder="1"/>
    <x:xf numFmtId="0" fontId="7" fillId="0" borderId="23" xfId="0" applyNumberFormat="1" applyFont="1" applyFill="1" applyBorder="1"/>
    <x:xf numFmtId="0" fontId="7" fillId="0" borderId="24" xfId="0" applyNumberFormat="1" applyFont="1" applyFill="1" applyBorder="1"/>
    <x:xf numFmtId="0" fontId="7" fillId="0" borderId="25" xfId="0" applyNumberFormat="1" applyFont="1" applyFill="1" applyBorder="1"/>
    <x:xf numFmtId="0" fontId="7" fillId="0" borderId="26" xfId="0" applyNumberFormat="1" applyFont="1" applyFill="1" applyBorder="1"/>
    <x:xf numFmtId="0" fontId="7" fillId="0" borderId="27" xfId="0" applyNumberFormat="1" applyFont="1" applyFill="1" applyBorder="1"/>
    <x:xf numFmtId="0" fontId="8" fillId="0" borderId="16" xfId="0" applyNumberFormat="1" applyFont="1" applyFill="1" applyBorder="1"/>
    <x:xf numFmtId="0" fontId="8" fillId="0" borderId="19" xfId="0" applyNumberFormat="1" applyFont="1" applyFill="1" applyBorder="1"/>
    <x:xf numFmtId="0" fontId="8" fillId="0" borderId="22" xfId="0" applyNumberFormat="1" applyFont="1" applyFill="1" applyBorder="1"/>
    <x:xf numFmtId="0" fontId="8" fillId="0" borderId="25" xfId="0" applyNumberFormat="1" applyFont="1" applyFill="1" applyBorder="1"/>
    <x:xf numFmtId="200" fontId="7" fillId="0" borderId="17" xfId="0" applyNumberFormat="1" applyFont="1" applyFill="1" applyBorder="1"/>
    <x:xf numFmtId="200" fontId="7" fillId="0" borderId="20" xfId="0" applyNumberFormat="1" applyFont="1" applyFill="1" applyBorder="1"/>
    <x:xf numFmtId="200" fontId="7" fillId="0" borderId="23" xfId="0" applyNumberFormat="1" applyFont="1" applyFill="1" applyBorder="1"/>
    <x:xf numFmtId="200" fontId="7" fillId="0" borderId="26" xfId="0" applyNumberFormat="1" applyFont="1" applyFill="1" applyBorder="1"/>
    <x:xf numFmtId="207" fontId="7" fillId="0" borderId="17" xfId="0" applyNumberFormat="1" applyFont="1" applyFill="1" applyBorder="1"/>
    <x:xf numFmtId="207" fontId="7" fillId="0" borderId="20" xfId="0" applyNumberFormat="1" applyFont="1" applyFill="1" applyBorder="1"/>
    <x:xf numFmtId="207" fontId="7" fillId="0" borderId="23" xfId="0" applyNumberFormat="1" applyFont="1" applyFill="1" applyBorder="1"/>
    <x:xf numFmtId="207" fontId="7" fillId="0" borderId="26" xfId="0" applyNumberFormat="1" applyFont="1" applyFill="1" applyBorder="1"/>
    <x:xf numFmtId="208" fontId="7" fillId="0" borderId="17" xfId="0" applyNumberFormat="1" applyFont="1" applyFill="1" applyBorder="1"/>
    <x:xf numFmtId="208" fontId="7" fillId="0" borderId="20" xfId="0" applyNumberFormat="1" applyFont="1" applyFill="1" applyBorder="1"/>
    <x:xf numFmtId="208" fontId="7" fillId="0" borderId="23" xfId="0" applyNumberFormat="1" applyFont="1" applyFill="1" applyBorder="1"/>
    <x:xf numFmtId="208" fontId="7" fillId="0" borderId="26" xfId="0" applyNumberFormat="1" applyFont="1" applyFill="1" applyBorder="1"/>
    <x:xf numFmtId="202" fontId="7" fillId="0" borderId="17" xfId="0" applyNumberFormat="1" applyFont="1" applyFill="1" applyBorder="1"/>
    <x:xf numFmtId="202" fontId="7" fillId="0" borderId="20" xfId="0" applyNumberFormat="1" applyFont="1" applyFill="1" applyBorder="1"/>
    <x:xf numFmtId="202" fontId="7" fillId="0" borderId="23" xfId="0" applyNumberFormat="1" applyFont="1" applyFill="1" applyBorder="1"/>
    <x:xf numFmtId="202" fontId="7" fillId="0" borderId="26" xfId="0" applyNumberFormat="1" applyFont="1" applyFill="1" applyBorder="1"/>
    <x:xf numFmtId="200" fontId="7" fillId="0" borderId="18" xfId="0" applyNumberFormat="1" applyFont="1" applyFill="1" applyBorder="1"/>
    <x:xf numFmtId="200" fontId="7" fillId="0" borderId="21" xfId="0" applyNumberFormat="1" applyFont="1" applyFill="1" applyBorder="1"/>
    <x:xf numFmtId="200" fontId="7" fillId="0" borderId="24" xfId="0" applyNumberFormat="1" applyFont="1" applyFill="1" applyBorder="1"/>
    <x:xf numFmtId="200" fontId="7" fillId="0" borderId="27"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8" xfId="0" applyNumberFormat="1" applyFont="1" applyFill="1" applyBorder="1"/>
    <x:xf numFmtId="0" fontId="4" fillId="6" borderId="29" xfId="0" applyNumberFormat="1" applyFont="1" applyFill="1" applyBorder="1"/>
    <x:xf numFmtId="0" fontId="4" fillId="6" borderId="30" xfId="0" applyNumberFormat="1" applyFont="1" applyFill="1" applyBorder="1"/>
    <x:xf numFmtId="0" fontId="4" fillId="6" borderId="31" xfId="0" applyNumberFormat="1" applyFont="1" applyFill="1" applyBorder="1"/>
    <x:xf numFmtId="0" fontId="4" fillId="6" borderId="32" xfId="0" applyNumberFormat="1" applyFont="1" applyFill="1" applyBorder="1"/>
    <x:xf numFmtId="0" fontId="4" fillId="6" borderId="33" xfId="0" applyNumberFormat="1" applyFont="1" applyFill="1" applyBorder="1"/>
    <x:xf numFmtId="0" fontId="4" fillId="6" borderId="34" xfId="0" applyNumberFormat="1" applyFont="1" applyFill="1" applyBorder="1"/>
    <x:xf numFmtId="0" fontId="4" fillId="6" borderId="35" xfId="0" applyNumberFormat="1" applyFont="1" applyFill="1" applyBorder="1"/>
    <x:xf numFmtId="0" fontId="4" fillId="6" borderId="36" xfId="0" applyNumberFormat="1" applyFont="1" applyFill="1" applyBorder="1"/>
    <x:xf numFmtId="0" fontId="4" fillId="6" borderId="37" xfId="0" applyNumberFormat="1" applyFont="1" applyFill="1" applyBorder="1"/>
    <x:xf numFmtId="0" fontId="4" fillId="6" borderId="38" xfId="0" applyNumberFormat="1" applyFont="1" applyFill="1" applyBorder="1"/>
    <x:xf numFmtId="0" fontId="4" fillId="6" borderId="39" xfId="0" applyNumberFormat="1" applyFont="1" applyFill="1" applyBorder="1"/>
    <x:xf numFmtId="0" fontId="4" fillId="6" borderId="28" xfId="0" applyNumberFormat="1" applyFont="1" applyFill="1" applyBorder="1" applyAlignment="1">
      <x:alignment wrapText="1"/>
    </x:xf>
    <x:xf numFmtId="0" fontId="4" fillId="6" borderId="29" xfId="0" applyNumberFormat="1" applyFont="1" applyFill="1" applyBorder="1" applyAlignment="1">
      <x:alignment wrapText="1"/>
    </x:xf>
    <x:xf numFmtId="0" fontId="4" fillId="6" borderId="30" xfId="0" applyNumberFormat="1" applyFont="1" applyFill="1" applyBorder="1" applyAlignment="1">
      <x:alignment wrapText="1"/>
    </x:xf>
    <x:xf numFmtId="0" fontId="4" fillId="6" borderId="31" xfId="0" applyNumberFormat="1" applyFont="1" applyFill="1" applyBorder="1" applyAlignment="1">
      <x:alignment wrapText="1"/>
    </x:xf>
    <x:xf numFmtId="0" fontId="4" fillId="6" borderId="32" xfId="0" applyNumberFormat="1" applyFont="1" applyFill="1" applyBorder="1" applyAlignment="1">
      <x:alignment wrapText="1"/>
    </x:xf>
    <x:xf numFmtId="0" fontId="4" fillId="6" borderId="33" xfId="0" applyNumberFormat="1" applyFont="1" applyFill="1" applyBorder="1" applyAlignment="1">
      <x:alignment wrapText="1"/>
    </x:xf>
    <x:xf numFmtId="0" fontId="4" fillId="6" borderId="34" xfId="0" applyNumberFormat="1" applyFont="1" applyFill="1" applyBorder="1" applyAlignment="1">
      <x:alignment wrapText="1"/>
    </x:xf>
    <x:xf numFmtId="0" fontId="4" fillId="6" borderId="35" xfId="0" applyNumberFormat="1" applyFont="1" applyFill="1" applyBorder="1" applyAlignment="1">
      <x:alignment wrapText="1"/>
    </x:xf>
    <x:xf numFmtId="0" fontId="4" fillId="6" borderId="36" xfId="0" applyNumberFormat="1" applyFont="1" applyFill="1" applyBorder="1" applyAlignment="1">
      <x:alignment wrapText="1"/>
    </x:xf>
    <x:xf numFmtId="0" fontId="4" fillId="6" borderId="37" xfId="0" applyNumberFormat="1" applyFont="1" applyFill="1" applyBorder="1" applyAlignment="1">
      <x:alignment wrapText="1"/>
    </x:xf>
    <x:xf numFmtId="0" fontId="4" fillId="6" borderId="38" xfId="0" applyNumberFormat="1" applyFont="1" applyFill="1" applyBorder="1" applyAlignment="1">
      <x:alignment wrapText="1"/>
    </x:xf>
    <x:xf numFmtId="0" fontId="4" fillId="6" borderId="39" xfId="0" applyNumberFormat="1" applyFont="1" applyFill="1" applyBorder="1" applyAlignment="1">
      <x:alignment wrapText="1"/>
    </x:xf>
    <x:xf numFmtId="0" fontId="4" fillId="6" borderId="28" xfId="0" applyNumberFormat="1" applyFont="1" applyFill="1" applyBorder="1" applyAlignment="1">
      <x:alignment vertical="center" wrapText="1"/>
    </x:xf>
    <x:xf numFmtId="0" fontId="4" fillId="6" borderId="29" xfId="0" applyNumberFormat="1" applyFont="1" applyFill="1" applyBorder="1" applyAlignment="1">
      <x:alignment vertical="center" wrapText="1"/>
    </x:xf>
    <x:xf numFmtId="0" fontId="4" fillId="6" borderId="30" xfId="0" applyNumberFormat="1" applyFont="1" applyFill="1" applyBorder="1" applyAlignment="1">
      <x:alignment vertical="center" wrapText="1"/>
    </x:xf>
    <x:xf numFmtId="0" fontId="4" fillId="6" borderId="31" xfId="0" applyNumberFormat="1" applyFont="1" applyFill="1" applyBorder="1" applyAlignment="1">
      <x:alignment vertical="center" wrapText="1"/>
    </x:xf>
    <x:xf numFmtId="0" fontId="4" fillId="6" borderId="32" xfId="0" applyNumberFormat="1" applyFont="1" applyFill="1" applyBorder="1" applyAlignment="1">
      <x:alignment vertical="center" wrapText="1"/>
    </x:xf>
    <x:xf numFmtId="0" fontId="4" fillId="6" borderId="33" xfId="0" applyNumberFormat="1" applyFont="1" applyFill="1" applyBorder="1" applyAlignment="1">
      <x:alignment vertical="center" wrapText="1"/>
    </x:xf>
    <x:xf numFmtId="0" fontId="4" fillId="6" borderId="34" xfId="0" applyNumberFormat="1" applyFont="1" applyFill="1" applyBorder="1" applyAlignment="1">
      <x:alignment vertical="center" wrapText="1"/>
    </x:xf>
    <x:xf numFmtId="0" fontId="4" fillId="6" borderId="35" xfId="0" applyNumberFormat="1" applyFont="1" applyFill="1" applyBorder="1" applyAlignment="1">
      <x:alignment vertical="center" wrapText="1"/>
    </x:xf>
    <x:xf numFmtId="0" fontId="4" fillId="6" borderId="36" xfId="0" applyNumberFormat="1" applyFont="1" applyFill="1" applyBorder="1" applyAlignment="1">
      <x:alignment vertical="center" wrapText="1"/>
    </x:xf>
    <x:xf numFmtId="0" fontId="4" fillId="6" borderId="37" xfId="0" applyNumberFormat="1" applyFont="1" applyFill="1" applyBorder="1" applyAlignment="1">
      <x:alignment vertical="center" wrapText="1"/>
    </x:xf>
    <x:xf numFmtId="0" fontId="4" fillId="6" borderId="38" xfId="0" applyNumberFormat="1" applyFont="1" applyFill="1" applyBorder="1" applyAlignment="1">
      <x:alignment vertical="center" wrapText="1"/>
    </x:xf>
    <x:xf numFmtId="0" fontId="4" fillId="6" borderId="39" xfId="0" applyNumberFormat="1" applyFont="1" applyFill="1" applyBorder="1" applyAlignment="1">
      <x:alignment vertical="center" wrapText="1"/>
    </x:xf>
    <x:xf numFmtId="0" fontId="9" fillId="2" borderId="0" xfId="0" applyNumberFormat="1" applyFont="1" applyFill="1" applyBorder="1"/>
    <x:xf numFmtId="0" fontId="9" fillId="2" borderId="1" xfId="0" applyNumberFormat="1" applyFont="1" applyFill="1" applyBorder="1"/>
    <x:xf numFmtId="0" fontId="9" fillId="2" borderId="0" xfId="0" applyNumberFormat="1" applyFont="1" applyFill="1" applyBorder="1" applyAlignment="1">
      <x:alignment vertical="center"/>
    </x:xf>
    <x:xf numFmtId="0" fontId="9" fillId="2" borderId="1" xfId="0" applyNumberFormat="1" applyFont="1" applyFill="1" applyBorder="1" applyAlignment="1">
      <x:alignment vertical="center"/>
    </x:xf>
    <x:xf numFmtId="208" fontId="0" fillId="0" borderId="0" xfId="0" applyNumberFormat="1" applyFont="1" applyFill="1" applyBorder="1"/>
    <x:xf numFmtId="208"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7" fontId="0" fillId="0" borderId="0" xfId="0" applyNumberFormat="1" applyFont="1" applyFill="1" applyBorder="1"/>
    <x:xf numFmtId="207" fontId="0" fillId="0" borderId="1" xfId="0" applyNumberFormat="1" applyFont="1" applyFill="1" applyBorder="1"/>
    <x:xf numFmtId="208" fontId="0" fillId="0" borderId="2" xfId="0" applyNumberFormat="1" applyFont="1" applyFill="1" applyBorder="1"/>
    <x:xf numFmtId="202" fontId="0" fillId="0" borderId="2" xfId="0" applyNumberFormat="1" applyFont="1" applyFill="1" applyBorder="1"/>
    <x:xf numFmtId="207" fontId="0" fillId="0" borderId="2" xfId="0" applyNumberFormat="1" applyFont="1" applyFill="1" applyBorder="1"/>
    <x:xf numFmtId="208" fontId="0" fillId="0" borderId="3" xfId="0" applyNumberFormat="1" applyFont="1" applyFill="1" applyBorder="1"/>
    <x:xf numFmtId="202" fontId="0" fillId="0" borderId="3" xfId="0" applyNumberFormat="1" applyFont="1" applyFill="1" applyBorder="1"/>
    <x:xf numFmtId="207" fontId="0" fillId="0" borderId="3" xfId="0" applyNumberFormat="1" applyFont="1" applyFill="1" applyBorder="1"/>
    <x:xf numFmtId="208" fontId="0" fillId="0" borderId="4" xfId="0" applyNumberFormat="1" applyFont="1" applyFill="1" applyBorder="1"/>
    <x:xf numFmtId="202" fontId="0" fillId="0" borderId="4" xfId="0" applyNumberFormat="1" applyFont="1" applyFill="1" applyBorder="1"/>
    <x:xf numFmtId="207" fontId="0" fillId="0" borderId="4" xfId="0" applyNumberFormat="1" applyFont="1" applyFill="1" applyBorder="1"/>
    <x:xf numFmtId="208" fontId="0" fillId="0" borderId="5" xfId="0" applyNumberFormat="1" applyFont="1" applyFill="1" applyBorder="1"/>
    <x:xf numFmtId="202" fontId="0" fillId="0" borderId="5" xfId="0" applyNumberFormat="1" applyFont="1" applyFill="1" applyBorder="1"/>
    <x:xf numFmtId="207" fontId="0" fillId="0" borderId="5" xfId="0" applyNumberFormat="1" applyFont="1" applyFill="1" applyBorder="1"/>
    <x:xf numFmtId="208" fontId="0" fillId="0" borderId="6" xfId="0" applyNumberFormat="1" applyFont="1" applyFill="1" applyBorder="1"/>
    <x:xf numFmtId="202" fontId="0" fillId="0" borderId="6" xfId="0" applyNumberFormat="1" applyFont="1" applyFill="1" applyBorder="1"/>
    <x:xf numFmtId="207" fontId="0" fillId="0" borderId="6" xfId="0" applyNumberFormat="1" applyFont="1" applyFill="1" applyBorder="1"/>
    <x:xf numFmtId="208" fontId="0" fillId="0" borderId="7" xfId="0" applyNumberFormat="1" applyFont="1" applyFill="1" applyBorder="1"/>
    <x:xf numFmtId="202" fontId="0" fillId="0" borderId="7" xfId="0" applyNumberFormat="1" applyFont="1" applyFill="1" applyBorder="1"/>
    <x:xf numFmtId="207" fontId="0" fillId="0" borderId="7"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6" fillId="4" borderId="0" xfId="0" applyNumberFormat="1" applyFont="1" applyFill="1" applyBorder="1" applyAlignment="1">
      <x:alignment vertical="center"/>
    </x:xf>
    <x:xf numFmtId="0" fontId="6" fillId="4" borderId="1" xfId="0" applyNumberFormat="1" applyFont="1" applyFill="1" applyBorder="1" applyAlignment="1">
      <x:alignment vertical="center"/>
    </x:xf>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6" fillId="4" borderId="40" xfId="0" applyNumberFormat="1" applyFont="1" applyFill="1" applyBorder="1" applyAlignment="1">
      <x:alignment vertical="center"/>
    </x:xf>
    <x:xf numFmtId="0" fontId="1" fillId="3" borderId="40" xfId="0" applyNumberFormat="1" applyFont="1" applyFill="1" applyBorder="1" applyAlignment="1">
      <x:alignment vertical="center" wrapText="1"/>
    </x:xf>
    <x:xf numFmtId="0" fontId="6" fillId="4" borderId="41" xfId="0" applyNumberFormat="1" applyFont="1" applyFill="1" applyBorder="1" applyAlignment="1">
      <x:alignment vertical="center"/>
    </x:xf>
    <x:xf numFmtId="0" fontId="1" fillId="3" borderId="41" xfId="0" applyNumberFormat="1" applyFont="1" applyFill="1" applyBorder="1" applyAlignment="1">
      <x:alignment vertical="center" wrapText="1"/>
    </x:xf>
    <x:xf numFmtId="0" fontId="6" fillId="4" borderId="42" xfId="0" applyNumberFormat="1" applyFont="1" applyFill="1" applyBorder="1" applyAlignment="1">
      <x:alignment vertical="center"/>
    </x:xf>
    <x:xf numFmtId="0" fontId="1" fillId="3" borderId="42" xfId="0" applyNumberFormat="1" applyFont="1" applyFill="1" applyBorder="1" applyAlignment="1">
      <x:alignment vertical="center" wrapText="1"/>
    </x:xf>
  </x:cellXfs>
  <x:cellStyles count="1">
    <x:cellStyle name="Normal" xfId="0"/>
  </x:cellStyles>
  <x:dxfs count="6">
    <x:dxf>
      <x:font>
        <x:b/>
        <x:color rgb="FF176B3A"/>
      </x:font>
      <x:fill>
        <x:patternFill patternType="solid">
          <x:bgColor rgb="FFDDF3E4"/>
        </x:patternFill>
      </x:fill>
    </x:dxf>
    <x:dxf>
      <x:font>
        <x:b/>
        <x:color rgb="FFA52A2A"/>
      </x:font>
      <x:fill>
        <x:patternFill patternType="solid">
          <x:bgColor rgb="FFFBE3E3"/>
        </x:patternFill>
      </x:fill>
    </x:dxf>
    <x:dxf>
      <x:font>
        <x:b/>
        <x:color rgb="FFA52A2A"/>
      </x:font>
      <x:fill>
        <x:patternFill patternType="solid">
          <x:bgColor rgb="FFFBE3E3"/>
        </x:patternFill>
      </x:fill>
    </x:dxf>
    <x:dxf>
      <x:font>
        <x:b/>
        <x:color rgb="FF176B3A"/>
      </x:font>
      <x:fill>
        <x:patternFill patternType="solid">
          <x:bgColor rgb="FFDDF3E4"/>
        </x:patternFill>
      </x:fill>
    </x:dxf>
    <x:dxf>
      <x:font>
        <x:b/>
        <x:color rgb="FFA52A2A"/>
      </x:font>
      <x:fill>
        <x:patternFill patternType="solid">
          <x:bgColor rgb="FFFBE3E3"/>
        </x:patternFill>
      </x:fill>
    </x:dxf>
    <x:dxf>
      <x:font>
        <x:b/>
        <x:color rgb="FFA52A2A"/>
      </x:font>
      <x:fill>
        <x:patternFill patternType="solid">
          <x:bgColor rgb="FFFBE3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834eb7d1834df9" /><Relationship Type="http://schemas.openxmlformats.org/officeDocument/2006/relationships/theme" Target="/xl/theme/theme1.xml" Id="R1ffc32c13bff4153" /><Relationship Type="http://schemas.openxmlformats.org/officeDocument/2006/relationships/sharedStrings" Target="/xl/sharedStrings.xml" Id="R6a61f9105ea54ac6" /><Relationship Type="http://schemas.openxmlformats.org/officeDocument/2006/relationships/worksheet" Target="/xl/worksheets/sheet1.xml" Id="R4dcffd67019647df" /><Relationship Type="http://schemas.openxmlformats.org/officeDocument/2006/relationships/worksheet" Target="/xl/worksheets/sheet2.xml" Id="R127b974fd3924bb2" /><Relationship Type="http://schemas.openxmlformats.org/officeDocument/2006/relationships/worksheet" Target="/xl/worksheets/sheet3.xml" Id="R1c56574afd984b56" /><Relationship Type="http://schemas.openxmlformats.org/officeDocument/2006/relationships/worksheet" Target="/xl/worksheets/sheet4.xml" Id="Rddef1ae63f344816" /><Relationship Type="http://schemas.openxmlformats.org/officeDocument/2006/relationships/worksheet" Target="/xl/worksheets/sheet5.xml" Id="R06c1e5ed874c4f5e" /></Relationships>
</file>

<file path=xl/tables/table1.xml><?xml version="1.0" encoding="utf-8"?>
<x:table xmlns:x="http://schemas.openxmlformats.org/spreadsheetml/2006/main" id="1" name="ZoomedCollisionRawTable" displayName="ZoomedCollisionRawTable" ref="A1:S81" headerRowCount="1" totalsRowCount="0" totalsRowShown="0">
  <x:tableColumns count="19">
    <x:tableColumn id="1" name="n"/>
    <x:tableColumn id="2" name="radius"/>
    <x:tableColumn id="3" name="repeat"/>
    <x:tableColumn id="4" name="graph_seed"/>
    <x:tableColumn id="5" name="edges"/>
    <x:tableColumn id="6" name="components"/>
    <x:tableColumn id="7" name="k_nearest"/>
    <x:tableColumn id="8" name="zoomed_entropy_pre_prune_size"/>
    <x:tableColumn id="9" name="zoomed_entropy_size"/>
    <x:tableColumn id="10" name="zoomed_entropy_time_seconds"/>
    <x:tableColumn id="11" name="zoomed_entropy_valid"/>
    <x:tableColumn id="12" name="zoomed_collision_pre_prune_size"/>
    <x:tableColumn id="13" name="zoomed_collision_size"/>
    <x:tableColumn id="14" name="zoomed_collision_time_seconds"/>
    <x:tableColumn id="15" name="zoomed_collision_valid"/>
    <x:tableColumn id="16" name="size_difference_collision_minus_entropy"/>
    <x:tableColumn id="17" name="time_difference_collision_minus_entropy_seconds"/>
    <x:tableColumn id="18" name="size_winner"/>
    <x:tableColumn id="19" name="faster_method"/>
  </x:tableColumns>
  <x:tableStyleInfo name="TableStyleMedium2" showFirstColumn="0" showLastColumn="0" showRowStripes="1" showColumnStripes="0"/>
</x:table>
</file>

<file path=xl/tables/table2.xml><?xml version="1.0" encoding="utf-8"?>
<x:table xmlns:x="http://schemas.openxmlformats.org/spreadsheetml/2006/main" id="2" name="ZoomedCollisionAnalysisTable" displayName="ZoomedCollisionAnalysisTable" ref="A1:J81" headerRowCount="1" totalsRowCount="0" totalsRowShown="0">
  <x:tableColumns count="10">
    <x:tableColumn id="1" name="n"/>
    <x:tableColumn id="2" name="radius"/>
    <x:tableColumn id="3" name="repeat"/>
    <x:tableColumn id="4" name="both_valid"/>
    <x:tableColumn id="5" name="collision_minus_entropy_size"/>
    <x:tableColumn id="6" name="valid_size_winner"/>
    <x:tableColumn id="7" name="collision_minus_entropy_time_s"/>
    <x:tableColumn id="8" name="faster_method"/>
    <x:tableColumn id="9" name="collision_entropy_time_ratio"/>
    <x:tableColumn id="10" name="validity_outcome"/>
  </x:tableColumns>
  <x:tableStyleInfo name="TableStyleMedium2" showFirstColumn="0" showLastColumn="0" showRowStripes="1" showColumnStripes="0"/>
</x:table>
</file>

<file path=xl/tables/table3.xml><?xml version="1.0" encoding="utf-8"?>
<x:table xmlns:x="http://schemas.openxmlformats.org/spreadsheetml/2006/main" id="3" name="ZoomedCollisionConfigTable" displayName="ZoomedCollisionConfigTable" ref="A5:O21" headerRowCount="1" totalsRowCount="0" totalsRowShown="0">
  <x:tableColumns count="15">
    <x:tableColumn id="1" name="n"/>
    <x:tableColumn id="2" name="radius"/>
    <x:tableColumn id="3" name="runs"/>
    <x:tableColumn id="4" name="both valid"/>
    <x:tableColumn id="5" name="Entropy avg size"/>
    <x:tableColumn id="6" name="Collision avg size"/>
    <x:tableColumn id="7" name="Collision - Entropy"/>
    <x:tableColumn id="8" name="Collision wins"/>
    <x:tableColumn id="9" name="Entropy wins"/>
    <x:tableColumn id="10" name="ties"/>
    <x:tableColumn id="11" name="Entropy avg time (s)"/>
    <x:tableColumn id="12" name="Collision avg time (s)"/>
    <x:tableColumn id="13" name="Collision / Entropy time"/>
    <x:tableColumn id="14" name="Entropy validity"/>
    <x:tableColumn id="15" name="Collision valid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1e7358528348de" /></Relationships>
</file>

<file path=xl/worksheets/_rels/sheet2.xml.rels>&#65279;<?xml version="1.0" encoding="utf-8"?><Relationships xmlns="http://schemas.openxmlformats.org/package/2006/relationships"><Relationship Type="http://schemas.openxmlformats.org/officeDocument/2006/relationships/table" Target="/xl/tables/table2.xml" Id="R9b2b846feb8b41f0" /></Relationships>
</file>

<file path=xl/worksheets/_rels/sheet4.xml.rels>&#65279;<?xml version="1.0" encoding="utf-8"?><Relationships xmlns="http://schemas.openxmlformats.org/package/2006/relationships"><Relationship Type="http://schemas.openxmlformats.org/officeDocument/2006/relationships/table" Target="/xl/tables/table3.xml" Id="Rff41b1f2ba9941b6"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0" hidden="0" customWidth="1"/>
    <x:col min="3" max="3" width="9" hidden="0" customWidth="1"/>
    <x:col min="4" max="4" width="15" hidden="0" customWidth="1"/>
    <x:col min="5" max="5" width="12" hidden="0" customWidth="1"/>
    <x:col min="6" max="6" width="12" hidden="0" customWidth="1"/>
    <x:col min="7" max="7" width="12" hidden="0" customWidth="1"/>
    <x:col min="8" max="8" width="24" hidden="0" customWidth="1"/>
    <x:col min="9" max="9" width="24" hidden="0" customWidth="1"/>
    <x:col min="10" max="10" width="24" hidden="0" customWidth="1"/>
    <x:col min="11" max="11" width="18" hidden="0" customWidth="1"/>
    <x:col min="12" max="12" width="25" hidden="0" customWidth="1"/>
    <x:col min="13" max="13" width="25" hidden="0" customWidth="1"/>
    <x:col min="14" max="14" width="25" hidden="0" customWidth="1"/>
    <x:col min="15" max="15" width="20" hidden="0" customWidth="1"/>
    <x:col min="16" max="16" width="28" hidden="0" customWidth="1"/>
    <x:col min="17" max="17" width="28" hidden="0" customWidth="1"/>
    <x:col min="18" max="18" width="21" hidden="0" customWidth="1"/>
    <x:col min="19" max="19" width="21" hidden="0" customWidth="1"/>
  </x:cols>
  <x:sheetData>
    <x:row r="1" ht="40" customHeight="1">
      <x:c r="A1" s="10" t="str">
        <x:v>n</x:v>
      </x:c>
      <x:c r="B1" s="10" t="str">
        <x:v>radius</x:v>
      </x:c>
      <x:c r="C1" s="10" t="str">
        <x:v>repeat</x:v>
      </x:c>
      <x:c r="D1" s="10" t="str">
        <x:v>graph_seed</x:v>
      </x:c>
      <x:c r="E1" s="10" t="str">
        <x:v>edges</x:v>
      </x:c>
      <x:c r="F1" s="10" t="str">
        <x:v>components</x:v>
      </x:c>
      <x:c r="G1" s="10" t="str">
        <x:v>k_nearest</x:v>
      </x:c>
      <x:c r="H1" s="10" t="str">
        <x:v>zoomed_entropy_pre_prune_size</x:v>
      </x:c>
      <x:c r="I1" s="10" t="str">
        <x:v>zoomed_entropy_size</x:v>
      </x:c>
      <x:c r="J1" s="10" t="str">
        <x:v>zoomed_entropy_time_seconds</x:v>
      </x:c>
      <x:c r="K1" s="10" t="str">
        <x:v>zoomed_entropy_valid</x:v>
      </x:c>
      <x:c r="L1" s="10" t="str">
        <x:v>zoomed_collision_pre_prune_size</x:v>
      </x:c>
      <x:c r="M1" s="10" t="str">
        <x:v>zoomed_collision_size</x:v>
      </x:c>
      <x:c r="N1" s="10" t="str">
        <x:v>zoomed_collision_time_seconds</x:v>
      </x:c>
      <x:c r="O1" s="10" t="str">
        <x:v>zoomed_collision_valid</x:v>
      </x:c>
      <x:c r="P1" s="10" t="str">
        <x:v>size_difference_collision_minus_entropy</x:v>
      </x:c>
      <x:c r="Q1" s="10" t="str">
        <x:v>time_difference_collision_minus_entropy_seconds</x:v>
      </x:c>
      <x:c r="R1" s="10" t="str">
        <x:v>size_winner</x:v>
      </x:c>
      <x:c r="S1" s="10" t="str">
        <x:v>faster_method</x:v>
      </x:c>
    </x:row>
    <x:row r="2">
      <x:c r="A2" s="18" t="str">
        <x:v>50</x:v>
      </x:c>
      <x:c r="B2" s="24" t="str">
        <x:v>0.1</x:v>
      </x:c>
      <x:c r="C2" s="18" t="str">
        <x:v>1</x:v>
      </x:c>
      <x:c r="D2" s="18" t="str">
        <x:v>143668261</x:v>
      </x:c>
      <x:c r="E2" s="18" t="str">
        <x:v>28</x:v>
      </x:c>
      <x:c r="F2" s="18" t="str">
        <x:v>27</x:v>
      </x:c>
      <x:c r="G2" s="18" t="str">
        <x:v>5</x:v>
      </x:c>
      <x:c r="H2" s="18" t="str">
        <x:v>33</x:v>
      </x:c>
      <x:c r="I2" s="18" t="str">
        <x:v>29</x:v>
      </x:c>
      <x:c r="J2" s="30" t="str">
        <x:v>0.0025552999577485025</x:v>
      </x:c>
      <x:c r="K2" s="12" t="str">
        <x:v>True</x:v>
      </x:c>
      <x:c r="L2" s="18" t="str">
        <x:v>33</x:v>
      </x:c>
      <x:c r="M2" s="18" t="str">
        <x:v>29</x:v>
      </x:c>
      <x:c r="N2" s="30" t="str">
        <x:v>0.0023234999971464276</x:v>
      </x:c>
      <x:c r="O2" s="12" t="str">
        <x:v>True</x:v>
      </x:c>
      <x:c r="P2" s="36" t="str">
        <x:v>0</x:v>
      </x:c>
      <x:c r="Q2" s="42" t="str">
        <x:v>-0.00023179996060207486</x:v>
      </x:c>
      <x:c r="R2" s="12" t="str">
        <x:v>tie</x:v>
      </x:c>
      <x:c r="S2" s="12" t="str">
        <x:v>zoomed_collision</x:v>
      </x:c>
    </x:row>
    <x:row r="3">
      <x:c r="A3" s="19" t="str">
        <x:v>50</x:v>
      </x:c>
      <x:c r="B3" s="25" t="str">
        <x:v>0.1</x:v>
      </x:c>
      <x:c r="C3" s="19" t="str">
        <x:v>2</x:v>
      </x:c>
      <x:c r="D3" s="19" t="str">
        <x:v>1553157808</x:v>
      </x:c>
      <x:c r="E3" s="19" t="str">
        <x:v>37</x:v>
      </x:c>
      <x:c r="F3" s="19" t="str">
        <x:v>24</x:v>
      </x:c>
      <x:c r="G3" s="19" t="str">
        <x:v>5</x:v>
      </x:c>
      <x:c r="H3" s="19" t="str">
        <x:v>30</x:v>
      </x:c>
      <x:c r="I3" s="19" t="str">
        <x:v>28</x:v>
      </x:c>
      <x:c r="J3" s="31" t="str">
        <x:v>0.0020406999974511564</x:v>
      </x:c>
      <x:c r="K3" s="13" t="str">
        <x:v>True</x:v>
      </x:c>
      <x:c r="L3" s="19" t="str">
        <x:v>30</x:v>
      </x:c>
      <x:c r="M3" s="19" t="str">
        <x:v>28</x:v>
      </x:c>
      <x:c r="N3" s="31" t="str">
        <x:v>0.0020727000082843006</x:v>
      </x:c>
      <x:c r="O3" s="13" t="str">
        <x:v>True</x:v>
      </x:c>
      <x:c r="P3" s="37" t="str">
        <x:v>0</x:v>
      </x:c>
      <x:c r="Q3" s="43" t="str">
        <x:v>3.200001083314419e-05</x:v>
      </x:c>
      <x:c r="R3" s="13" t="str">
        <x:v>tie</x:v>
      </x:c>
      <x:c r="S3" s="13" t="str">
        <x:v>zoomed_entropy</x:v>
      </x:c>
    </x:row>
    <x:row r="4">
      <x:c r="A4" s="19" t="str">
        <x:v>50</x:v>
      </x:c>
      <x:c r="B4" s="25" t="str">
        <x:v>0.1</x:v>
      </x:c>
      <x:c r="C4" s="19" t="str">
        <x:v>3</x:v>
      </x:c>
      <x:c r="D4" s="19" t="str">
        <x:v>247401736</x:v>
      </x:c>
      <x:c r="E4" s="19" t="str">
        <x:v>30</x:v>
      </x:c>
      <x:c r="F4" s="19" t="str">
        <x:v>24</x:v>
      </x:c>
      <x:c r="G4" s="19" t="str">
        <x:v>5</x:v>
      </x:c>
      <x:c r="H4" s="19" t="str">
        <x:v>32</x:v>
      </x:c>
      <x:c r="I4" s="19" t="str">
        <x:v>27</x:v>
      </x:c>
      <x:c r="J4" s="31" t="str">
        <x:v>0.0027418999816291034</x:v>
      </x:c>
      <x:c r="K4" s="13" t="str">
        <x:v>True</x:v>
      </x:c>
      <x:c r="L4" s="19" t="str">
        <x:v>32</x:v>
      </x:c>
      <x:c r="M4" s="19" t="str">
        <x:v>27</x:v>
      </x:c>
      <x:c r="N4" s="31" t="str">
        <x:v>0.002637400000821799</x:v>
      </x:c>
      <x:c r="O4" s="13" t="str">
        <x:v>True</x:v>
      </x:c>
      <x:c r="P4" s="37" t="str">
        <x:v>0</x:v>
      </x:c>
      <x:c r="Q4" s="43" t="str">
        <x:v>-0.00010449998080730438</x:v>
      </x:c>
      <x:c r="R4" s="13" t="str">
        <x:v>tie</x:v>
      </x:c>
      <x:c r="S4" s="13" t="str">
        <x:v>zoomed_collision</x:v>
      </x:c>
    </x:row>
    <x:row r="5">
      <x:c r="A5" s="19" t="str">
        <x:v>50</x:v>
      </x:c>
      <x:c r="B5" s="25" t="str">
        <x:v>0.1</x:v>
      </x:c>
      <x:c r="C5" s="19" t="str">
        <x:v>4</x:v>
      </x:c>
      <x:c r="D5" s="19" t="str">
        <x:v>2044974240</x:v>
      </x:c>
      <x:c r="E5" s="19" t="str">
        <x:v>34</x:v>
      </x:c>
      <x:c r="F5" s="19" t="str">
        <x:v>26</x:v>
      </x:c>
      <x:c r="G5" s="19" t="str">
        <x:v>5</x:v>
      </x:c>
      <x:c r="H5" s="19" t="str">
        <x:v>34</x:v>
      </x:c>
      <x:c r="I5" s="19" t="str">
        <x:v>30</x:v>
      </x:c>
      <x:c r="J5" s="31" t="str">
        <x:v>0.0032067999709397554</x:v>
      </x:c>
      <x:c r="K5" s="13" t="str">
        <x:v>True</x:v>
      </x:c>
      <x:c r="L5" s="19" t="str">
        <x:v>33</x:v>
      </x:c>
      <x:c r="M5" s="19" t="str">
        <x:v>30</x:v>
      </x:c>
      <x:c r="N5" s="31" t="str">
        <x:v>0.003054899978451431</x:v>
      </x:c>
      <x:c r="O5" s="13" t="str">
        <x:v>True</x:v>
      </x:c>
      <x:c r="P5" s="37" t="str">
        <x:v>0</x:v>
      </x:c>
      <x:c r="Q5" s="43" t="str">
        <x:v>-0.00015189999248832464</x:v>
      </x:c>
      <x:c r="R5" s="13" t="str">
        <x:v>tie</x:v>
      </x:c>
      <x:c r="S5" s="13" t="str">
        <x:v>zoomed_collision</x:v>
      </x:c>
    </x:row>
    <x:row r="6">
      <x:c r="A6" s="19" t="str">
        <x:v>50</x:v>
      </x:c>
      <x:c r="B6" s="25" t="str">
        <x:v>0.1</x:v>
      </x:c>
      <x:c r="C6" s="19" t="str">
        <x:v>5</x:v>
      </x:c>
      <x:c r="D6" s="19" t="str">
        <x:v>2013798930</x:v>
      </x:c>
      <x:c r="E6" s="19" t="str">
        <x:v>38</x:v>
      </x:c>
      <x:c r="F6" s="19" t="str">
        <x:v>23</x:v>
      </x:c>
      <x:c r="G6" s="19" t="str">
        <x:v>5</x:v>
      </x:c>
      <x:c r="H6" s="19" t="str">
        <x:v>30</x:v>
      </x:c>
      <x:c r="I6" s="19" t="str">
        <x:v>27</x:v>
      </x:c>
      <x:c r="J6" s="31" t="str">
        <x:v>0.0025485000223852694</x:v>
      </x:c>
      <x:c r="K6" s="13" t="str">
        <x:v>True</x:v>
      </x:c>
      <x:c r="L6" s="19" t="str">
        <x:v>30</x:v>
      </x:c>
      <x:c r="M6" s="19" t="str">
        <x:v>27</x:v>
      </x:c>
      <x:c r="N6" s="31" t="str">
        <x:v>0.002877200022339821</x:v>
      </x:c>
      <x:c r="O6" s="13" t="str">
        <x:v>True</x:v>
      </x:c>
      <x:c r="P6" s="37" t="str">
        <x:v>0</x:v>
      </x:c>
      <x:c r="Q6" s="43" t="str">
        <x:v>0.00032869999995455146</x:v>
      </x:c>
      <x:c r="R6" s="13" t="str">
        <x:v>tie</x:v>
      </x:c>
      <x:c r="S6" s="13" t="str">
        <x:v>zoomed_entropy</x:v>
      </x:c>
    </x:row>
    <x:row r="7">
      <x:c r="A7" s="19" t="str">
        <x:v>50</x:v>
      </x:c>
      <x:c r="B7" s="25" t="str">
        <x:v>0.3</x:v>
      </x:c>
      <x:c r="C7" s="19" t="str">
        <x:v>1</x:v>
      </x:c>
      <x:c r="D7" s="19" t="str">
        <x:v>4089801125</x:v>
      </x:c>
      <x:c r="E7" s="19" t="str">
        <x:v>244</x:v>
      </x:c>
      <x:c r="F7" s="19" t="str">
        <x:v>1</x:v>
      </x:c>
      <x:c r="G7" s="19" t="str">
        <x:v>5</x:v>
      </x:c>
      <x:c r="H7" s="19" t="str">
        <x:v>36</x:v>
      </x:c>
      <x:c r="I7" s="19" t="str">
        <x:v>36</x:v>
      </x:c>
      <x:c r="J7" s="31" t="str">
        <x:v>0.0033511999645270407</x:v>
      </x:c>
      <x:c r="K7" s="13" t="str">
        <x:v>False</x:v>
      </x:c>
      <x:c r="L7" s="19" t="str">
        <x:v>28</x:v>
      </x:c>
      <x:c r="M7" s="19" t="str">
        <x:v>28</x:v>
      </x:c>
      <x:c r="N7" s="31" t="str">
        <x:v>0.0031299000256694853</x:v>
      </x:c>
      <x:c r="O7" s="13" t="str">
        <x:v>False</x:v>
      </x:c>
      <x:c r="P7" s="37" t="str">
        <x:v>-8</x:v>
      </x:c>
      <x:c r="Q7" s="43" t="str">
        <x:v>-0.0002212999388575554</x:v>
      </x:c>
      <x:c r="R7" s="13" t="str">
        <x:v>neither</x:v>
      </x:c>
      <x:c r="S7" s="13" t="str">
        <x:v>zoomed_collision</x:v>
      </x:c>
    </x:row>
    <x:row r="8">
      <x:c r="A8" s="19" t="str">
        <x:v>50</x:v>
      </x:c>
      <x:c r="B8" s="25" t="str">
        <x:v>0.3</x:v>
      </x:c>
      <x:c r="C8" s="19" t="str">
        <x:v>2</x:v>
      </x:c>
      <x:c r="D8" s="19" t="str">
        <x:v>3829931514</x:v>
      </x:c>
      <x:c r="E8" s="19" t="str">
        <x:v>249</x:v>
      </x:c>
      <x:c r="F8" s="19" t="str">
        <x:v>1</x:v>
      </x:c>
      <x:c r="G8" s="19" t="str">
        <x:v>5</x:v>
      </x:c>
      <x:c r="H8" s="19" t="str">
        <x:v>39</x:v>
      </x:c>
      <x:c r="I8" s="19" t="str">
        <x:v>10</x:v>
      </x:c>
      <x:c r="J8" s="31" t="str">
        <x:v>0.004400300036650151</x:v>
      </x:c>
      <x:c r="K8" s="13" t="str">
        <x:v>True</x:v>
      </x:c>
      <x:c r="L8" s="19" t="str">
        <x:v>27</x:v>
      </x:c>
      <x:c r="M8" s="19" t="str">
        <x:v>9</x:v>
      </x:c>
      <x:c r="N8" s="31" t="str">
        <x:v>0.003484399989247322</x:v>
      </x:c>
      <x:c r="O8" s="13" t="str">
        <x:v>True</x:v>
      </x:c>
      <x:c r="P8" s="37" t="str">
        <x:v>-1</x:v>
      </x:c>
      <x:c r="Q8" s="43" t="str">
        <x:v>-0.0009159000474028289</x:v>
      </x:c>
      <x:c r="R8" s="13" t="str">
        <x:v>zoomed_collision</x:v>
      </x:c>
      <x:c r="S8" s="13" t="str">
        <x:v>zoomed_collision</x:v>
      </x:c>
    </x:row>
    <x:row r="9">
      <x:c r="A9" s="19" t="str">
        <x:v>50</x:v>
      </x:c>
      <x:c r="B9" s="25" t="str">
        <x:v>0.3</x:v>
      </x:c>
      <x:c r="C9" s="19" t="str">
        <x:v>3</x:v>
      </x:c>
      <x:c r="D9" s="19" t="str">
        <x:v>632176703</x:v>
      </x:c>
      <x:c r="E9" s="19" t="str">
        <x:v>229</x:v>
      </x:c>
      <x:c r="F9" s="19" t="str">
        <x:v>1</x:v>
      </x:c>
      <x:c r="G9" s="19" t="str">
        <x:v>5</x:v>
      </x:c>
      <x:c r="H9" s="19" t="str">
        <x:v>38</x:v>
      </x:c>
      <x:c r="I9" s="19" t="str">
        <x:v>19</x:v>
      </x:c>
      <x:c r="J9" s="31" t="str">
        <x:v>0.004674899973906577</x:v>
      </x:c>
      <x:c r="K9" s="13" t="str">
        <x:v>True</x:v>
      </x:c>
      <x:c r="L9" s="19" t="str">
        <x:v>33</x:v>
      </x:c>
      <x:c r="M9" s="19" t="str">
        <x:v>19</x:v>
      </x:c>
      <x:c r="N9" s="31" t="str">
        <x:v>0.004486999998334795</x:v>
      </x:c>
      <x:c r="O9" s="13" t="str">
        <x:v>True</x:v>
      </x:c>
      <x:c r="P9" s="37" t="str">
        <x:v>0</x:v>
      </x:c>
      <x:c r="Q9" s="43" t="str">
        <x:v>-0.0001878999755717814</x:v>
      </x:c>
      <x:c r="R9" s="13" t="str">
        <x:v>tie</x:v>
      </x:c>
      <x:c r="S9" s="13" t="str">
        <x:v>zoomed_collision</x:v>
      </x:c>
    </x:row>
    <x:row r="10">
      <x:c r="A10" s="19" t="str">
        <x:v>50</x:v>
      </x:c>
      <x:c r="B10" s="25" t="str">
        <x:v>0.3</x:v>
      </x:c>
      <x:c r="C10" s="19" t="str">
        <x:v>4</x:v>
      </x:c>
      <x:c r="D10" s="19" t="str">
        <x:v>2259289865</x:v>
      </x:c>
      <x:c r="E10" s="19" t="str">
        <x:v>276</x:v>
      </x:c>
      <x:c r="F10" s="19" t="str">
        <x:v>1</x:v>
      </x:c>
      <x:c r="G10" s="19" t="str">
        <x:v>5</x:v>
      </x:c>
      <x:c r="H10" s="19" t="str">
        <x:v>28</x:v>
      </x:c>
      <x:c r="I10" s="19" t="str">
        <x:v>9</x:v>
      </x:c>
      <x:c r="J10" s="31" t="str">
        <x:v>0.003969899960793555</x:v>
      </x:c>
      <x:c r="K10" s="13" t="str">
        <x:v>True</x:v>
      </x:c>
      <x:c r="L10" s="19" t="str">
        <x:v>27</x:v>
      </x:c>
      <x:c r="M10" s="19" t="str">
        <x:v>8</x:v>
      </x:c>
      <x:c r="N10" s="31" t="str">
        <x:v>0.00420919997850433</x:v>
      </x:c>
      <x:c r="O10" s="13" t="str">
        <x:v>True</x:v>
      </x:c>
      <x:c r="P10" s="37" t="str">
        <x:v>-1</x:v>
      </x:c>
      <x:c r="Q10" s="43" t="str">
        <x:v>0.00023930001771077514</x:v>
      </x:c>
      <x:c r="R10" s="13" t="str">
        <x:v>zoomed_collision</x:v>
      </x:c>
      <x:c r="S10" s="13" t="str">
        <x:v>zoomed_entropy</x:v>
      </x:c>
    </x:row>
    <x:row r="11">
      <x:c r="A11" s="19" t="str">
        <x:v>50</x:v>
      </x:c>
      <x:c r="B11" s="25" t="str">
        <x:v>0.3</x:v>
      </x:c>
      <x:c r="C11" s="19" t="str">
        <x:v>5</x:v>
      </x:c>
      <x:c r="D11" s="19" t="str">
        <x:v>3657950359</x:v>
      </x:c>
      <x:c r="E11" s="19" t="str">
        <x:v>238</x:v>
      </x:c>
      <x:c r="F11" s="19" t="str">
        <x:v>1</x:v>
      </x:c>
      <x:c r="G11" s="19" t="str">
        <x:v>5</x:v>
      </x:c>
      <x:c r="H11" s="19" t="str">
        <x:v>34</x:v>
      </x:c>
      <x:c r="I11" s="19" t="str">
        <x:v>17</x:v>
      </x:c>
      <x:c r="J11" s="31" t="str">
        <x:v>0.004920099978335202</x:v>
      </x:c>
      <x:c r="K11" s="13" t="str">
        <x:v>True</x:v>
      </x:c>
      <x:c r="L11" s="19" t="str">
        <x:v>28</x:v>
      </x:c>
      <x:c r="M11" s="19" t="str">
        <x:v>17</x:v>
      </x:c>
      <x:c r="N11" s="31" t="str">
        <x:v>0.004303299996536225</x:v>
      </x:c>
      <x:c r="O11" s="13" t="str">
        <x:v>True</x:v>
      </x:c>
      <x:c r="P11" s="37" t="str">
        <x:v>0</x:v>
      </x:c>
      <x:c r="Q11" s="43" t="str">
        <x:v>-0.0006167999817989767</x:v>
      </x:c>
      <x:c r="R11" s="13" t="str">
        <x:v>tie</x:v>
      </x:c>
      <x:c r="S11" s="13" t="str">
        <x:v>zoomed_collision</x:v>
      </x:c>
    </x:row>
    <x:row r="12">
      <x:c r="A12" s="19" t="str">
        <x:v>50</x:v>
      </x:c>
      <x:c r="B12" s="25" t="str">
        <x:v>0.5</x:v>
      </x:c>
      <x:c r="C12" s="19" t="str">
        <x:v>1</x:v>
      </x:c>
      <x:c r="D12" s="19" t="str">
        <x:v>75064978</x:v>
      </x:c>
      <x:c r="E12" s="19" t="str">
        <x:v>656</x:v>
      </x:c>
      <x:c r="F12" s="19" t="str">
        <x:v>1</x:v>
      </x:c>
      <x:c r="G12" s="19" t="str">
        <x:v>5</x:v>
      </x:c>
      <x:c r="H12" s="19" t="str">
        <x:v>39</x:v>
      </x:c>
      <x:c r="I12" s="19" t="str">
        <x:v>14</x:v>
      </x:c>
      <x:c r="J12" s="31" t="str">
        <x:v>0.0073911999934352934</x:v>
      </x:c>
      <x:c r="K12" s="13" t="str">
        <x:v>True</x:v>
      </x:c>
      <x:c r="L12" s="19" t="str">
        <x:v>28</x:v>
      </x:c>
      <x:c r="M12" s="19" t="str">
        <x:v>14</x:v>
      </x:c>
      <x:c r="N12" s="31" t="str">
        <x:v>0.008709899964742362</x:v>
      </x:c>
      <x:c r="O12" s="13" t="str">
        <x:v>True</x:v>
      </x:c>
      <x:c r="P12" s="37" t="str">
        <x:v>0</x:v>
      </x:c>
      <x:c r="Q12" s="43" t="str">
        <x:v>0.001318699971307069</x:v>
      </x:c>
      <x:c r="R12" s="13" t="str">
        <x:v>tie</x:v>
      </x:c>
      <x:c r="S12" s="13" t="str">
        <x:v>zoomed_entropy</x:v>
      </x:c>
    </x:row>
    <x:row r="13">
      <x:c r="A13" s="19" t="str">
        <x:v>50</x:v>
      </x:c>
      <x:c r="B13" s="25" t="str">
        <x:v>0.5</x:v>
      </x:c>
      <x:c r="C13" s="19" t="str">
        <x:v>2</x:v>
      </x:c>
      <x:c r="D13" s="19" t="str">
        <x:v>698709096</x:v>
      </x:c>
      <x:c r="E13" s="19" t="str">
        <x:v>600</x:v>
      </x:c>
      <x:c r="F13" s="19" t="str">
        <x:v>1</x:v>
      </x:c>
      <x:c r="G13" s="19" t="str">
        <x:v>5</x:v>
      </x:c>
      <x:c r="H13" s="19" t="str">
        <x:v>28</x:v>
      </x:c>
      <x:c r="I13" s="19" t="str">
        <x:v>14</x:v>
      </x:c>
      <x:c r="J13" s="31" t="str">
        <x:v>0.005862399993930012</x:v>
      </x:c>
      <x:c r="K13" s="13" t="str">
        <x:v>True</x:v>
      </x:c>
      <x:c r="L13" s="19" t="str">
        <x:v>22</x:v>
      </x:c>
      <x:c r="M13" s="19" t="str">
        <x:v>15</x:v>
      </x:c>
      <x:c r="N13" s="31" t="str">
        <x:v>0.005618600000161678</x:v>
      </x:c>
      <x:c r="O13" s="13" t="str">
        <x:v>True</x:v>
      </x:c>
      <x:c r="P13" s="37" t="str">
        <x:v>1</x:v>
      </x:c>
      <x:c r="Q13" s="43" t="str">
        <x:v>-0.0002437999937683344</x:v>
      </x:c>
      <x:c r="R13" s="13" t="str">
        <x:v>zoomed_entropy</x:v>
      </x:c>
      <x:c r="S13" s="13" t="str">
        <x:v>zoomed_collision</x:v>
      </x:c>
    </x:row>
    <x:row r="14">
      <x:c r="A14" s="19" t="str">
        <x:v>50</x:v>
      </x:c>
      <x:c r="B14" s="25" t="str">
        <x:v>0.5</x:v>
      </x:c>
      <x:c r="C14" s="19" t="str">
        <x:v>3</x:v>
      </x:c>
      <x:c r="D14" s="19" t="str">
        <x:v>3137606152</x:v>
      </x:c>
      <x:c r="E14" s="19" t="str">
        <x:v>562</x:v>
      </x:c>
      <x:c r="F14" s="19" t="str">
        <x:v>1</x:v>
      </x:c>
      <x:c r="G14" s="19" t="str">
        <x:v>5</x:v>
      </x:c>
      <x:c r="H14" s="19" t="str">
        <x:v>37</x:v>
      </x:c>
      <x:c r="I14" s="19" t="str">
        <x:v>15</x:v>
      </x:c>
      <x:c r="J14" s="31" t="str">
        <x:v>0.007171699951868504</x:v>
      </x:c>
      <x:c r="K14" s="13" t="str">
        <x:v>True</x:v>
      </x:c>
      <x:c r="L14" s="19" t="str">
        <x:v>32</x:v>
      </x:c>
      <x:c r="M14" s="19" t="str">
        <x:v>15</x:v>
      </x:c>
      <x:c r="N14" s="31" t="str">
        <x:v>0.0069738999591208994</x:v>
      </x:c>
      <x:c r="O14" s="13" t="str">
        <x:v>True</x:v>
      </x:c>
      <x:c r="P14" s="37" t="str">
        <x:v>0</x:v>
      </x:c>
      <x:c r="Q14" s="43" t="str">
        <x:v>-0.00019779999274760485</x:v>
      </x:c>
      <x:c r="R14" s="13" t="str">
        <x:v>tie</x:v>
      </x:c>
      <x:c r="S14" s="13" t="str">
        <x:v>zoomed_collision</x:v>
      </x:c>
    </x:row>
    <x:row r="15">
      <x:c r="A15" s="19" t="str">
        <x:v>50</x:v>
      </x:c>
      <x:c r="B15" s="25" t="str">
        <x:v>0.5</x:v>
      </x:c>
      <x:c r="C15" s="19" t="str">
        <x:v>4</x:v>
      </x:c>
      <x:c r="D15" s="19" t="str">
        <x:v>1470648009</x:v>
      </x:c>
      <x:c r="E15" s="19" t="str">
        <x:v>636</x:v>
      </x:c>
      <x:c r="F15" s="19" t="str">
        <x:v>1</x:v>
      </x:c>
      <x:c r="G15" s="19" t="str">
        <x:v>5</x:v>
      </x:c>
      <x:c r="H15" s="19" t="str">
        <x:v>38</x:v>
      </x:c>
      <x:c r="I15" s="19" t="str">
        <x:v>16</x:v>
      </x:c>
      <x:c r="J15" s="31" t="str">
        <x:v>0.008470200002193451</x:v>
      </x:c>
      <x:c r="K15" s="13" t="str">
        <x:v>True</x:v>
      </x:c>
      <x:c r="L15" s="19" t="str">
        <x:v>29</x:v>
      </x:c>
      <x:c r="M15" s="19" t="str">
        <x:v>19</x:v>
      </x:c>
      <x:c r="N15" s="31" t="str">
        <x:v>0.008055200043600053</x:v>
      </x:c>
      <x:c r="O15" s="13" t="str">
        <x:v>True</x:v>
      </x:c>
      <x:c r="P15" s="37" t="str">
        <x:v>3</x:v>
      </x:c>
      <x:c r="Q15" s="43" t="str">
        <x:v>-0.00041499995859339833</x:v>
      </x:c>
      <x:c r="R15" s="13" t="str">
        <x:v>zoomed_entropy</x:v>
      </x:c>
      <x:c r="S15" s="13" t="str">
        <x:v>zoomed_collision</x:v>
      </x:c>
    </x:row>
    <x:row r="16">
      <x:c r="A16" s="19" t="str">
        <x:v>50</x:v>
      </x:c>
      <x:c r="B16" s="25" t="str">
        <x:v>0.5</x:v>
      </x:c>
      <x:c r="C16" s="19" t="str">
        <x:v>5</x:v>
      </x:c>
      <x:c r="D16" s="19" t="str">
        <x:v>928101677</x:v>
      </x:c>
      <x:c r="E16" s="19" t="str">
        <x:v>489</x:v>
      </x:c>
      <x:c r="F16" s="19" t="str">
        <x:v>1</x:v>
      </x:c>
      <x:c r="G16" s="19" t="str">
        <x:v>5</x:v>
      </x:c>
      <x:c r="H16" s="19" t="str">
        <x:v>45</x:v>
      </x:c>
      <x:c r="I16" s="19" t="str">
        <x:v>16</x:v>
      </x:c>
      <x:c r="J16" s="31" t="str">
        <x:v>0.009275899967178702</x:v>
      </x:c>
      <x:c r="K16" s="13" t="str">
        <x:v>True</x:v>
      </x:c>
      <x:c r="L16" s="19" t="str">
        <x:v>23</x:v>
      </x:c>
      <x:c r="M16" s="19" t="str">
        <x:v>16</x:v>
      </x:c>
      <x:c r="N16" s="31" t="str">
        <x:v>0.008119799953419715</x:v>
      </x:c>
      <x:c r="O16" s="13" t="str">
        <x:v>True</x:v>
      </x:c>
      <x:c r="P16" s="37" t="str">
        <x:v>0</x:v>
      </x:c>
      <x:c r="Q16" s="43" t="str">
        <x:v>-0.0011561000137589872</x:v>
      </x:c>
      <x:c r="R16" s="13" t="str">
        <x:v>tie</x:v>
      </x:c>
      <x:c r="S16" s="13" t="str">
        <x:v>zoomed_collision</x:v>
      </x:c>
    </x:row>
    <x:row r="17">
      <x:c r="A17" s="19" t="str">
        <x:v>50</x:v>
      </x:c>
      <x:c r="B17" s="25" t="str">
        <x:v>0.7</x:v>
      </x:c>
      <x:c r="C17" s="19" t="str">
        <x:v>1</x:v>
      </x:c>
      <x:c r="D17" s="19" t="str">
        <x:v>819271298</x:v>
      </x:c>
      <x:c r="E17" s="19" t="str">
        <x:v>999</x:v>
      </x:c>
      <x:c r="F17" s="19" t="str">
        <x:v>1</x:v>
      </x:c>
      <x:c r="G17" s="19" t="str">
        <x:v>5</x:v>
      </x:c>
      <x:c r="H17" s="19" t="str">
        <x:v>37</x:v>
      </x:c>
      <x:c r="I17" s="19" t="str">
        <x:v>28</x:v>
      </x:c>
      <x:c r="J17" s="31" t="str">
        <x:v>0.01564130000770092</x:v>
      </x:c>
      <x:c r="K17" s="13" t="str">
        <x:v>True</x:v>
      </x:c>
      <x:c r="L17" s="19" t="str">
        <x:v>27</x:v>
      </x:c>
      <x:c r="M17" s="19" t="str">
        <x:v>27</x:v>
      </x:c>
      <x:c r="N17" s="31" t="str">
        <x:v>0.023647199966944754</x:v>
      </x:c>
      <x:c r="O17" s="13" t="str">
        <x:v>True</x:v>
      </x:c>
      <x:c r="P17" s="37" t="str">
        <x:v>-1</x:v>
      </x:c>
      <x:c r="Q17" s="43" t="str">
        <x:v>0.008005899959243834</x:v>
      </x:c>
      <x:c r="R17" s="13" t="str">
        <x:v>zoomed_collision</x:v>
      </x:c>
      <x:c r="S17" s="13" t="str">
        <x:v>zoomed_entropy</x:v>
      </x:c>
    </x:row>
    <x:row r="18">
      <x:c r="A18" s="19" t="str">
        <x:v>50</x:v>
      </x:c>
      <x:c r="B18" s="25" t="str">
        <x:v>0.7</x:v>
      </x:c>
      <x:c r="C18" s="19" t="str">
        <x:v>2</x:v>
      </x:c>
      <x:c r="D18" s="19" t="str">
        <x:v>4087852769</x:v>
      </x:c>
      <x:c r="E18" s="19" t="str">
        <x:v>849</x:v>
      </x:c>
      <x:c r="F18" s="19" t="str">
        <x:v>1</x:v>
      </x:c>
      <x:c r="G18" s="19" t="str">
        <x:v>5</x:v>
      </x:c>
      <x:c r="H18" s="19" t="str">
        <x:v>39</x:v>
      </x:c>
      <x:c r="I18" s="19" t="str">
        <x:v>21</x:v>
      </x:c>
      <x:c r="J18" s="31" t="str">
        <x:v>0.007568800006993115</x:v>
      </x:c>
      <x:c r="K18" s="13" t="str">
        <x:v>True</x:v>
      </x:c>
      <x:c r="L18" s="19" t="str">
        <x:v>37</x:v>
      </x:c>
      <x:c r="M18" s="19" t="str">
        <x:v>21</x:v>
      </x:c>
      <x:c r="N18" s="31" t="str">
        <x:v>0.007779600040521473</x:v>
      </x:c>
      <x:c r="O18" s="13" t="str">
        <x:v>True</x:v>
      </x:c>
      <x:c r="P18" s="37" t="str">
        <x:v>0</x:v>
      </x:c>
      <x:c r="Q18" s="43" t="str">
        <x:v>0.00021080003352835774</x:v>
      </x:c>
      <x:c r="R18" s="13" t="str">
        <x:v>tie</x:v>
      </x:c>
      <x:c r="S18" s="13" t="str">
        <x:v>zoomed_entropy</x:v>
      </x:c>
    </x:row>
    <x:row r="19">
      <x:c r="A19" s="19" t="str">
        <x:v>50</x:v>
      </x:c>
      <x:c r="B19" s="25" t="str">
        <x:v>0.7</x:v>
      </x:c>
      <x:c r="C19" s="19" t="str">
        <x:v>3</x:v>
      </x:c>
      <x:c r="D19" s="19" t="str">
        <x:v>1463115271</x:v>
      </x:c>
      <x:c r="E19" s="19" t="str">
        <x:v>889</x:v>
      </x:c>
      <x:c r="F19" s="19" t="str">
        <x:v>1</x:v>
      </x:c>
      <x:c r="G19" s="19" t="str">
        <x:v>5</x:v>
      </x:c>
      <x:c r="H19" s="19" t="str">
        <x:v>42</x:v>
      </x:c>
      <x:c r="I19" s="19" t="str">
        <x:v>21</x:v>
      </x:c>
      <x:c r="J19" s="31" t="str">
        <x:v>0.012825699988752604</x:v>
      </x:c>
      <x:c r="K19" s="13" t="str">
        <x:v>True</x:v>
      </x:c>
      <x:c r="L19" s="19" t="str">
        <x:v>27</x:v>
      </x:c>
      <x:c r="M19" s="19" t="str">
        <x:v>19</x:v>
      </x:c>
      <x:c r="N19" s="31" t="str">
        <x:v>0.012368600000627339</x:v>
      </x:c>
      <x:c r="O19" s="13" t="str">
        <x:v>True</x:v>
      </x:c>
      <x:c r="P19" s="37" t="str">
        <x:v>-2</x:v>
      </x:c>
      <x:c r="Q19" s="43" t="str">
        <x:v>-0.00045709998812526464</x:v>
      </x:c>
      <x:c r="R19" s="13" t="str">
        <x:v>zoomed_collision</x:v>
      </x:c>
      <x:c r="S19" s="13" t="str">
        <x:v>zoomed_collision</x:v>
      </x:c>
    </x:row>
    <x:row r="20">
      <x:c r="A20" s="19" t="str">
        <x:v>50</x:v>
      </x:c>
      <x:c r="B20" s="25" t="str">
        <x:v>0.7</x:v>
      </x:c>
      <x:c r="C20" s="19" t="str">
        <x:v>4</x:v>
      </x:c>
      <x:c r="D20" s="19" t="str">
        <x:v>2974407621</x:v>
      </x:c>
      <x:c r="E20" s="19" t="str">
        <x:v>953</x:v>
      </x:c>
      <x:c r="F20" s="19" t="str">
        <x:v>1</x:v>
      </x:c>
      <x:c r="G20" s="19" t="str">
        <x:v>5</x:v>
      </x:c>
      <x:c r="H20" s="19" t="str">
        <x:v>35</x:v>
      </x:c>
      <x:c r="I20" s="19" t="str">
        <x:v>24</x:v>
      </x:c>
      <x:c r="J20" s="31" t="str">
        <x:v>0.015873199969064444</x:v>
      </x:c>
      <x:c r="K20" s="13" t="str">
        <x:v>True</x:v>
      </x:c>
      <x:c r="L20" s="19" t="str">
        <x:v>23</x:v>
      </x:c>
      <x:c r="M20" s="19" t="str">
        <x:v>22</x:v>
      </x:c>
      <x:c r="N20" s="31" t="str">
        <x:v>0.018079600005876273</x:v>
      </x:c>
      <x:c r="O20" s="13" t="str">
        <x:v>True</x:v>
      </x:c>
      <x:c r="P20" s="37" t="str">
        <x:v>-2</x:v>
      </x:c>
      <x:c r="Q20" s="43" t="str">
        <x:v>0.0022064000368118286</x:v>
      </x:c>
      <x:c r="R20" s="13" t="str">
        <x:v>zoomed_collision</x:v>
      </x:c>
      <x:c r="S20" s="13" t="str">
        <x:v>zoomed_entropy</x:v>
      </x:c>
    </x:row>
    <x:row r="21">
      <x:c r="A21" s="19" t="str">
        <x:v>50</x:v>
      </x:c>
      <x:c r="B21" s="25" t="str">
        <x:v>0.7</x:v>
      </x:c>
      <x:c r="C21" s="19" t="str">
        <x:v>5</x:v>
      </x:c>
      <x:c r="D21" s="19" t="str">
        <x:v>297687282</x:v>
      </x:c>
      <x:c r="E21" s="19" t="str">
        <x:v>873</x:v>
      </x:c>
      <x:c r="F21" s="19" t="str">
        <x:v>1</x:v>
      </x:c>
      <x:c r="G21" s="19" t="str">
        <x:v>5</x:v>
      </x:c>
      <x:c r="H21" s="19" t="str">
        <x:v>42</x:v>
      </x:c>
      <x:c r="I21" s="19" t="str">
        <x:v>20</x:v>
      </x:c>
      <x:c r="J21" s="31" t="str">
        <x:v>0.008867900003679097</x:v>
      </x:c>
      <x:c r="K21" s="13" t="str">
        <x:v>True</x:v>
      </x:c>
      <x:c r="L21" s="19" t="str">
        <x:v>35</x:v>
      </x:c>
      <x:c r="M21" s="19" t="str">
        <x:v>19</x:v>
      </x:c>
      <x:c r="N21" s="31" t="str">
        <x:v>0.00898310000775382</x:v>
      </x:c>
      <x:c r="O21" s="13" t="str">
        <x:v>True</x:v>
      </x:c>
      <x:c r="P21" s="37" t="str">
        <x:v>-1</x:v>
      </x:c>
      <x:c r="Q21" s="43" t="str">
        <x:v>0.00011520000407472253</x:v>
      </x:c>
      <x:c r="R21" s="13" t="str">
        <x:v>zoomed_collision</x:v>
      </x:c>
      <x:c r="S21" s="13" t="str">
        <x:v>zoomed_entropy</x:v>
      </x:c>
    </x:row>
    <x:row r="22">
      <x:c r="A22" s="19" t="str">
        <x:v>100</x:v>
      </x:c>
      <x:c r="B22" s="25" t="str">
        <x:v>0.1</x:v>
      </x:c>
      <x:c r="C22" s="19" t="str">
        <x:v>1</x:v>
      </x:c>
      <x:c r="D22" s="19" t="str">
        <x:v>2975866666</x:v>
      </x:c>
      <x:c r="E22" s="19" t="str">
        <x:v>163</x:v>
      </x:c>
      <x:c r="F22" s="19" t="str">
        <x:v>16</x:v>
      </x:c>
      <x:c r="G22" s="19" t="str">
        <x:v>5</x:v>
      </x:c>
      <x:c r="H22" s="19" t="str">
        <x:v>60</x:v>
      </x:c>
      <x:c r="I22" s="19" t="str">
        <x:v>32</x:v>
      </x:c>
      <x:c r="J22" s="31" t="str">
        <x:v>0.01845630002208054</x:v>
      </x:c>
      <x:c r="K22" s="13" t="str">
        <x:v>True</x:v>
      </x:c>
      <x:c r="L22" s="19" t="str">
        <x:v>59</x:v>
      </x:c>
      <x:c r="M22" s="19" t="str">
        <x:v>32</x:v>
      </x:c>
      <x:c r="N22" s="31" t="str">
        <x:v>0.018919399997685105</x:v>
      </x:c>
      <x:c r="O22" s="13" t="str">
        <x:v>True</x:v>
      </x:c>
      <x:c r="P22" s="37" t="str">
        <x:v>0</x:v>
      </x:c>
      <x:c r="Q22" s="43" t="str">
        <x:v>0.00046309997560456395</x:v>
      </x:c>
      <x:c r="R22" s="13" t="str">
        <x:v>tie</x:v>
      </x:c>
      <x:c r="S22" s="13" t="str">
        <x:v>zoomed_entropy</x:v>
      </x:c>
    </x:row>
    <x:row r="23">
      <x:c r="A23" s="19" t="str">
        <x:v>100</x:v>
      </x:c>
      <x:c r="B23" s="25" t="str">
        <x:v>0.1</x:v>
      </x:c>
      <x:c r="C23" s="19" t="str">
        <x:v>2</x:v>
      </x:c>
      <x:c r="D23" s="19" t="str">
        <x:v>2333600171</x:v>
      </x:c>
      <x:c r="E23" s="19" t="str">
        <x:v>138</x:v>
      </x:c>
      <x:c r="F23" s="19" t="str">
        <x:v>13</x:v>
      </x:c>
      <x:c r="G23" s="19" t="str">
        <x:v>5</x:v>
      </x:c>
      <x:c r="H23" s="19" t="str">
        <x:v>61</x:v>
      </x:c>
      <x:c r="I23" s="19" t="str">
        <x:v>25</x:v>
      </x:c>
      <x:c r="J23" s="31" t="str">
        <x:v>0.01981359999626875</x:v>
      </x:c>
      <x:c r="K23" s="13" t="str">
        <x:v>True</x:v>
      </x:c>
      <x:c r="L23" s="19" t="str">
        <x:v>57</x:v>
      </x:c>
      <x:c r="M23" s="19" t="str">
        <x:v>25</x:v>
      </x:c>
      <x:c r="N23" s="31" t="str">
        <x:v>0.018663299968466163</x:v>
      </x:c>
      <x:c r="O23" s="13" t="str">
        <x:v>True</x:v>
      </x:c>
      <x:c r="P23" s="37" t="str">
        <x:v>0</x:v>
      </x:c>
      <x:c r="Q23" s="43" t="str">
        <x:v>-0.0011503000278025866</x:v>
      </x:c>
      <x:c r="R23" s="13" t="str">
        <x:v>tie</x:v>
      </x:c>
      <x:c r="S23" s="13" t="str">
        <x:v>zoomed_collision</x:v>
      </x:c>
    </x:row>
    <x:row r="24">
      <x:c r="A24" s="19" t="str">
        <x:v>100</x:v>
      </x:c>
      <x:c r="B24" s="25" t="str">
        <x:v>0.1</x:v>
      </x:c>
      <x:c r="C24" s="19" t="str">
        <x:v>3</x:v>
      </x:c>
      <x:c r="D24" s="19" t="str">
        <x:v>350434105</x:v>
      </x:c>
      <x:c r="E24" s="19" t="str">
        <x:v>149</x:v>
      </x:c>
      <x:c r="F24" s="19" t="str">
        <x:v>17</x:v>
      </x:c>
      <x:c r="G24" s="19" t="str">
        <x:v>5</x:v>
      </x:c>
      <x:c r="H24" s="19" t="str">
        <x:v>63</x:v>
      </x:c>
      <x:c r="I24" s="19" t="str">
        <x:v>33</x:v>
      </x:c>
      <x:c r="J24" s="31" t="str">
        <x:v>0.02083399996627122</x:v>
      </x:c>
      <x:c r="K24" s="13" t="str">
        <x:v>True</x:v>
      </x:c>
      <x:c r="L24" s="19" t="str">
        <x:v>59</x:v>
      </x:c>
      <x:c r="M24" s="19" t="str">
        <x:v>34</x:v>
      </x:c>
      <x:c r="N24" s="31" t="str">
        <x:v>0.018704599991906434</x:v>
      </x:c>
      <x:c r="O24" s="13" t="str">
        <x:v>True</x:v>
      </x:c>
      <x:c r="P24" s="37" t="str">
        <x:v>1</x:v>
      </x:c>
      <x:c r="Q24" s="43" t="str">
        <x:v>-0.0021293999743647873</x:v>
      </x:c>
      <x:c r="R24" s="13" t="str">
        <x:v>zoomed_entropy</x:v>
      </x:c>
      <x:c r="S24" s="13" t="str">
        <x:v>zoomed_collision</x:v>
      </x:c>
    </x:row>
    <x:row r="25">
      <x:c r="A25" s="19" t="str">
        <x:v>100</x:v>
      </x:c>
      <x:c r="B25" s="25" t="str">
        <x:v>0.1</x:v>
      </x:c>
      <x:c r="C25" s="19" t="str">
        <x:v>4</x:v>
      </x:c>
      <x:c r="D25" s="19" t="str">
        <x:v>1764821854</x:v>
      </x:c>
      <x:c r="E25" s="19" t="str">
        <x:v>152</x:v>
      </x:c>
      <x:c r="F25" s="19" t="str">
        <x:v>13</x:v>
      </x:c>
      <x:c r="G25" s="19" t="str">
        <x:v>5</x:v>
      </x:c>
      <x:c r="H25" s="19" t="str">
        <x:v>59</x:v>
      </x:c>
      <x:c r="I25" s="19" t="str">
        <x:v>29</x:v>
      </x:c>
      <x:c r="J25" s="31" t="str">
        <x:v>0.01790520001668483</x:v>
      </x:c>
      <x:c r="K25" s="13" t="str">
        <x:v>True</x:v>
      </x:c>
      <x:c r="L25" s="19" t="str">
        <x:v>55</x:v>
      </x:c>
      <x:c r="M25" s="19" t="str">
        <x:v>28</x:v>
      </x:c>
      <x:c r="N25" s="31" t="str">
        <x:v>0.020294399990234524</x:v>
      </x:c>
      <x:c r="O25" s="13" t="str">
        <x:v>True</x:v>
      </x:c>
      <x:c r="P25" s="37" t="str">
        <x:v>-1</x:v>
      </x:c>
      <x:c r="Q25" s="43" t="str">
        <x:v>0.002389199973549694</x:v>
      </x:c>
      <x:c r="R25" s="13" t="str">
        <x:v>zoomed_collision</x:v>
      </x:c>
      <x:c r="S25" s="13" t="str">
        <x:v>zoomed_entropy</x:v>
      </x:c>
    </x:row>
    <x:row r="26">
      <x:c r="A26" s="19" t="str">
        <x:v>100</x:v>
      </x:c>
      <x:c r="B26" s="25" t="str">
        <x:v>0.1</x:v>
      </x:c>
      <x:c r="C26" s="19" t="str">
        <x:v>5</x:v>
      </x:c>
      <x:c r="D26" s="19" t="str">
        <x:v>3260585550</x:v>
      </x:c>
      <x:c r="E26" s="19" t="str">
        <x:v>166</x:v>
      </x:c>
      <x:c r="F26" s="19" t="str">
        <x:v>21</x:v>
      </x:c>
      <x:c r="G26" s="19" t="str">
        <x:v>5</x:v>
      </x:c>
      <x:c r="H26" s="19" t="str">
        <x:v>65</x:v>
      </x:c>
      <x:c r="I26" s="19" t="str">
        <x:v>65</x:v>
      </x:c>
      <x:c r="J26" s="31" t="str">
        <x:v>0.012025700008962303</x:v>
      </x:c>
      <x:c r="K26" s="13" t="str">
        <x:v>False</x:v>
      </x:c>
      <x:c r="L26" s="19" t="str">
        <x:v>61</x:v>
      </x:c>
      <x:c r="M26" s="19" t="str">
        <x:v>61</x:v>
      </x:c>
      <x:c r="N26" s="31" t="str">
        <x:v>0.009037099953275174</x:v>
      </x:c>
      <x:c r="O26" s="13" t="str">
        <x:v>False</x:v>
      </x:c>
      <x:c r="P26" s="37" t="str">
        <x:v>-4</x:v>
      </x:c>
      <x:c r="Q26" s="43" t="str">
        <x:v>-0.0029886000556871295</x:v>
      </x:c>
      <x:c r="R26" s="13" t="str">
        <x:v>neither</x:v>
      </x:c>
      <x:c r="S26" s="13" t="str">
        <x:v>zoomed_collision</x:v>
      </x:c>
    </x:row>
    <x:row r="27">
      <x:c r="A27" s="19" t="str">
        <x:v>100</x:v>
      </x:c>
      <x:c r="B27" s="25" t="str">
        <x:v>0.3</x:v>
      </x:c>
      <x:c r="C27" s="19" t="str">
        <x:v>1</x:v>
      </x:c>
      <x:c r="D27" s="19" t="str">
        <x:v>3536709634</x:v>
      </x:c>
      <x:c r="E27" s="19" t="str">
        <x:v>1062</x:v>
      </x:c>
      <x:c r="F27" s="19" t="str">
        <x:v>1</x:v>
      </x:c>
      <x:c r="G27" s="19" t="str">
        <x:v>5</x:v>
      </x:c>
      <x:c r="H27" s="19" t="str">
        <x:v>64</x:v>
      </x:c>
      <x:c r="I27" s="19" t="str">
        <x:v>21</x:v>
      </x:c>
      <x:c r="J27" s="31" t="str">
        <x:v>0.0178085999796167</x:v>
      </x:c>
      <x:c r="K27" s="13" t="str">
        <x:v>True</x:v>
      </x:c>
      <x:c r="L27" s="19" t="str">
        <x:v>54</x:v>
      </x:c>
      <x:c r="M27" s="19" t="str">
        <x:v>20</x:v>
      </x:c>
      <x:c r="N27" s="31" t="str">
        <x:v>0.016332399973180145</x:v>
      </x:c>
      <x:c r="O27" s="13" t="str">
        <x:v>True</x:v>
      </x:c>
      <x:c r="P27" s="37" t="str">
        <x:v>-1</x:v>
      </x:c>
      <x:c r="Q27" s="43" t="str">
        <x:v>-0.0014762000064365566</x:v>
      </x:c>
      <x:c r="R27" s="13" t="str">
        <x:v>zoomed_collision</x:v>
      </x:c>
      <x:c r="S27" s="13" t="str">
        <x:v>zoomed_collision</x:v>
      </x:c>
    </x:row>
    <x:row r="28">
      <x:c r="A28" s="19" t="str">
        <x:v>100</x:v>
      </x:c>
      <x:c r="B28" s="25" t="str">
        <x:v>0.3</x:v>
      </x:c>
      <x:c r="C28" s="19" t="str">
        <x:v>2</x:v>
      </x:c>
      <x:c r="D28" s="19" t="str">
        <x:v>3595189913</x:v>
      </x:c>
      <x:c r="E28" s="19" t="str">
        <x:v>1019</x:v>
      </x:c>
      <x:c r="F28" s="19" t="str">
        <x:v>1</x:v>
      </x:c>
      <x:c r="G28" s="19" t="str">
        <x:v>5</x:v>
      </x:c>
      <x:c r="H28" s="19" t="str">
        <x:v>68</x:v>
      </x:c>
      <x:c r="I28" s="19" t="str">
        <x:v>19</x:v>
      </x:c>
      <x:c r="J28" s="31" t="str">
        <x:v>0.016788500011898577</x:v>
      </x:c>
      <x:c r="K28" s="13" t="str">
        <x:v>True</x:v>
      </x:c>
      <x:c r="L28" s="19" t="str">
        <x:v>54</x:v>
      </x:c>
      <x:c r="M28" s="19" t="str">
        <x:v>54</x:v>
      </x:c>
      <x:c r="N28" s="31" t="str">
        <x:v>0.012390399992000312</x:v>
      </x:c>
      <x:c r="O28" s="13" t="str">
        <x:v>False</x:v>
      </x:c>
      <x:c r="P28" s="37" t="str">
        <x:v>35</x:v>
      </x:c>
      <x:c r="Q28" s="43" t="str">
        <x:v>-0.004398100019898266</x:v>
      </x:c>
      <x:c r="R28" s="13" t="str">
        <x:v>zoomed_entropy</x:v>
      </x:c>
      <x:c r="S28" s="13" t="str">
        <x:v>zoomed_collision</x:v>
      </x:c>
    </x:row>
    <x:row r="29">
      <x:c r="A29" s="19" t="str">
        <x:v>100</x:v>
      </x:c>
      <x:c r="B29" s="25" t="str">
        <x:v>0.3</x:v>
      </x:c>
      <x:c r="C29" s="19" t="str">
        <x:v>3</x:v>
      </x:c>
      <x:c r="D29" s="19" t="str">
        <x:v>615544635</x:v>
      </x:c>
      <x:c r="E29" s="19" t="str">
        <x:v>1094</x:v>
      </x:c>
      <x:c r="F29" s="19" t="str">
        <x:v>1</x:v>
      </x:c>
      <x:c r="G29" s="19" t="str">
        <x:v>5</x:v>
      </x:c>
      <x:c r="H29" s="19" t="str">
        <x:v>83</x:v>
      </x:c>
      <x:c r="I29" s="19" t="str">
        <x:v>19</x:v>
      </x:c>
      <x:c r="J29" s="31" t="str">
        <x:v>0.024333600013051182</x:v>
      </x:c>
      <x:c r="K29" s="13" t="str">
        <x:v>True</x:v>
      </x:c>
      <x:c r="L29" s="19" t="str">
        <x:v>47</x:v>
      </x:c>
      <x:c r="M29" s="19" t="str">
        <x:v>21</x:v>
      </x:c>
      <x:c r="N29" s="31" t="str">
        <x:v>0.01615519996266812</x:v>
      </x:c>
      <x:c r="O29" s="13" t="str">
        <x:v>True</x:v>
      </x:c>
      <x:c r="P29" s="37" t="str">
        <x:v>2</x:v>
      </x:c>
      <x:c r="Q29" s="43" t="str">
        <x:v>-0.008178400050383061</x:v>
      </x:c>
      <x:c r="R29" s="13" t="str">
        <x:v>zoomed_entropy</x:v>
      </x:c>
      <x:c r="S29" s="13" t="str">
        <x:v>zoomed_collision</x:v>
      </x:c>
    </x:row>
    <x:row r="30">
      <x:c r="A30" s="19" t="str">
        <x:v>100</x:v>
      </x:c>
      <x:c r="B30" s="25" t="str">
        <x:v>0.3</x:v>
      </x:c>
      <x:c r="C30" s="19" t="str">
        <x:v>4</x:v>
      </x:c>
      <x:c r="D30" s="19" t="str">
        <x:v>901987649</x:v>
      </x:c>
      <x:c r="E30" s="19" t="str">
        <x:v>1232</x:v>
      </x:c>
      <x:c r="F30" s="19" t="str">
        <x:v>1</x:v>
      </x:c>
      <x:c r="G30" s="19" t="str">
        <x:v>5</x:v>
      </x:c>
      <x:c r="H30" s="19" t="str">
        <x:v>72</x:v>
      </x:c>
      <x:c r="I30" s="19" t="str">
        <x:v>24</x:v>
      </x:c>
      <x:c r="J30" s="31" t="str">
        <x:v>0.02830760000506416</x:v>
      </x:c>
      <x:c r="K30" s="13" t="str">
        <x:v>True</x:v>
      </x:c>
      <x:c r="L30" s="19" t="str">
        <x:v>54</x:v>
      </x:c>
      <x:c r="M30" s="19" t="str">
        <x:v>24</x:v>
      </x:c>
      <x:c r="N30" s="31" t="str">
        <x:v>0.025551100028678775</x:v>
      </x:c>
      <x:c r="O30" s="13" t="str">
        <x:v>True</x:v>
      </x:c>
      <x:c r="P30" s="37" t="str">
        <x:v>0</x:v>
      </x:c>
      <x:c r="Q30" s="43" t="str">
        <x:v>-0.002756499976385385</x:v>
      </x:c>
      <x:c r="R30" s="13" t="str">
        <x:v>tie</x:v>
      </x:c>
      <x:c r="S30" s="13" t="str">
        <x:v>zoomed_collision</x:v>
      </x:c>
    </x:row>
    <x:row r="31">
      <x:c r="A31" s="19" t="str">
        <x:v>100</x:v>
      </x:c>
      <x:c r="B31" s="25" t="str">
        <x:v>0.3</x:v>
      </x:c>
      <x:c r="C31" s="19" t="str">
        <x:v>5</x:v>
      </x:c>
      <x:c r="D31" s="19" t="str">
        <x:v>242335072</x:v>
      </x:c>
      <x:c r="E31" s="19" t="str">
        <x:v>1101</x:v>
      </x:c>
      <x:c r="F31" s="19" t="str">
        <x:v>1</x:v>
      </x:c>
      <x:c r="G31" s="19" t="str">
        <x:v>5</x:v>
      </x:c>
      <x:c r="H31" s="19" t="str">
        <x:v>75</x:v>
      </x:c>
      <x:c r="I31" s="19" t="str">
        <x:v>21</x:v>
      </x:c>
      <x:c r="J31" s="31" t="str">
        <x:v>0.026714199979323894</x:v>
      </x:c>
      <x:c r="K31" s="13" t="str">
        <x:v>True</x:v>
      </x:c>
      <x:c r="L31" s="19" t="str">
        <x:v>55</x:v>
      </x:c>
      <x:c r="M31" s="19" t="str">
        <x:v>23</x:v>
      </x:c>
      <x:c r="N31" s="31" t="str">
        <x:v>0.022875500028021634</x:v>
      </x:c>
      <x:c r="O31" s="13" t="str">
        <x:v>True</x:v>
      </x:c>
      <x:c r="P31" s="37" t="str">
        <x:v>2</x:v>
      </x:c>
      <x:c r="Q31" s="43" t="str">
        <x:v>-0.00383869995130226</x:v>
      </x:c>
      <x:c r="R31" s="13" t="str">
        <x:v>zoomed_entropy</x:v>
      </x:c>
      <x:c r="S31" s="13" t="str">
        <x:v>zoomed_collision</x:v>
      </x:c>
    </x:row>
    <x:row r="32">
      <x:c r="A32" s="19" t="str">
        <x:v>100</x:v>
      </x:c>
      <x:c r="B32" s="25" t="str">
        <x:v>0.5</x:v>
      </x:c>
      <x:c r="C32" s="19" t="str">
        <x:v>1</x:v>
      </x:c>
      <x:c r="D32" s="19" t="str">
        <x:v>593149391</x:v>
      </x:c>
      <x:c r="E32" s="19" t="str">
        <x:v>2339</x:v>
      </x:c>
      <x:c r="F32" s="19" t="str">
        <x:v>1</x:v>
      </x:c>
      <x:c r="G32" s="19" t="str">
        <x:v>5</x:v>
      </x:c>
      <x:c r="H32" s="19" t="str">
        <x:v>76</x:v>
      </x:c>
      <x:c r="I32" s="19" t="str">
        <x:v>25</x:v>
      </x:c>
      <x:c r="J32" s="31" t="str">
        <x:v>0.039531600021291524</x:v>
      </x:c>
      <x:c r="K32" s="13" t="str">
        <x:v>True</x:v>
      </x:c>
      <x:c r="L32" s="19" t="str">
        <x:v>55</x:v>
      </x:c>
      <x:c r="M32" s="19" t="str">
        <x:v>27</x:v>
      </x:c>
      <x:c r="N32" s="31" t="str">
        <x:v>0.03413649997673929</x:v>
      </x:c>
      <x:c r="O32" s="13" t="str">
        <x:v>True</x:v>
      </x:c>
      <x:c r="P32" s="37" t="str">
        <x:v>2</x:v>
      </x:c>
      <x:c r="Q32" s="43" t="str">
        <x:v>-0.005395100044552237</x:v>
      </x:c>
      <x:c r="R32" s="13" t="str">
        <x:v>zoomed_entropy</x:v>
      </x:c>
      <x:c r="S32" s="13" t="str">
        <x:v>zoomed_collision</x:v>
      </x:c>
    </x:row>
    <x:row r="33">
      <x:c r="A33" s="19" t="str">
        <x:v>100</x:v>
      </x:c>
      <x:c r="B33" s="25" t="str">
        <x:v>0.5</x:v>
      </x:c>
      <x:c r="C33" s="19" t="str">
        <x:v>2</x:v>
      </x:c>
      <x:c r="D33" s="19" t="str">
        <x:v>3970789060</x:v>
      </x:c>
      <x:c r="E33" s="19" t="str">
        <x:v>2225</x:v>
      </x:c>
      <x:c r="F33" s="19" t="str">
        <x:v>1</x:v>
      </x:c>
      <x:c r="G33" s="19" t="str">
        <x:v>5</x:v>
      </x:c>
      <x:c r="H33" s="19" t="str">
        <x:v>79</x:v>
      </x:c>
      <x:c r="I33" s="19" t="str">
        <x:v>30</x:v>
      </x:c>
      <x:c r="J33" s="31" t="str">
        <x:v>0.04790309997042641</x:v>
      </x:c>
      <x:c r="K33" s="13" t="str">
        <x:v>True</x:v>
      </x:c>
      <x:c r="L33" s="19" t="str">
        <x:v>49</x:v>
      </x:c>
      <x:c r="M33" s="19" t="str">
        <x:v>28</x:v>
      </x:c>
      <x:c r="N33" s="31" t="str">
        <x:v>0.04241090000141412</x:v>
      </x:c>
      <x:c r="O33" s="13" t="str">
        <x:v>True</x:v>
      </x:c>
      <x:c r="P33" s="37" t="str">
        <x:v>-2</x:v>
      </x:c>
      <x:c r="Q33" s="43" t="str">
        <x:v>-0.00549219996901229</x:v>
      </x:c>
      <x:c r="R33" s="13" t="str">
        <x:v>zoomed_collision</x:v>
      </x:c>
      <x:c r="S33" s="13" t="str">
        <x:v>zoomed_collision</x:v>
      </x:c>
    </x:row>
    <x:row r="34">
      <x:c r="A34" s="19" t="str">
        <x:v>100</x:v>
      </x:c>
      <x:c r="B34" s="25" t="str">
        <x:v>0.5</x:v>
      </x:c>
      <x:c r="C34" s="19" t="str">
        <x:v>3</x:v>
      </x:c>
      <x:c r="D34" s="19" t="str">
        <x:v>3577865017</x:v>
      </x:c>
      <x:c r="E34" s="19" t="str">
        <x:v>2463</x:v>
      </x:c>
      <x:c r="F34" s="19" t="str">
        <x:v>1</x:v>
      </x:c>
      <x:c r="G34" s="19" t="str">
        <x:v>5</x:v>
      </x:c>
      <x:c r="H34" s="19" t="str">
        <x:v>81</x:v>
      </x:c>
      <x:c r="I34" s="19" t="str">
        <x:v>26</x:v>
      </x:c>
      <x:c r="J34" s="31" t="str">
        <x:v>0.045589799992740154</x:v>
      </x:c>
      <x:c r="K34" s="13" t="str">
        <x:v>True</x:v>
      </x:c>
      <x:c r="L34" s="19" t="str">
        <x:v>53</x:v>
      </x:c>
      <x:c r="M34" s="19" t="str">
        <x:v>26</x:v>
      </x:c>
      <x:c r="N34" s="31" t="str">
        <x:v>0.03634970000712201</x:v>
      </x:c>
      <x:c r="O34" s="13" t="str">
        <x:v>True</x:v>
      </x:c>
      <x:c r="P34" s="37" t="str">
        <x:v>0</x:v>
      </x:c>
      <x:c r="Q34" s="43" t="str">
        <x:v>-0.009240099985618144</x:v>
      </x:c>
      <x:c r="R34" s="13" t="str">
        <x:v>tie</x:v>
      </x:c>
      <x:c r="S34" s="13" t="str">
        <x:v>zoomed_collision</x:v>
      </x:c>
    </x:row>
    <x:row r="35">
      <x:c r="A35" s="19" t="str">
        <x:v>100</x:v>
      </x:c>
      <x:c r="B35" s="25" t="str">
        <x:v>0.5</x:v>
      </x:c>
      <x:c r="C35" s="19" t="str">
        <x:v>4</x:v>
      </x:c>
      <x:c r="D35" s="19" t="str">
        <x:v>314838112</x:v>
      </x:c>
      <x:c r="E35" s="19" t="str">
        <x:v>2414</x:v>
      </x:c>
      <x:c r="F35" s="19" t="str">
        <x:v>1</x:v>
      </x:c>
      <x:c r="G35" s="19" t="str">
        <x:v>5</x:v>
      </x:c>
      <x:c r="H35" s="19" t="str">
        <x:v>90</x:v>
      </x:c>
      <x:c r="I35" s="19" t="str">
        <x:v>27</x:v>
      </x:c>
      <x:c r="J35" s="31" t="str">
        <x:v>0.07826530002057552</x:v>
      </x:c>
      <x:c r="K35" s="13" t="str">
        <x:v>True</x:v>
      </x:c>
      <x:c r="L35" s="19" t="str">
        <x:v>47</x:v>
      </x:c>
      <x:c r="M35" s="19" t="str">
        <x:v>26</x:v>
      </x:c>
      <x:c r="N35" s="31" t="str">
        <x:v>0.05207259999588132</x:v>
      </x:c>
      <x:c r="O35" s="13" t="str">
        <x:v>True</x:v>
      </x:c>
      <x:c r="P35" s="37" t="str">
        <x:v>-1</x:v>
      </x:c>
      <x:c r="Q35" s="43" t="str">
        <x:v>-0.026192700024694204</x:v>
      </x:c>
      <x:c r="R35" s="13" t="str">
        <x:v>zoomed_collision</x:v>
      </x:c>
      <x:c r="S35" s="13" t="str">
        <x:v>zoomed_collision</x:v>
      </x:c>
    </x:row>
    <x:row r="36">
      <x:c r="A36" s="19" t="str">
        <x:v>100</x:v>
      </x:c>
      <x:c r="B36" s="25" t="str">
        <x:v>0.5</x:v>
      </x:c>
      <x:c r="C36" s="19" t="str">
        <x:v>5</x:v>
      </x:c>
      <x:c r="D36" s="19" t="str">
        <x:v>779595850</x:v>
      </x:c>
      <x:c r="E36" s="19" t="str">
        <x:v>2545</x:v>
      </x:c>
      <x:c r="F36" s="19" t="str">
        <x:v>1</x:v>
      </x:c>
      <x:c r="G36" s="19" t="str">
        <x:v>5</x:v>
      </x:c>
      <x:c r="H36" s="19" t="str">
        <x:v>78</x:v>
      </x:c>
      <x:c r="I36" s="19" t="str">
        <x:v>24</x:v>
      </x:c>
      <x:c r="J36" s="31" t="str">
        <x:v>0.08763629995519295</x:v>
      </x:c>
      <x:c r="K36" s="13" t="str">
        <x:v>True</x:v>
      </x:c>
      <x:c r="L36" s="19" t="str">
        <x:v>31</x:v>
      </x:c>
      <x:c r="M36" s="19" t="str">
        <x:v>22</x:v>
      </x:c>
      <x:c r="N36" s="31" t="str">
        <x:v>0.06685330002801493</x:v>
      </x:c>
      <x:c r="O36" s="13" t="str">
        <x:v>True</x:v>
      </x:c>
      <x:c r="P36" s="37" t="str">
        <x:v>-2</x:v>
      </x:c>
      <x:c r="Q36" s="43" t="str">
        <x:v>-0.020782999927178025</x:v>
      </x:c>
      <x:c r="R36" s="13" t="str">
        <x:v>zoomed_collision</x:v>
      </x:c>
      <x:c r="S36" s="13" t="str">
        <x:v>zoomed_collision</x:v>
      </x:c>
    </x:row>
    <x:row r="37">
      <x:c r="A37" s="19" t="str">
        <x:v>100</x:v>
      </x:c>
      <x:c r="B37" s="25" t="str">
        <x:v>0.7</x:v>
      </x:c>
      <x:c r="C37" s="19" t="str">
        <x:v>1</x:v>
      </x:c>
      <x:c r="D37" s="19" t="str">
        <x:v>3100704601</x:v>
      </x:c>
      <x:c r="E37" s="19" t="str">
        <x:v>3541</x:v>
      </x:c>
      <x:c r="F37" s="19" t="str">
        <x:v>1</x:v>
      </x:c>
      <x:c r="G37" s="19" t="str">
        <x:v>5</x:v>
      </x:c>
      <x:c r="H37" s="19" t="str">
        <x:v>87</x:v>
      </x:c>
      <x:c r="I37" s="19" t="str">
        <x:v>32</x:v>
      </x:c>
      <x:c r="J37" s="31" t="str">
        <x:v>0.1330681000254117</x:v>
      </x:c>
      <x:c r="K37" s="13" t="str">
        <x:v>True</x:v>
      </x:c>
      <x:c r="L37" s="19" t="str">
        <x:v>28</x:v>
      </x:c>
      <x:c r="M37" s="19" t="str">
        <x:v>28</x:v>
      </x:c>
      <x:c r="N37" s="31" t="str">
        <x:v>0.08873429999221116</x:v>
      </x:c>
      <x:c r="O37" s="13" t="str">
        <x:v>True</x:v>
      </x:c>
      <x:c r="P37" s="37" t="str">
        <x:v>-4</x:v>
      </x:c>
      <x:c r="Q37" s="43" t="str">
        <x:v>-0.04433380003320053</x:v>
      </x:c>
      <x:c r="R37" s="13" t="str">
        <x:v>zoomed_collision</x:v>
      </x:c>
      <x:c r="S37" s="13" t="str">
        <x:v>zoomed_collision</x:v>
      </x:c>
    </x:row>
    <x:row r="38">
      <x:c r="A38" s="19" t="str">
        <x:v>100</x:v>
      </x:c>
      <x:c r="B38" s="25" t="str">
        <x:v>0.7</x:v>
      </x:c>
      <x:c r="C38" s="19" t="str">
        <x:v>2</x:v>
      </x:c>
      <x:c r="D38" s="19" t="str">
        <x:v>4087082933</x:v>
      </x:c>
      <x:c r="E38" s="19" t="str">
        <x:v>3639</x:v>
      </x:c>
      <x:c r="F38" s="19" t="str">
        <x:v>1</x:v>
      </x:c>
      <x:c r="G38" s="19" t="str">
        <x:v>5</x:v>
      </x:c>
      <x:c r="H38" s="19" t="str">
        <x:v>87</x:v>
      </x:c>
      <x:c r="I38" s="19" t="str">
        <x:v>39</x:v>
      </x:c>
      <x:c r="J38" s="31" t="str">
        <x:v>0.1273560999543406</x:v>
      </x:c>
      <x:c r="K38" s="13" t="str">
        <x:v>True</x:v>
      </x:c>
      <x:c r="L38" s="19" t="str">
        <x:v>34</x:v>
      </x:c>
      <x:c r="M38" s="19" t="str">
        <x:v>34</x:v>
      </x:c>
      <x:c r="N38" s="31" t="str">
        <x:v>0.10418470000149682</x:v>
      </x:c>
      <x:c r="O38" s="13" t="str">
        <x:v>True</x:v>
      </x:c>
      <x:c r="P38" s="37" t="str">
        <x:v>-5</x:v>
      </x:c>
      <x:c r="Q38" s="43" t="str">
        <x:v>-0.023171399952843785</x:v>
      </x:c>
      <x:c r="R38" s="13" t="str">
        <x:v>zoomed_collision</x:v>
      </x:c>
      <x:c r="S38" s="13" t="str">
        <x:v>zoomed_collision</x:v>
      </x:c>
    </x:row>
    <x:row r="39">
      <x:c r="A39" s="19" t="str">
        <x:v>100</x:v>
      </x:c>
      <x:c r="B39" s="25" t="str">
        <x:v>0.7</x:v>
      </x:c>
      <x:c r="C39" s="19" t="str">
        <x:v>3</x:v>
      </x:c>
      <x:c r="D39" s="19" t="str">
        <x:v>3228630760</x:v>
      </x:c>
      <x:c r="E39" s="19" t="str">
        <x:v>3619</x:v>
      </x:c>
      <x:c r="F39" s="19" t="str">
        <x:v>1</x:v>
      </x:c>
      <x:c r="G39" s="19" t="str">
        <x:v>5</x:v>
      </x:c>
      <x:c r="H39" s="19" t="str">
        <x:v>74</x:v>
      </x:c>
      <x:c r="I39" s="19" t="str">
        <x:v>32</x:v>
      </x:c>
      <x:c r="J39" s="31" t="str">
        <x:v>0.13405160000547767</x:v>
      </x:c>
      <x:c r="K39" s="13" t="str">
        <x:v>True</x:v>
      </x:c>
      <x:c r="L39" s="19" t="str">
        <x:v>30</x:v>
      </x:c>
      <x:c r="M39" s="19" t="str">
        <x:v>29</x:v>
      </x:c>
      <x:c r="N39" s="31" t="str">
        <x:v>0.11213090003002435</x:v>
      </x:c>
      <x:c r="O39" s="13" t="str">
        <x:v>True</x:v>
      </x:c>
      <x:c r="P39" s="37" t="str">
        <x:v>-3</x:v>
      </x:c>
      <x:c r="Q39" s="43" t="str">
        <x:v>-0.021920699975453317</x:v>
      </x:c>
      <x:c r="R39" s="13" t="str">
        <x:v>zoomed_collision</x:v>
      </x:c>
      <x:c r="S39" s="13" t="str">
        <x:v>zoomed_collision</x:v>
      </x:c>
    </x:row>
    <x:row r="40">
      <x:c r="A40" s="19" t="str">
        <x:v>100</x:v>
      </x:c>
      <x:c r="B40" s="25" t="str">
        <x:v>0.7</x:v>
      </x:c>
      <x:c r="C40" s="19" t="str">
        <x:v>4</x:v>
      </x:c>
      <x:c r="D40" s="19" t="str">
        <x:v>3534327728</x:v>
      </x:c>
      <x:c r="E40" s="19" t="str">
        <x:v>3773</x:v>
      </x:c>
      <x:c r="F40" s="19" t="str">
        <x:v>1</x:v>
      </x:c>
      <x:c r="G40" s="19" t="str">
        <x:v>5</x:v>
      </x:c>
      <x:c r="H40" s="19" t="str">
        <x:v>72</x:v>
      </x:c>
      <x:c r="I40" s="19" t="str">
        <x:v>42</x:v>
      </x:c>
      <x:c r="J40" s="31" t="str">
        <x:v>0.08315540000330657</x:v>
      </x:c>
      <x:c r="K40" s="13" t="str">
        <x:v>True</x:v>
      </x:c>
      <x:c r="L40" s="19" t="str">
        <x:v>58</x:v>
      </x:c>
      <x:c r="M40" s="19" t="str">
        <x:v>40</x:v>
      </x:c>
      <x:c r="N40" s="31" t="str">
        <x:v>0.08974570001009852</x:v>
      </x:c>
      <x:c r="O40" s="13" t="str">
        <x:v>True</x:v>
      </x:c>
      <x:c r="P40" s="37" t="str">
        <x:v>-2</x:v>
      </x:c>
      <x:c r="Q40" s="43" t="str">
        <x:v>0.006590300006791949</x:v>
      </x:c>
      <x:c r="R40" s="13" t="str">
        <x:v>zoomed_collision</x:v>
      </x:c>
      <x:c r="S40" s="13" t="str">
        <x:v>zoomed_entropy</x:v>
      </x:c>
    </x:row>
    <x:row r="41">
      <x:c r="A41" s="19" t="str">
        <x:v>100</x:v>
      </x:c>
      <x:c r="B41" s="25" t="str">
        <x:v>0.7</x:v>
      </x:c>
      <x:c r="C41" s="19" t="str">
        <x:v>5</x:v>
      </x:c>
      <x:c r="D41" s="19" t="str">
        <x:v>4144416210</x:v>
      </x:c>
      <x:c r="E41" s="19" t="str">
        <x:v>3461</x:v>
      </x:c>
      <x:c r="F41" s="19" t="str">
        <x:v>1</x:v>
      </x:c>
      <x:c r="G41" s="19" t="str">
        <x:v>5</x:v>
      </x:c>
      <x:c r="H41" s="19" t="str">
        <x:v>70</x:v>
      </x:c>
      <x:c r="I41" s="19" t="str">
        <x:v>30</x:v>
      </x:c>
      <x:c r="J41" s="31" t="str">
        <x:v>0.07881570002064109</x:v>
      </x:c>
      <x:c r="K41" s="13" t="str">
        <x:v>True</x:v>
      </x:c>
      <x:c r="L41" s="19" t="str">
        <x:v>41</x:v>
      </x:c>
      <x:c r="M41" s="19" t="str">
        <x:v>31</x:v>
      </x:c>
      <x:c r="N41" s="31" t="str">
        <x:v>0.06644349999260157</x:v>
      </x:c>
      <x:c r="O41" s="13" t="str">
        <x:v>True</x:v>
      </x:c>
      <x:c r="P41" s="37" t="str">
        <x:v>1</x:v>
      </x:c>
      <x:c r="Q41" s="43" t="str">
        <x:v>-0.012372200028039515</x:v>
      </x:c>
      <x:c r="R41" s="13" t="str">
        <x:v>zoomed_entropy</x:v>
      </x:c>
      <x:c r="S41" s="13" t="str">
        <x:v>zoomed_collision</x:v>
      </x:c>
    </x:row>
    <x:row r="42">
      <x:c r="A42" s="19" t="str">
        <x:v>200</x:v>
      </x:c>
      <x:c r="B42" s="25" t="str">
        <x:v>0.1</x:v>
      </x:c>
      <x:c r="C42" s="19" t="str">
        <x:v>1</x:v>
      </x:c>
      <x:c r="D42" s="19" t="str">
        <x:v>227145057</x:v>
      </x:c>
      <x:c r="E42" s="19" t="str">
        <x:v>617</x:v>
      </x:c>
      <x:c r="F42" s="19" t="str">
        <x:v>5</x:v>
      </x:c>
      <x:c r="G42" s="19" t="str">
        <x:v>5</x:v>
      </x:c>
      <x:c r="H42" s="19" t="str">
        <x:v>125</x:v>
      </x:c>
      <x:c r="I42" s="19" t="str">
        <x:v>39</x:v>
      </x:c>
      <x:c r="J42" s="31" t="str">
        <x:v>0.1311236000037752</x:v>
      </x:c>
      <x:c r="K42" s="13" t="str">
        <x:v>True</x:v>
      </x:c>
      <x:c r="L42" s="19" t="str">
        <x:v>110</x:v>
      </x:c>
      <x:c r="M42" s="19" t="str">
        <x:v>40</x:v>
      </x:c>
      <x:c r="N42" s="31" t="str">
        <x:v>0.13067589997081086</x:v>
      </x:c>
      <x:c r="O42" s="13" t="str">
        <x:v>True</x:v>
      </x:c>
      <x:c r="P42" s="37" t="str">
        <x:v>1</x:v>
      </x:c>
      <x:c r="Q42" s="43" t="str">
        <x:v>-0.0004477000329643488</x:v>
      </x:c>
      <x:c r="R42" s="13" t="str">
        <x:v>zoomed_entropy</x:v>
      </x:c>
      <x:c r="S42" s="13" t="str">
        <x:v>zoomed_collision</x:v>
      </x:c>
    </x:row>
    <x:row r="43">
      <x:c r="A43" s="19" t="str">
        <x:v>200</x:v>
      </x:c>
      <x:c r="B43" s="25" t="str">
        <x:v>0.1</x:v>
      </x:c>
      <x:c r="C43" s="19" t="str">
        <x:v>2</x:v>
      </x:c>
      <x:c r="D43" s="19" t="str">
        <x:v>3127353476</x:v>
      </x:c>
      <x:c r="E43" s="19" t="str">
        <x:v>611</x:v>
      </x:c>
      <x:c r="F43" s="19" t="str">
        <x:v>4</x:v>
      </x:c>
      <x:c r="G43" s="19" t="str">
        <x:v>5</x:v>
      </x:c>
      <x:c r="H43" s="19" t="str">
        <x:v>136</x:v>
      </x:c>
      <x:c r="I43" s="19" t="str">
        <x:v>36</x:v>
      </x:c>
      <x:c r="J43" s="31" t="str">
        <x:v>0.14609009999549016</x:v>
      </x:c>
      <x:c r="K43" s="13" t="str">
        <x:v>True</x:v>
      </x:c>
      <x:c r="L43" s="19" t="str">
        <x:v>121</x:v>
      </x:c>
      <x:c r="M43" s="19" t="str">
        <x:v>36</x:v>
      </x:c>
      <x:c r="N43" s="31" t="str">
        <x:v>0.14479240000946447</x:v>
      </x:c>
      <x:c r="O43" s="13" t="str">
        <x:v>True</x:v>
      </x:c>
      <x:c r="P43" s="37" t="str">
        <x:v>0</x:v>
      </x:c>
      <x:c r="Q43" s="43" t="str">
        <x:v>-0.001297699986025691</x:v>
      </x:c>
      <x:c r="R43" s="13" t="str">
        <x:v>tie</x:v>
      </x:c>
      <x:c r="S43" s="13" t="str">
        <x:v>zoomed_collision</x:v>
      </x:c>
    </x:row>
    <x:row r="44">
      <x:c r="A44" s="19" t="str">
        <x:v>200</x:v>
      </x:c>
      <x:c r="B44" s="25" t="str">
        <x:v>0.1</x:v>
      </x:c>
      <x:c r="C44" s="19" t="str">
        <x:v>3</x:v>
      </x:c>
      <x:c r="D44" s="19" t="str">
        <x:v>1900714091</x:v>
      </x:c>
      <x:c r="E44" s="19" t="str">
        <x:v>595</x:v>
      </x:c>
      <x:c r="F44" s="19" t="str">
        <x:v>10</x:v>
      </x:c>
      <x:c r="G44" s="19" t="str">
        <x:v>5</x:v>
      </x:c>
      <x:c r="H44" s="19" t="str">
        <x:v>143</x:v>
      </x:c>
      <x:c r="I44" s="19" t="str">
        <x:v>48</x:v>
      </x:c>
      <x:c r="J44" s="31" t="str">
        <x:v>0.15327530005015433</x:v>
      </x:c>
      <x:c r="K44" s="13" t="str">
        <x:v>True</x:v>
      </x:c>
      <x:c r="L44" s="19" t="str">
        <x:v>118</x:v>
      </x:c>
      <x:c r="M44" s="19" t="str">
        <x:v>47</x:v>
      </x:c>
      <x:c r="N44" s="31" t="str">
        <x:v>0.13493149995338172</x:v>
      </x:c>
      <x:c r="O44" s="13" t="str">
        <x:v>True</x:v>
      </x:c>
      <x:c r="P44" s="37" t="str">
        <x:v>-1</x:v>
      </x:c>
      <x:c r="Q44" s="43" t="str">
        <x:v>-0.01834380009677261</x:v>
      </x:c>
      <x:c r="R44" s="13" t="str">
        <x:v>zoomed_collision</x:v>
      </x:c>
      <x:c r="S44" s="13" t="str">
        <x:v>zoomed_collision</x:v>
      </x:c>
    </x:row>
    <x:row r="45">
      <x:c r="A45" s="19" t="str">
        <x:v>200</x:v>
      </x:c>
      <x:c r="B45" s="25" t="str">
        <x:v>0.1</x:v>
      </x:c>
      <x:c r="C45" s="19" t="str">
        <x:v>4</x:v>
      </x:c>
      <x:c r="D45" s="19" t="str">
        <x:v>2533636639</x:v>
      </x:c>
      <x:c r="E45" s="19" t="str">
        <x:v>567</x:v>
      </x:c>
      <x:c r="F45" s="19" t="str">
        <x:v>2</x:v>
      </x:c>
      <x:c r="G45" s="19" t="str">
        <x:v>5</x:v>
      </x:c>
      <x:c r="H45" s="19" t="str">
        <x:v>114</x:v>
      </x:c>
      <x:c r="I45" s="19" t="str">
        <x:v>28</x:v>
      </x:c>
      <x:c r="J45" s="31" t="str">
        <x:v>0.07633559999521822</x:v>
      </x:c>
      <x:c r="K45" s="13" t="str">
        <x:v>True</x:v>
      </x:c>
      <x:c r="L45" s="19" t="str">
        <x:v>105</x:v>
      </x:c>
      <x:c r="M45" s="19" t="str">
        <x:v>27</x:v>
      </x:c>
      <x:c r="N45" s="31" t="str">
        <x:v>0.09132800000952557</x:v>
      </x:c>
      <x:c r="O45" s="13" t="str">
        <x:v>True</x:v>
      </x:c>
      <x:c r="P45" s="37" t="str">
        <x:v>-1</x:v>
      </x:c>
      <x:c r="Q45" s="43" t="str">
        <x:v>0.01499240001430735</x:v>
      </x:c>
      <x:c r="R45" s="13" t="str">
        <x:v>zoomed_collision</x:v>
      </x:c>
      <x:c r="S45" s="13" t="str">
        <x:v>zoomed_entropy</x:v>
      </x:c>
    </x:row>
    <x:row r="46">
      <x:c r="A46" s="19" t="str">
        <x:v>200</x:v>
      </x:c>
      <x:c r="B46" s="25" t="str">
        <x:v>0.1</x:v>
      </x:c>
      <x:c r="C46" s="19" t="str">
        <x:v>5</x:v>
      </x:c>
      <x:c r="D46" s="19" t="str">
        <x:v>2362548751</x:v>
      </x:c>
      <x:c r="E46" s="19" t="str">
        <x:v>556</x:v>
      </x:c>
      <x:c r="F46" s="19" t="str">
        <x:v>3</x:v>
      </x:c>
      <x:c r="G46" s="19" t="str">
        <x:v>5</x:v>
      </x:c>
      <x:c r="H46" s="19" t="str">
        <x:v>125</x:v>
      </x:c>
      <x:c r="I46" s="19" t="str">
        <x:v>43</x:v>
      </x:c>
      <x:c r="J46" s="31" t="str">
        <x:v>0.1553511000238359</x:v>
      </x:c>
      <x:c r="K46" s="13" t="str">
        <x:v>True</x:v>
      </x:c>
      <x:c r="L46" s="19" t="str">
        <x:v>116</x:v>
      </x:c>
      <x:c r="M46" s="19" t="str">
        <x:v>44</x:v>
      </x:c>
      <x:c r="N46" s="31" t="str">
        <x:v>0.11757489998126402</x:v>
      </x:c>
      <x:c r="O46" s="13" t="str">
        <x:v>True</x:v>
      </x:c>
      <x:c r="P46" s="37" t="str">
        <x:v>1</x:v>
      </x:c>
      <x:c r="Q46" s="43" t="str">
        <x:v>-0.03777620004257187</x:v>
      </x:c>
      <x:c r="R46" s="13" t="str">
        <x:v>zoomed_entropy</x:v>
      </x:c>
      <x:c r="S46" s="13" t="str">
        <x:v>zoomed_collision</x:v>
      </x:c>
    </x:row>
    <x:row r="47">
      <x:c r="A47" s="19" t="str">
        <x:v>200</x:v>
      </x:c>
      <x:c r="B47" s="25" t="str">
        <x:v>0.3</x:v>
      </x:c>
      <x:c r="C47" s="19" t="str">
        <x:v>1</x:v>
      </x:c>
      <x:c r="D47" s="19" t="str">
        <x:v>3811096897</x:v>
      </x:c>
      <x:c r="E47" s="19" t="str">
        <x:v>4229</x:v>
      </x:c>
      <x:c r="F47" s="19" t="str">
        <x:v>1</x:v>
      </x:c>
      <x:c r="G47" s="19" t="str">
        <x:v>5</x:v>
      </x:c>
      <x:c r="H47" s="19" t="str">
        <x:v>160</x:v>
      </x:c>
      <x:c r="I47" s="19" t="str">
        <x:v>34</x:v>
      </x:c>
      <x:c r="J47" s="31" t="str">
        <x:v>0.12863729998935014</x:v>
      </x:c>
      <x:c r="K47" s="13" t="str">
        <x:v>True</x:v>
      </x:c>
      <x:c r="L47" s="19" t="str">
        <x:v>103</x:v>
      </x:c>
      <x:c r="M47" s="19" t="str">
        <x:v>34</x:v>
      </x:c>
      <x:c r="N47" s="31" t="str">
        <x:v>0.1208799000014551</x:v>
      </x:c>
      <x:c r="O47" s="13" t="str">
        <x:v>True</x:v>
      </x:c>
      <x:c r="P47" s="37" t="str">
        <x:v>0</x:v>
      </x:c>
      <x:c r="Q47" s="43" t="str">
        <x:v>-0.007757399987895042</x:v>
      </x:c>
      <x:c r="R47" s="13" t="str">
        <x:v>tie</x:v>
      </x:c>
      <x:c r="S47" s="13" t="str">
        <x:v>zoomed_collision</x:v>
      </x:c>
    </x:row>
    <x:row r="48">
      <x:c r="A48" s="19" t="str">
        <x:v>200</x:v>
      </x:c>
      <x:c r="B48" s="25" t="str">
        <x:v>0.3</x:v>
      </x:c>
      <x:c r="C48" s="19" t="str">
        <x:v>2</x:v>
      </x:c>
      <x:c r="D48" s="19" t="str">
        <x:v>487886659</x:v>
      </x:c>
      <x:c r="E48" s="19" t="str">
        <x:v>4398</x:v>
      </x:c>
      <x:c r="F48" s="19" t="str">
        <x:v>1</x:v>
      </x:c>
      <x:c r="G48" s="19" t="str">
        <x:v>5</x:v>
      </x:c>
      <x:c r="H48" s="19" t="str">
        <x:v>142</x:v>
      </x:c>
      <x:c r="I48" s="19" t="str">
        <x:v>31</x:v>
      </x:c>
      <x:c r="J48" s="31" t="str">
        <x:v>0.11297130002640188</x:v>
      </x:c>
      <x:c r="K48" s="13" t="str">
        <x:v>True</x:v>
      </x:c>
      <x:c r="L48" s="19" t="str">
        <x:v>98</x:v>
      </x:c>
      <x:c r="M48" s="19" t="str">
        <x:v>31</x:v>
      </x:c>
      <x:c r="N48" s="31" t="str">
        <x:v>0.09403969999402761</x:v>
      </x:c>
      <x:c r="O48" s="13" t="str">
        <x:v>True</x:v>
      </x:c>
      <x:c r="P48" s="37" t="str">
        <x:v>0</x:v>
      </x:c>
      <x:c r="Q48" s="43" t="str">
        <x:v>-0.018931600032374263</x:v>
      </x:c>
      <x:c r="R48" s="13" t="str">
        <x:v>tie</x:v>
      </x:c>
      <x:c r="S48" s="13" t="str">
        <x:v>zoomed_collision</x:v>
      </x:c>
    </x:row>
    <x:row r="49">
      <x:c r="A49" s="19" t="str">
        <x:v>200</x:v>
      </x:c>
      <x:c r="B49" s="25" t="str">
        <x:v>0.3</x:v>
      </x:c>
      <x:c r="C49" s="19" t="str">
        <x:v>3</x:v>
      </x:c>
      <x:c r="D49" s="19" t="str">
        <x:v>2037928137</x:v>
      </x:c>
      <x:c r="E49" s="19" t="str">
        <x:v>4156</x:v>
      </x:c>
      <x:c r="F49" s="19" t="str">
        <x:v>1</x:v>
      </x:c>
      <x:c r="G49" s="19" t="str">
        <x:v>5</x:v>
      </x:c>
      <x:c r="H49" s="19" t="str">
        <x:v>157</x:v>
      </x:c>
      <x:c r="I49" s="19" t="str">
        <x:v>33</x:v>
      </x:c>
      <x:c r="J49" s="31" t="str">
        <x:v>0.17394800001056865</x:v>
      </x:c>
      <x:c r="K49" s="13" t="str">
        <x:v>True</x:v>
      </x:c>
      <x:c r="L49" s="19" t="str">
        <x:v>90</x:v>
      </x:c>
      <x:c r="M49" s="19" t="str">
        <x:v>31</x:v>
      </x:c>
      <x:c r="N49" s="31" t="str">
        <x:v>0.13482589996419847</x:v>
      </x:c>
      <x:c r="O49" s="13" t="str">
        <x:v>True</x:v>
      </x:c>
      <x:c r="P49" s="37" t="str">
        <x:v>-2</x:v>
      </x:c>
      <x:c r="Q49" s="43" t="str">
        <x:v>-0.03912210004637018</x:v>
      </x:c>
      <x:c r="R49" s="13" t="str">
        <x:v>zoomed_collision</x:v>
      </x:c>
      <x:c r="S49" s="13" t="str">
        <x:v>zoomed_collision</x:v>
      </x:c>
    </x:row>
    <x:row r="50">
      <x:c r="A50" s="19" t="str">
        <x:v>200</x:v>
      </x:c>
      <x:c r="B50" s="25" t="str">
        <x:v>0.3</x:v>
      </x:c>
      <x:c r="C50" s="19" t="str">
        <x:v>4</x:v>
      </x:c>
      <x:c r="D50" s="19" t="str">
        <x:v>2403920233</x:v>
      </x:c>
      <x:c r="E50" s="19" t="str">
        <x:v>4390</x:v>
      </x:c>
      <x:c r="F50" s="19" t="str">
        <x:v>1</x:v>
      </x:c>
      <x:c r="G50" s="19" t="str">
        <x:v>5</x:v>
      </x:c>
      <x:c r="H50" s="19" t="str">
        <x:v>144</x:v>
      </x:c>
      <x:c r="I50" s="19" t="str">
        <x:v>37</x:v>
      </x:c>
      <x:c r="J50" s="31" t="str">
        <x:v>0.1614055000245571</x:v>
      </x:c>
      <x:c r="K50" s="13" t="str">
        <x:v>True</x:v>
      </x:c>
      <x:c r="L50" s="19" t="str">
        <x:v>103</x:v>
      </x:c>
      <x:c r="M50" s="19" t="str">
        <x:v>35</x:v>
      </x:c>
      <x:c r="N50" s="31" t="str">
        <x:v>0.12763489998178557</x:v>
      </x:c>
      <x:c r="O50" s="13" t="str">
        <x:v>True</x:v>
      </x:c>
      <x:c r="P50" s="37" t="str">
        <x:v>-2</x:v>
      </x:c>
      <x:c r="Q50" s="43" t="str">
        <x:v>-0.03377060004277155</x:v>
      </x:c>
      <x:c r="R50" s="13" t="str">
        <x:v>zoomed_collision</x:v>
      </x:c>
      <x:c r="S50" s="13" t="str">
        <x:v>zoomed_collision</x:v>
      </x:c>
    </x:row>
    <x:row r="51">
      <x:c r="A51" s="19" t="str">
        <x:v>200</x:v>
      </x:c>
      <x:c r="B51" s="25" t="str">
        <x:v>0.3</x:v>
      </x:c>
      <x:c r="C51" s="19" t="str">
        <x:v>5</x:v>
      </x:c>
      <x:c r="D51" s="19" t="str">
        <x:v>2651414676</x:v>
      </x:c>
      <x:c r="E51" s="19" t="str">
        <x:v>4556</x:v>
      </x:c>
      <x:c r="F51" s="19" t="str">
        <x:v>1</x:v>
      </x:c>
      <x:c r="G51" s="19" t="str">
        <x:v>5</x:v>
      </x:c>
      <x:c r="H51" s="19" t="str">
        <x:v>132</x:v>
      </x:c>
      <x:c r="I51" s="19" t="str">
        <x:v>34</x:v>
      </x:c>
      <x:c r="J51" s="31" t="str">
        <x:v>0.19195490004494786</x:v>
      </x:c>
      <x:c r="K51" s="13" t="str">
        <x:v>True</x:v>
      </x:c>
      <x:c r="L51" s="19" t="str">
        <x:v>79</x:v>
      </x:c>
      <x:c r="M51" s="19" t="str">
        <x:v>31</x:v>
      </x:c>
      <x:c r="N51" s="31" t="str">
        <x:v>0.10713200003374368</x:v>
      </x:c>
      <x:c r="O51" s="13" t="str">
        <x:v>True</x:v>
      </x:c>
      <x:c r="P51" s="37" t="str">
        <x:v>-3</x:v>
      </x:c>
      <x:c r="Q51" s="43" t="str">
        <x:v>-0.08482290001120418</x:v>
      </x:c>
      <x:c r="R51" s="13" t="str">
        <x:v>zoomed_collision</x:v>
      </x:c>
      <x:c r="S51" s="13" t="str">
        <x:v>zoomed_collision</x:v>
      </x:c>
    </x:row>
    <x:row r="52">
      <x:c r="A52" s="19" t="str">
        <x:v>200</x:v>
      </x:c>
      <x:c r="B52" s="25" t="str">
        <x:v>0.5</x:v>
      </x:c>
      <x:c r="C52" s="19" t="str">
        <x:v>1</x:v>
      </x:c>
      <x:c r="D52" s="19" t="str">
        <x:v>3827950356</x:v>
      </x:c>
      <x:c r="E52" s="19" t="str">
        <x:v>9580</x:v>
      </x:c>
      <x:c r="F52" s="19" t="str">
        <x:v>1</x:v>
      </x:c>
      <x:c r="G52" s="19" t="str">
        <x:v>5</x:v>
      </x:c>
      <x:c r="H52" s="19" t="str">
        <x:v>156</x:v>
      </x:c>
      <x:c r="I52" s="19" t="str">
        <x:v>52</x:v>
      </x:c>
      <x:c r="J52" s="31" t="str">
        <x:v>0.3009414000553079</x:v>
      </x:c>
      <x:c r="K52" s="13" t="str">
        <x:v>True</x:v>
      </x:c>
      <x:c r="L52" s="19" t="str">
        <x:v>92</x:v>
      </x:c>
      <x:c r="M52" s="19" t="str">
        <x:v>50</x:v>
      </x:c>
      <x:c r="N52" s="31" t="str">
        <x:v>0.25100560003193095</x:v>
      </x:c>
      <x:c r="O52" s="13" t="str">
        <x:v>True</x:v>
      </x:c>
      <x:c r="P52" s="37" t="str">
        <x:v>-2</x:v>
      </x:c>
      <x:c r="Q52" s="43" t="str">
        <x:v>-0.04993580002337694</x:v>
      </x:c>
      <x:c r="R52" s="13" t="str">
        <x:v>zoomed_collision</x:v>
      </x:c>
      <x:c r="S52" s="13" t="str">
        <x:v>zoomed_collision</x:v>
      </x:c>
    </x:row>
    <x:row r="53">
      <x:c r="A53" s="19" t="str">
        <x:v>200</x:v>
      </x:c>
      <x:c r="B53" s="25" t="str">
        <x:v>0.5</x:v>
      </x:c>
      <x:c r="C53" s="19" t="str">
        <x:v>2</x:v>
      </x:c>
      <x:c r="D53" s="19" t="str">
        <x:v>3772812396</x:v>
      </x:c>
      <x:c r="E53" s="19" t="str">
        <x:v>10109</x:v>
      </x:c>
      <x:c r="F53" s="19" t="str">
        <x:v>1</x:v>
      </x:c>
      <x:c r="G53" s="19" t="str">
        <x:v>5</x:v>
      </x:c>
      <x:c r="H53" s="19" t="str">
        <x:v>173</x:v>
      </x:c>
      <x:c r="I53" s="19" t="str">
        <x:v>45</x:v>
      </x:c>
      <x:c r="J53" s="31" t="str">
        <x:v>0.4978380000102334</x:v>
      </x:c>
      <x:c r="K53" s="13" t="str">
        <x:v>True</x:v>
      </x:c>
      <x:c r="L53" s="19" t="str">
        <x:v>82</x:v>
      </x:c>
      <x:c r="M53" s="19" t="str">
        <x:v>42</x:v>
      </x:c>
      <x:c r="N53" s="31" t="str">
        <x:v>0.44123160000890493</x:v>
      </x:c>
      <x:c r="O53" s="13" t="str">
        <x:v>True</x:v>
      </x:c>
      <x:c r="P53" s="37" t="str">
        <x:v>-3</x:v>
      </x:c>
      <x:c r="Q53" s="43" t="str">
        <x:v>-0.05660640000132844</x:v>
      </x:c>
      <x:c r="R53" s="13" t="str">
        <x:v>zoomed_collision</x:v>
      </x:c>
      <x:c r="S53" s="13" t="str">
        <x:v>zoomed_collision</x:v>
      </x:c>
    </x:row>
    <x:row r="54">
      <x:c r="A54" s="19" t="str">
        <x:v>200</x:v>
      </x:c>
      <x:c r="B54" s="25" t="str">
        <x:v>0.5</x:v>
      </x:c>
      <x:c r="C54" s="19" t="str">
        <x:v>3</x:v>
      </x:c>
      <x:c r="D54" s="19" t="str">
        <x:v>1812624208</x:v>
      </x:c>
      <x:c r="E54" s="19" t="str">
        <x:v>10086</x:v>
      </x:c>
      <x:c r="F54" s="19" t="str">
        <x:v>1</x:v>
      </x:c>
      <x:c r="G54" s="19" t="str">
        <x:v>5</x:v>
      </x:c>
      <x:c r="H54" s="19" t="str">
        <x:v>166</x:v>
      </x:c>
      <x:c r="I54" s="19" t="str">
        <x:v>48</x:v>
      </x:c>
      <x:c r="J54" s="31" t="str">
        <x:v>0.5100878999801353</x:v>
      </x:c>
      <x:c r="K54" s="13" t="str">
        <x:v>True</x:v>
      </x:c>
      <x:c r="L54" s="19" t="str">
        <x:v>87</x:v>
      </x:c>
      <x:c r="M54" s="19" t="str">
        <x:v>49</x:v>
      </x:c>
      <x:c r="N54" s="31" t="str">
        <x:v>0.4129110000212677</x:v>
      </x:c>
      <x:c r="O54" s="13" t="str">
        <x:v>True</x:v>
      </x:c>
      <x:c r="P54" s="37" t="str">
        <x:v>1</x:v>
      </x:c>
      <x:c r="Q54" s="43" t="str">
        <x:v>-0.09717689995886758</x:v>
      </x:c>
      <x:c r="R54" s="13" t="str">
        <x:v>zoomed_entropy</x:v>
      </x:c>
      <x:c r="S54" s="13" t="str">
        <x:v>zoomed_collision</x:v>
      </x:c>
    </x:row>
    <x:row r="55">
      <x:c r="A55" s="19" t="str">
        <x:v>200</x:v>
      </x:c>
      <x:c r="B55" s="25" t="str">
        <x:v>0.5</x:v>
      </x:c>
      <x:c r="C55" s="19" t="str">
        <x:v>4</x:v>
      </x:c>
      <x:c r="D55" s="19" t="str">
        <x:v>927244101</x:v>
      </x:c>
      <x:c r="E55" s="19" t="str">
        <x:v>9128</x:v>
      </x:c>
      <x:c r="F55" s="19" t="str">
        <x:v>1</x:v>
      </x:c>
      <x:c r="G55" s="19" t="str">
        <x:v>5</x:v>
      </x:c>
      <x:c r="H55" s="19" t="str">
        <x:v>173</x:v>
      </x:c>
      <x:c r="I55" s="19" t="str">
        <x:v>51</x:v>
      </x:c>
      <x:c r="J55" s="31" t="str">
        <x:v>0.47318560001440346</x:v>
      </x:c>
      <x:c r="K55" s="13" t="str">
        <x:v>True</x:v>
      </x:c>
      <x:c r="L55" s="19" t="str">
        <x:v>98</x:v>
      </x:c>
      <x:c r="M55" s="19" t="str">
        <x:v>46</x:v>
      </x:c>
      <x:c r="N55" s="31" t="str">
        <x:v>0.3473115999950096</x:v>
      </x:c>
      <x:c r="O55" s="13" t="str">
        <x:v>True</x:v>
      </x:c>
      <x:c r="P55" s="37" t="str">
        <x:v>-5</x:v>
      </x:c>
      <x:c r="Q55" s="43" t="str">
        <x:v>-0.12587400001939386</x:v>
      </x:c>
      <x:c r="R55" s="13" t="str">
        <x:v>zoomed_collision</x:v>
      </x:c>
      <x:c r="S55" s="13" t="str">
        <x:v>zoomed_collision</x:v>
      </x:c>
    </x:row>
    <x:row r="56">
      <x:c r="A56" s="19" t="str">
        <x:v>200</x:v>
      </x:c>
      <x:c r="B56" s="25" t="str">
        <x:v>0.5</x:v>
      </x:c>
      <x:c r="C56" s="19" t="str">
        <x:v>5</x:v>
      </x:c>
      <x:c r="D56" s="19" t="str">
        <x:v>1805054636</x:v>
      </x:c>
      <x:c r="E56" s="19" t="str">
        <x:v>9321</x:v>
      </x:c>
      <x:c r="F56" s="19" t="str">
        <x:v>1</x:v>
      </x:c>
      <x:c r="G56" s="19" t="str">
        <x:v>5</x:v>
      </x:c>
      <x:c r="H56" s="19" t="str">
        <x:v>160</x:v>
      </x:c>
      <x:c r="I56" s="19" t="str">
        <x:v>47</x:v>
      </x:c>
      <x:c r="J56" s="31" t="str">
        <x:v>0.26104379998287186</x:v>
      </x:c>
      <x:c r="K56" s="13" t="str">
        <x:v>True</x:v>
      </x:c>
      <x:c r="L56" s="19" t="str">
        <x:v>100</x:v>
      </x:c>
      <x:c r="M56" s="19" t="str">
        <x:v>48</x:v>
      </x:c>
      <x:c r="N56" s="31" t="str">
        <x:v>0.2220312999561429</x:v>
      </x:c>
      <x:c r="O56" s="13" t="str">
        <x:v>True</x:v>
      </x:c>
      <x:c r="P56" s="37" t="str">
        <x:v>1</x:v>
      </x:c>
      <x:c r="Q56" s="43" t="str">
        <x:v>-0.03901250002672896</x:v>
      </x:c>
      <x:c r="R56" s="13" t="str">
        <x:v>zoomed_entropy</x:v>
      </x:c>
      <x:c r="S56" s="13" t="str">
        <x:v>zoomed_collision</x:v>
      </x:c>
    </x:row>
    <x:row r="57">
      <x:c r="A57" s="19" t="str">
        <x:v>200</x:v>
      </x:c>
      <x:c r="B57" s="25" t="str">
        <x:v>0.7</x:v>
      </x:c>
      <x:c r="C57" s="19" t="str">
        <x:v>1</x:v>
      </x:c>
      <x:c r="D57" s="19" t="str">
        <x:v>3502689619</x:v>
      </x:c>
      <x:c r="E57" s="19" t="str">
        <x:v>14886</x:v>
      </x:c>
      <x:c r="F57" s="19" t="str">
        <x:v>1</x:v>
      </x:c>
      <x:c r="G57" s="19" t="str">
        <x:v>5</x:v>
      </x:c>
      <x:c r="H57" s="19" t="str">
        <x:v>189</x:v>
      </x:c>
      <x:c r="I57" s="19" t="str">
        <x:v>61</x:v>
      </x:c>
      <x:c r="J57" s="31" t="str">
        <x:v>0.5628223000094295</x:v>
      </x:c>
      <x:c r="K57" s="13" t="str">
        <x:v>True</x:v>
      </x:c>
      <x:c r="L57" s="19" t="str">
        <x:v>120</x:v>
      </x:c>
      <x:c r="M57" s="19" t="str">
        <x:v>61</x:v>
      </x:c>
      <x:c r="N57" s="31" t="str">
        <x:v>0.552317599998787</x:v>
      </x:c>
      <x:c r="O57" s="13" t="str">
        <x:v>True</x:v>
      </x:c>
      <x:c r="P57" s="37" t="str">
        <x:v>0</x:v>
      </x:c>
      <x:c r="Q57" s="43" t="str">
        <x:v>-0.01050470001064241</x:v>
      </x:c>
      <x:c r="R57" s="13" t="str">
        <x:v>tie</x:v>
      </x:c>
      <x:c r="S57" s="13" t="str">
        <x:v>zoomed_collision</x:v>
      </x:c>
    </x:row>
    <x:row r="58">
      <x:c r="A58" s="19" t="str">
        <x:v>200</x:v>
      </x:c>
      <x:c r="B58" s="25" t="str">
        <x:v>0.7</x:v>
      </x:c>
      <x:c r="C58" s="19" t="str">
        <x:v>2</x:v>
      </x:c>
      <x:c r="D58" s="19" t="str">
        <x:v>1261817425</x:v>
      </x:c>
      <x:c r="E58" s="19" t="str">
        <x:v>14280</x:v>
      </x:c>
      <x:c r="F58" s="19" t="str">
        <x:v>1</x:v>
      </x:c>
      <x:c r="G58" s="19" t="str">
        <x:v>5</x:v>
      </x:c>
      <x:c r="H58" s="19" t="str">
        <x:v>158</x:v>
      </x:c>
      <x:c r="I58" s="19" t="str">
        <x:v>66</x:v>
      </x:c>
      <x:c r="J58" s="31" t="str">
        <x:v>0.3259362999815494</x:v>
      </x:c>
      <x:c r="K58" s="13" t="str">
        <x:v>True</x:v>
      </x:c>
      <x:c r="L58" s="19" t="str">
        <x:v>120</x:v>
      </x:c>
      <x:c r="M58" s="19" t="str">
        <x:v>63</x:v>
      </x:c>
      <x:c r="N58" s="31" t="str">
        <x:v>0.3045780000393279</x:v>
      </x:c>
      <x:c r="O58" s="13" t="str">
        <x:v>True</x:v>
      </x:c>
      <x:c r="P58" s="37" t="str">
        <x:v>-3</x:v>
      </x:c>
      <x:c r="Q58" s="43" t="str">
        <x:v>-0.021358299942221493</x:v>
      </x:c>
      <x:c r="R58" s="13" t="str">
        <x:v>zoomed_collision</x:v>
      </x:c>
      <x:c r="S58" s="13" t="str">
        <x:v>zoomed_collision</x:v>
      </x:c>
    </x:row>
    <x:row r="59">
      <x:c r="A59" s="19" t="str">
        <x:v>200</x:v>
      </x:c>
      <x:c r="B59" s="25" t="str">
        <x:v>0.7</x:v>
      </x:c>
      <x:c r="C59" s="19" t="str">
        <x:v>3</x:v>
      </x:c>
      <x:c r="D59" s="19" t="str">
        <x:v>3849921911</x:v>
      </x:c>
      <x:c r="E59" s="19" t="str">
        <x:v>14565</x:v>
      </x:c>
      <x:c r="F59" s="19" t="str">
        <x:v>1</x:v>
      </x:c>
      <x:c r="G59" s="19" t="str">
        <x:v>5</x:v>
      </x:c>
      <x:c r="H59" s="19" t="str">
        <x:v>183</x:v>
      </x:c>
      <x:c r="I59" s="19" t="str">
        <x:v>61</x:v>
      </x:c>
      <x:c r="J59" s="31" t="str">
        <x:v>1.1246183999464847</x:v>
      </x:c>
      <x:c r="K59" s="13" t="str">
        <x:v>True</x:v>
      </x:c>
      <x:c r="L59" s="19" t="str">
        <x:v>58</x:v>
      </x:c>
      <x:c r="M59" s="19" t="str">
        <x:v>56</x:v>
      </x:c>
      <x:c r="N59" s="31" t="str">
        <x:v>0.8520419999840669</x:v>
      </x:c>
      <x:c r="O59" s="13" t="str">
        <x:v>True</x:v>
      </x:c>
      <x:c r="P59" s="37" t="str">
        <x:v>-5</x:v>
      </x:c>
      <x:c r="Q59" s="43" t="str">
        <x:v>-0.2725763999624178</x:v>
      </x:c>
      <x:c r="R59" s="13" t="str">
        <x:v>zoomed_collision</x:v>
      </x:c>
      <x:c r="S59" s="13" t="str">
        <x:v>zoomed_collision</x:v>
      </x:c>
    </x:row>
    <x:row r="60">
      <x:c r="A60" s="19" t="str">
        <x:v>200</x:v>
      </x:c>
      <x:c r="B60" s="25" t="str">
        <x:v>0.7</x:v>
      </x:c>
      <x:c r="C60" s="19" t="str">
        <x:v>4</x:v>
      </x:c>
      <x:c r="D60" s="19" t="str">
        <x:v>4270449042</x:v>
      </x:c>
      <x:c r="E60" s="19" t="str">
        <x:v>13842</x:v>
      </x:c>
      <x:c r="F60" s="19" t="str">
        <x:v>1</x:v>
      </x:c>
      <x:c r="G60" s="19" t="str">
        <x:v>5</x:v>
      </x:c>
      <x:c r="H60" s="19" t="str">
        <x:v>158</x:v>
      </x:c>
      <x:c r="I60" s="19" t="str">
        <x:v>58</x:v>
      </x:c>
      <x:c r="J60" s="31" t="str">
        <x:v>1.2159156000125222</x:v>
      </x:c>
      <x:c r="K60" s="13" t="str">
        <x:v>True</x:v>
      </x:c>
      <x:c r="L60" s="19" t="str">
        <x:v>48</x:v>
      </x:c>
      <x:c r="M60" s="19" t="str">
        <x:v>48</x:v>
      </x:c>
      <x:c r="N60" s="31" t="str">
        <x:v>0.8518272000364959</x:v>
      </x:c>
      <x:c r="O60" s="13" t="str">
        <x:v>True</x:v>
      </x:c>
      <x:c r="P60" s="37" t="str">
        <x:v>-10</x:v>
      </x:c>
      <x:c r="Q60" s="43" t="str">
        <x:v>-0.36408839997602627</x:v>
      </x:c>
      <x:c r="R60" s="13" t="str">
        <x:v>zoomed_collision</x:v>
      </x:c>
      <x:c r="S60" s="13" t="str">
        <x:v>zoomed_collision</x:v>
      </x:c>
    </x:row>
    <x:row r="61">
      <x:c r="A61" s="19" t="str">
        <x:v>200</x:v>
      </x:c>
      <x:c r="B61" s="25" t="str">
        <x:v>0.7</x:v>
      </x:c>
      <x:c r="C61" s="19" t="str">
        <x:v>5</x:v>
      </x:c>
      <x:c r="D61" s="19" t="str">
        <x:v>1569685115</x:v>
      </x:c>
      <x:c r="E61" s="19" t="str">
        <x:v>14243</x:v>
      </x:c>
      <x:c r="F61" s="19" t="str">
        <x:v>1</x:v>
      </x:c>
      <x:c r="G61" s="19" t="str">
        <x:v>5</x:v>
      </x:c>
      <x:c r="H61" s="19" t="str">
        <x:v>186</x:v>
      </x:c>
      <x:c r="I61" s="19" t="str">
        <x:v>60</x:v>
      </x:c>
      <x:c r="J61" s="31" t="str">
        <x:v>0.4715610999846831</x:v>
      </x:c>
      <x:c r="K61" s="13" t="str">
        <x:v>True</x:v>
      </x:c>
      <x:c r="L61" s="19" t="str">
        <x:v>117</x:v>
      </x:c>
      <x:c r="M61" s="19" t="str">
        <x:v>60</x:v>
      </x:c>
      <x:c r="N61" s="31" t="str">
        <x:v>0.5077778999693692</x:v>
      </x:c>
      <x:c r="O61" s="13" t="str">
        <x:v>True</x:v>
      </x:c>
      <x:c r="P61" s="37" t="str">
        <x:v>0</x:v>
      </x:c>
      <x:c r="Q61" s="43" t="str">
        <x:v>0.03621679998468608</x:v>
      </x:c>
      <x:c r="R61" s="13" t="str">
        <x:v>tie</x:v>
      </x:c>
      <x:c r="S61" s="13" t="str">
        <x:v>zoomed_entropy</x:v>
      </x:c>
    </x:row>
    <x:row r="62">
      <x:c r="A62" s="19" t="str">
        <x:v>500</x:v>
      </x:c>
      <x:c r="B62" s="25" t="str">
        <x:v>0.1</x:v>
      </x:c>
      <x:c r="C62" s="19" t="str">
        <x:v>1</x:v>
      </x:c>
      <x:c r="D62" s="19" t="str">
        <x:v>4294543230</x:v>
      </x:c>
      <x:c r="E62" s="19" t="str">
        <x:v>3834</x:v>
      </x:c>
      <x:c r="F62" s="19" t="str">
        <x:v>1</x:v>
      </x:c>
      <x:c r="G62" s="19" t="str">
        <x:v>5</x:v>
      </x:c>
      <x:c r="H62" s="19" t="str">
        <x:v>363</x:v>
      </x:c>
      <x:c r="I62" s="19" t="str">
        <x:v>67</x:v>
      </x:c>
      <x:c r="J62" s="31" t="str">
        <x:v>1.594981900008861</x:v>
      </x:c>
      <x:c r="K62" s="13" t="str">
        <x:v>True</x:v>
      </x:c>
      <x:c r="L62" s="19" t="str">
        <x:v>263</x:v>
      </x:c>
      <x:c r="M62" s="19" t="str">
        <x:v>66</x:v>
      </x:c>
      <x:c r="N62" s="31" t="str">
        <x:v>1.2901239999919198</x:v>
      </x:c>
      <x:c r="O62" s="13" t="str">
        <x:v>True</x:v>
      </x:c>
      <x:c r="P62" s="37" t="str">
        <x:v>-1</x:v>
      </x:c>
      <x:c r="Q62" s="43" t="str">
        <x:v>-0.30485790001694113</x:v>
      </x:c>
      <x:c r="R62" s="13" t="str">
        <x:v>zoomed_collision</x:v>
      </x:c>
      <x:c r="S62" s="13" t="str">
        <x:v>zoomed_collision</x:v>
      </x:c>
    </x:row>
    <x:row r="63">
      <x:c r="A63" s="19" t="str">
        <x:v>500</x:v>
      </x:c>
      <x:c r="B63" s="25" t="str">
        <x:v>0.1</x:v>
      </x:c>
      <x:c r="C63" s="19" t="str">
        <x:v>2</x:v>
      </x:c>
      <x:c r="D63" s="19" t="str">
        <x:v>152400032</x:v>
      </x:c>
      <x:c r="E63" s="19" t="str">
        <x:v>3588</x:v>
      </x:c>
      <x:c r="F63" s="19" t="str">
        <x:v>1</x:v>
      </x:c>
      <x:c r="G63" s="19" t="str">
        <x:v>5</x:v>
      </x:c>
      <x:c r="H63" s="19" t="str">
        <x:v>351</x:v>
      </x:c>
      <x:c r="I63" s="19" t="str">
        <x:v>57</x:v>
      </x:c>
      <x:c r="J63" s="31" t="str">
        <x:v>1.3620958999963477</x:v>
      </x:c>
      <x:c r="K63" s="13" t="str">
        <x:v>True</x:v>
      </x:c>
      <x:c r="L63" s="19" t="str">
        <x:v>253</x:v>
      </x:c>
      <x:c r="M63" s="19" t="str">
        <x:v>57</x:v>
      </x:c>
      <x:c r="N63" s="31" t="str">
        <x:v>1.0696951000136323</x:v>
      </x:c>
      <x:c r="O63" s="13" t="str">
        <x:v>True</x:v>
      </x:c>
      <x:c r="P63" s="37" t="str">
        <x:v>0</x:v>
      </x:c>
      <x:c r="Q63" s="43" t="str">
        <x:v>-0.2924007999827154</x:v>
      </x:c>
      <x:c r="R63" s="13" t="str">
        <x:v>tie</x:v>
      </x:c>
      <x:c r="S63" s="13" t="str">
        <x:v>zoomed_collision</x:v>
      </x:c>
    </x:row>
    <x:row r="64">
      <x:c r="A64" s="19" t="str">
        <x:v>500</x:v>
      </x:c>
      <x:c r="B64" s="25" t="str">
        <x:v>0.1</x:v>
      </x:c>
      <x:c r="C64" s="19" t="str">
        <x:v>3</x:v>
      </x:c>
      <x:c r="D64" s="19" t="str">
        <x:v>3051468196</x:v>
      </x:c>
      <x:c r="E64" s="19" t="str">
        <x:v>3582</x:v>
      </x:c>
      <x:c r="F64" s="19" t="str">
        <x:v>1</x:v>
      </x:c>
      <x:c r="G64" s="19" t="str">
        <x:v>5</x:v>
      </x:c>
      <x:c r="H64" s="19" t="str">
        <x:v>362</x:v>
      </x:c>
      <x:c r="I64" s="19" t="str">
        <x:v>60</x:v>
      </x:c>
      <x:c r="J64" s="31" t="str">
        <x:v>1.4203539000009187</x:v>
      </x:c>
      <x:c r="K64" s="13" t="str">
        <x:v>True</x:v>
      </x:c>
      <x:c r="L64" s="19" t="str">
        <x:v>273</x:v>
      </x:c>
      <x:c r="M64" s="19" t="str">
        <x:v>63</x:v>
      </x:c>
      <x:c r="N64" s="31" t="str">
        <x:v>1.0716716999886557</x:v>
      </x:c>
      <x:c r="O64" s="13" t="str">
        <x:v>True</x:v>
      </x:c>
      <x:c r="P64" s="37" t="str">
        <x:v>3</x:v>
      </x:c>
      <x:c r="Q64" s="43" t="str">
        <x:v>-0.3486822000122629</x:v>
      </x:c>
      <x:c r="R64" s="13" t="str">
        <x:v>zoomed_entropy</x:v>
      </x:c>
      <x:c r="S64" s="13" t="str">
        <x:v>zoomed_collision</x:v>
      </x:c>
    </x:row>
    <x:row r="65">
      <x:c r="A65" s="19" t="str">
        <x:v>500</x:v>
      </x:c>
      <x:c r="B65" s="25" t="str">
        <x:v>0.1</x:v>
      </x:c>
      <x:c r="C65" s="19" t="str">
        <x:v>4</x:v>
      </x:c>
      <x:c r="D65" s="19" t="str">
        <x:v>3941187827</x:v>
      </x:c>
      <x:c r="E65" s="19" t="str">
        <x:v>3592</x:v>
      </x:c>
      <x:c r="F65" s="19" t="str">
        <x:v>1</x:v>
      </x:c>
      <x:c r="G65" s="19" t="str">
        <x:v>5</x:v>
      </x:c>
      <x:c r="H65" s="19" t="str">
        <x:v>280</x:v>
      </x:c>
      <x:c r="I65" s="19" t="str">
        <x:v>59</x:v>
      </x:c>
      <x:c r="J65" s="31" t="str">
        <x:v>1.0440726000233553</x:v>
      </x:c>
      <x:c r="K65" s="13" t="str">
        <x:v>True</x:v>
      </x:c>
      <x:c r="L65" s="19" t="str">
        <x:v>220</x:v>
      </x:c>
      <x:c r="M65" s="19" t="str">
        <x:v>60</x:v>
      </x:c>
      <x:c r="N65" s="31" t="str">
        <x:v>0.7891942999558523</x:v>
      </x:c>
      <x:c r="O65" s="13" t="str">
        <x:v>True</x:v>
      </x:c>
      <x:c r="P65" s="37" t="str">
        <x:v>1</x:v>
      </x:c>
      <x:c r="Q65" s="43" t="str">
        <x:v>-0.254878300067503</x:v>
      </x:c>
      <x:c r="R65" s="13" t="str">
        <x:v>zoomed_entropy</x:v>
      </x:c>
      <x:c r="S65" s="13" t="str">
        <x:v>zoomed_collision</x:v>
      </x:c>
    </x:row>
    <x:row r="66">
      <x:c r="A66" s="19" t="str">
        <x:v>500</x:v>
      </x:c>
      <x:c r="B66" s="25" t="str">
        <x:v>0.1</x:v>
      </x:c>
      <x:c r="C66" s="19" t="str">
        <x:v>5</x:v>
      </x:c>
      <x:c r="D66" s="19" t="str">
        <x:v>3576986815</x:v>
      </x:c>
      <x:c r="E66" s="19" t="str">
        <x:v>3686</x:v>
      </x:c>
      <x:c r="F66" s="19" t="str">
        <x:v>1</x:v>
      </x:c>
      <x:c r="G66" s="19" t="str">
        <x:v>5</x:v>
      </x:c>
      <x:c r="H66" s="19" t="str">
        <x:v>353</x:v>
      </x:c>
      <x:c r="I66" s="19" t="str">
        <x:v>57</x:v>
      </x:c>
      <x:c r="J66" s="31" t="str">
        <x:v>1.5037294999929145</x:v>
      </x:c>
      <x:c r="K66" s="13" t="str">
        <x:v>True</x:v>
      </x:c>
      <x:c r="L66" s="19" t="str">
        <x:v>261</x:v>
      </x:c>
      <x:c r="M66" s="19" t="str">
        <x:v>56</x:v>
      </x:c>
      <x:c r="N66" s="31" t="str">
        <x:v>1.022072300023865</x:v>
      </x:c>
      <x:c r="O66" s="13" t="str">
        <x:v>True</x:v>
      </x:c>
      <x:c r="P66" s="37" t="str">
        <x:v>-1</x:v>
      </x:c>
      <x:c r="Q66" s="43" t="str">
        <x:v>-0.48165719996904954</x:v>
      </x:c>
      <x:c r="R66" s="13" t="str">
        <x:v>zoomed_collision</x:v>
      </x:c>
      <x:c r="S66" s="13" t="str">
        <x:v>zoomed_collision</x:v>
      </x:c>
    </x:row>
    <x:row r="67">
      <x:c r="A67" s="19" t="str">
        <x:v>500</x:v>
      </x:c>
      <x:c r="B67" s="25" t="str">
        <x:v>0.3</x:v>
      </x:c>
      <x:c r="C67" s="19" t="str">
        <x:v>1</x:v>
      </x:c>
      <x:c r="D67" s="19" t="str">
        <x:v>4120144595</x:v>
      </x:c>
      <x:c r="E67" s="19" t="str">
        <x:v>26221</x:v>
      </x:c>
      <x:c r="F67" s="19" t="str">
        <x:v>1</x:v>
      </x:c>
      <x:c r="G67" s="19" t="str">
        <x:v>5</x:v>
      </x:c>
      <x:c r="H67" s="19" t="str">
        <x:v>375</x:v>
      </x:c>
      <x:c r="I67" s="19" t="str">
        <x:v>64</x:v>
      </x:c>
      <x:c r="J67" s="31" t="str">
        <x:v>1.3303837000275962</x:v>
      </x:c>
      <x:c r="K67" s="13" t="str">
        <x:v>True</x:v>
      </x:c>
      <x:c r="L67" s="19" t="str">
        <x:v>202</x:v>
      </x:c>
      <x:c r="M67" s="19" t="str">
        <x:v>62</x:v>
      </x:c>
      <x:c r="N67" s="31" t="str">
        <x:v>0.9273794000037014</x:v>
      </x:c>
      <x:c r="O67" s="13" t="str">
        <x:v>True</x:v>
      </x:c>
      <x:c r="P67" s="37" t="str">
        <x:v>-2</x:v>
      </x:c>
      <x:c r="Q67" s="43" t="str">
        <x:v>-0.40300430002389476</x:v>
      </x:c>
      <x:c r="R67" s="13" t="str">
        <x:v>zoomed_collision</x:v>
      </x:c>
      <x:c r="S67" s="13" t="str">
        <x:v>zoomed_collision</x:v>
      </x:c>
    </x:row>
    <x:row r="68">
      <x:c r="A68" s="19" t="str">
        <x:v>500</x:v>
      </x:c>
      <x:c r="B68" s="25" t="str">
        <x:v>0.3</x:v>
      </x:c>
      <x:c r="C68" s="19" t="str">
        <x:v>2</x:v>
      </x:c>
      <x:c r="D68" s="19" t="str">
        <x:v>1757829676</x:v>
      </x:c>
      <x:c r="E68" s="19" t="str">
        <x:v>26285</x:v>
      </x:c>
      <x:c r="F68" s="19" t="str">
        <x:v>1</x:v>
      </x:c>
      <x:c r="G68" s="19" t="str">
        <x:v>5</x:v>
      </x:c>
      <x:c r="H68" s="19" t="str">
        <x:v>365</x:v>
      </x:c>
      <x:c r="I68" s="19" t="str">
        <x:v>61</x:v>
      </x:c>
      <x:c r="J68" s="31" t="str">
        <x:v>1.273054699995555</x:v>
      </x:c>
      <x:c r="K68" s="13" t="str">
        <x:v>True</x:v>
      </x:c>
      <x:c r="L68" s="19" t="str">
        <x:v>211</x:v>
      </x:c>
      <x:c r="M68" s="19" t="str">
        <x:v>64</x:v>
      </x:c>
      <x:c r="N68" s="31" t="str">
        <x:v>1.054900599992834</x:v>
      </x:c>
      <x:c r="O68" s="13" t="str">
        <x:v>True</x:v>
      </x:c>
      <x:c r="P68" s="37" t="str">
        <x:v>3</x:v>
      </x:c>
      <x:c r="Q68" s="43" t="str">
        <x:v>-0.21815410000272095</x:v>
      </x:c>
      <x:c r="R68" s="13" t="str">
        <x:v>zoomed_entropy</x:v>
      </x:c>
      <x:c r="S68" s="13" t="str">
        <x:v>zoomed_collision</x:v>
      </x:c>
    </x:row>
    <x:row r="69">
      <x:c r="A69" s="19" t="str">
        <x:v>500</x:v>
      </x:c>
      <x:c r="B69" s="25" t="str">
        <x:v>0.3</x:v>
      </x:c>
      <x:c r="C69" s="19" t="str">
        <x:v>3</x:v>
      </x:c>
      <x:c r="D69" s="19" t="str">
        <x:v>908579981</x:v>
      </x:c>
      <x:c r="E69" s="19" t="str">
        <x:v>27098</x:v>
      </x:c>
      <x:c r="F69" s="19" t="str">
        <x:v>1</x:v>
      </x:c>
      <x:c r="G69" s="19" t="str">
        <x:v>5</x:v>
      </x:c>
      <x:c r="H69" s="19" t="str">
        <x:v>418</x:v>
      </x:c>
      <x:c r="I69" s="19" t="str">
        <x:v>60</x:v>
      </x:c>
      <x:c r="J69" s="31" t="str">
        <x:v>1.7462317000026815</x:v>
      </x:c>
      <x:c r="K69" s="13" t="str">
        <x:v>True</x:v>
      </x:c>
      <x:c r="L69" s="19" t="str">
        <x:v>200</x:v>
      </x:c>
      <x:c r="M69" s="19" t="str">
        <x:v>62</x:v>
      </x:c>
      <x:c r="N69" s="31" t="str">
        <x:v>1.207603899994865</x:v>
      </x:c>
      <x:c r="O69" s="13" t="str">
        <x:v>True</x:v>
      </x:c>
      <x:c r="P69" s="37" t="str">
        <x:v>2</x:v>
      </x:c>
      <x:c r="Q69" s="43" t="str">
        <x:v>-0.5386278000078164</x:v>
      </x:c>
      <x:c r="R69" s="13" t="str">
        <x:v>zoomed_entropy</x:v>
      </x:c>
      <x:c r="S69" s="13" t="str">
        <x:v>zoomed_collision</x:v>
      </x:c>
    </x:row>
    <x:row r="70">
      <x:c r="A70" s="19" t="str">
        <x:v>500</x:v>
      </x:c>
      <x:c r="B70" s="25" t="str">
        <x:v>0.3</x:v>
      </x:c>
      <x:c r="C70" s="19" t="str">
        <x:v>4</x:v>
      </x:c>
      <x:c r="D70" s="19" t="str">
        <x:v>466056250</x:v>
      </x:c>
      <x:c r="E70" s="19" t="str">
        <x:v>25783</x:v>
      </x:c>
      <x:c r="F70" s="19" t="str">
        <x:v>1</x:v>
      </x:c>
      <x:c r="G70" s="19" t="str">
        <x:v>5</x:v>
      </x:c>
      <x:c r="H70" s="19" t="str">
        <x:v>340</x:v>
      </x:c>
      <x:c r="I70" s="19" t="str">
        <x:v>59</x:v>
      </x:c>
      <x:c r="J70" s="31" t="str">
        <x:v>1.3693050000001676</x:v>
      </x:c>
      <x:c r="K70" s="13" t="str">
        <x:v>True</x:v>
      </x:c>
      <x:c r="L70" s="19" t="str">
        <x:v>159</x:v>
      </x:c>
      <x:c r="M70" s="19" t="str">
        <x:v>54</x:v>
      </x:c>
      <x:c r="N70" s="31" t="str">
        <x:v>0.9363233000040054</x:v>
      </x:c>
      <x:c r="O70" s="13" t="str">
        <x:v>True</x:v>
      </x:c>
      <x:c r="P70" s="37" t="str">
        <x:v>-5</x:v>
      </x:c>
      <x:c r="Q70" s="43" t="str">
        <x:v>-0.4329816999961622</x:v>
      </x:c>
      <x:c r="R70" s="13" t="str">
        <x:v>zoomed_collision</x:v>
      </x:c>
      <x:c r="S70" s="13" t="str">
        <x:v>zoomed_collision</x:v>
      </x:c>
    </x:row>
    <x:row r="71">
      <x:c r="A71" s="19" t="str">
        <x:v>500</x:v>
      </x:c>
      <x:c r="B71" s="25" t="str">
        <x:v>0.3</x:v>
      </x:c>
      <x:c r="C71" s="19" t="str">
        <x:v>5</x:v>
      </x:c>
      <x:c r="D71" s="19" t="str">
        <x:v>3412183232</x:v>
      </x:c>
      <x:c r="E71" s="19" t="str">
        <x:v>27380</x:v>
      </x:c>
      <x:c r="F71" s="19" t="str">
        <x:v>1</x:v>
      </x:c>
      <x:c r="G71" s="19" t="str">
        <x:v>5</x:v>
      </x:c>
      <x:c r="H71" s="19" t="str">
        <x:v>407</x:v>
      </x:c>
      <x:c r="I71" s="19" t="str">
        <x:v>66</x:v>
      </x:c>
      <x:c r="J71" s="31" t="str">
        <x:v>1.5067827999591827</x:v>
      </x:c>
      <x:c r="K71" s="13" t="str">
        <x:v>True</x:v>
      </x:c>
      <x:c r="L71" s="19" t="str">
        <x:v>232</x:v>
      </x:c>
      <x:c r="M71" s="19" t="str">
        <x:v>57</x:v>
      </x:c>
      <x:c r="N71" s="31" t="str">
        <x:v>1.1875030999653973</x:v>
      </x:c>
      <x:c r="O71" s="13" t="str">
        <x:v>True</x:v>
      </x:c>
      <x:c r="P71" s="37" t="str">
        <x:v>-9</x:v>
      </x:c>
      <x:c r="Q71" s="43" t="str">
        <x:v>-0.31927969999378547</x:v>
      </x:c>
      <x:c r="R71" s="13" t="str">
        <x:v>zoomed_collision</x:v>
      </x:c>
      <x:c r="S71" s="13" t="str">
        <x:v>zoomed_collision</x:v>
      </x:c>
    </x:row>
    <x:row r="72">
      <x:c r="A72" s="19" t="str">
        <x:v>500</x:v>
      </x:c>
      <x:c r="B72" s="25" t="str">
        <x:v>0.5</x:v>
      </x:c>
      <x:c r="C72" s="19" t="str">
        <x:v>1</x:v>
      </x:c>
      <x:c r="D72" s="19" t="str">
        <x:v>681276900</x:v>
      </x:c>
      <x:c r="E72" s="19" t="str">
        <x:v>61090</x:v>
      </x:c>
      <x:c r="F72" s="19" t="str">
        <x:v>1</x:v>
      </x:c>
      <x:c r="G72" s="19" t="str">
        <x:v>5</x:v>
      </x:c>
      <x:c r="H72" s="19" t="str">
        <x:v>414</x:v>
      </x:c>
      <x:c r="I72" s="19" t="str">
        <x:v>86</x:v>
      </x:c>
      <x:c r="J72" s="31" t="str">
        <x:v>3.586450800008606</x:v>
      </x:c>
      <x:c r="K72" s="13" t="str">
        <x:v>True</x:v>
      </x:c>
      <x:c r="L72" s="19" t="str">
        <x:v>227</x:v>
      </x:c>
      <x:c r="M72" s="19" t="str">
        <x:v>80</x:v>
      </x:c>
      <x:c r="N72" s="31" t="str">
        <x:v>3.386470800032839</x:v>
      </x:c>
      <x:c r="O72" s="13" t="str">
        <x:v>True</x:v>
      </x:c>
      <x:c r="P72" s="37" t="str">
        <x:v>-6</x:v>
      </x:c>
      <x:c r="Q72" s="43" t="str">
        <x:v>-0.199979999975767</x:v>
      </x:c>
      <x:c r="R72" s="13" t="str">
        <x:v>zoomed_collision</x:v>
      </x:c>
      <x:c r="S72" s="13" t="str">
        <x:v>zoomed_collision</x:v>
      </x:c>
    </x:row>
    <x:row r="73">
      <x:c r="A73" s="19" t="str">
        <x:v>500</x:v>
      </x:c>
      <x:c r="B73" s="25" t="str">
        <x:v>0.5</x:v>
      </x:c>
      <x:c r="C73" s="19" t="str">
        <x:v>2</x:v>
      </x:c>
      <x:c r="D73" s="19" t="str">
        <x:v>4156672902</x:v>
      </x:c>
      <x:c r="E73" s="19" t="str">
        <x:v>60993</x:v>
      </x:c>
      <x:c r="F73" s="19" t="str">
        <x:v>1</x:v>
      </x:c>
      <x:c r="G73" s="19" t="str">
        <x:v>5</x:v>
      </x:c>
      <x:c r="H73" s="19" t="str">
        <x:v>426</x:v>
      </x:c>
      <x:c r="I73" s="19" t="str">
        <x:v>83</x:v>
      </x:c>
      <x:c r="J73" s="31" t="str">
        <x:v>5.077772099990398</x:v>
      </x:c>
      <x:c r="K73" s="13" t="str">
        <x:v>True</x:v>
      </x:c>
      <x:c r="L73" s="19" t="str">
        <x:v>217</x:v>
      </x:c>
      <x:c r="M73" s="19" t="str">
        <x:v>91</x:v>
      </x:c>
      <x:c r="N73" s="31" t="str">
        <x:v>3.7854829999851063</x:v>
      </x:c>
      <x:c r="O73" s="13" t="str">
        <x:v>True</x:v>
      </x:c>
      <x:c r="P73" s="37" t="str">
        <x:v>8</x:v>
      </x:c>
      <x:c r="Q73" s="43" t="str">
        <x:v>-1.2922891000052914</x:v>
      </x:c>
      <x:c r="R73" s="13" t="str">
        <x:v>zoomed_entropy</x:v>
      </x:c>
      <x:c r="S73" s="13" t="str">
        <x:v>zoomed_collision</x:v>
      </x:c>
    </x:row>
    <x:row r="74">
      <x:c r="A74" s="19" t="str">
        <x:v>500</x:v>
      </x:c>
      <x:c r="B74" s="25" t="str">
        <x:v>0.5</x:v>
      </x:c>
      <x:c r="C74" s="19" t="str">
        <x:v>3</x:v>
      </x:c>
      <x:c r="D74" s="19" t="str">
        <x:v>3956884841</x:v>
      </x:c>
      <x:c r="E74" s="19" t="str">
        <x:v>62431</x:v>
      </x:c>
      <x:c r="F74" s="19" t="str">
        <x:v>1</x:v>
      </x:c>
      <x:c r="G74" s="19" t="str">
        <x:v>5</x:v>
      </x:c>
      <x:c r="H74" s="19" t="str">
        <x:v>388</x:v>
      </x:c>
      <x:c r="I74" s="19" t="str">
        <x:v>88</x:v>
      </x:c>
      <x:c r="J74" s="31" t="str">
        <x:v>5.085845800000243</x:v>
      </x:c>
      <x:c r="K74" s="13" t="str">
        <x:v>True</x:v>
      </x:c>
      <x:c r="L74" s="19" t="str">
        <x:v>182</x:v>
      </x:c>
      <x:c r="M74" s="19" t="str">
        <x:v>182</x:v>
      </x:c>
      <x:c r="N74" s="31" t="str">
        <x:v>3.328842499991879</x:v>
      </x:c>
      <x:c r="O74" s="13" t="str">
        <x:v>False</x:v>
      </x:c>
      <x:c r="P74" s="37" t="str">
        <x:v>94</x:v>
      </x:c>
      <x:c r="Q74" s="43" t="str">
        <x:v>-1.757003300008364</x:v>
      </x:c>
      <x:c r="R74" s="13" t="str">
        <x:v>zoomed_entropy</x:v>
      </x:c>
      <x:c r="S74" s="13" t="str">
        <x:v>zoomed_collision</x:v>
      </x:c>
    </x:row>
    <x:row r="75">
      <x:c r="A75" s="19" t="str">
        <x:v>500</x:v>
      </x:c>
      <x:c r="B75" s="25" t="str">
        <x:v>0.5</x:v>
      </x:c>
      <x:c r="C75" s="19" t="str">
        <x:v>4</x:v>
      </x:c>
      <x:c r="D75" s="19" t="str">
        <x:v>1812581221</x:v>
      </x:c>
      <x:c r="E75" s="19" t="str">
        <x:v>59856</x:v>
      </x:c>
      <x:c r="F75" s="19" t="str">
        <x:v>1</x:v>
      </x:c>
      <x:c r="G75" s="19" t="str">
        <x:v>5</x:v>
      </x:c>
      <x:c r="H75" s="19" t="str">
        <x:v>460</x:v>
      </x:c>
      <x:c r="I75" s="19" t="str">
        <x:v>84</x:v>
      </x:c>
      <x:c r="J75" s="31" t="str">
        <x:v>3.2928450999897905</x:v>
      </x:c>
      <x:c r="K75" s="13" t="str">
        <x:v>True</x:v>
      </x:c>
      <x:c r="L75" s="19" t="str">
        <x:v>220</x:v>
      </x:c>
      <x:c r="M75" s="19" t="str">
        <x:v>83</x:v>
      </x:c>
      <x:c r="N75" s="31" t="str">
        <x:v>3.0093626999878325</x:v>
      </x:c>
      <x:c r="O75" s="13" t="str">
        <x:v>True</x:v>
      </x:c>
      <x:c r="P75" s="37" t="str">
        <x:v>-1</x:v>
      </x:c>
      <x:c r="Q75" s="43" t="str">
        <x:v>-0.283482400001958</x:v>
      </x:c>
      <x:c r="R75" s="13" t="str">
        <x:v>zoomed_collision</x:v>
      </x:c>
      <x:c r="S75" s="13" t="str">
        <x:v>zoomed_collision</x:v>
      </x:c>
    </x:row>
    <x:row r="76">
      <x:c r="A76" s="19" t="str">
        <x:v>500</x:v>
      </x:c>
      <x:c r="B76" s="25" t="str">
        <x:v>0.5</x:v>
      </x:c>
      <x:c r="C76" s="19" t="str">
        <x:v>5</x:v>
      </x:c>
      <x:c r="D76" s="19" t="str">
        <x:v>4153490148</x:v>
      </x:c>
      <x:c r="E76" s="19" t="str">
        <x:v>57385</x:v>
      </x:c>
      <x:c r="F76" s="19" t="str">
        <x:v>1</x:v>
      </x:c>
      <x:c r="G76" s="19" t="str">
        <x:v>5</x:v>
      </x:c>
      <x:c r="H76" s="19" t="str">
        <x:v>359</x:v>
      </x:c>
      <x:c r="I76" s="19" t="str">
        <x:v>93</x:v>
      </x:c>
      <x:c r="J76" s="31" t="str">
        <x:v>4.653324800019618</x:v>
      </x:c>
      <x:c r="K76" s="13" t="str">
        <x:v>True</x:v>
      </x:c>
      <x:c r="L76" s="19" t="str">
        <x:v>234</x:v>
      </x:c>
      <x:c r="M76" s="19" t="str">
        <x:v>88</x:v>
      </x:c>
      <x:c r="N76" s="31" t="str">
        <x:v>3.8117267999914475</x:v>
      </x:c>
      <x:c r="O76" s="13" t="str">
        <x:v>True</x:v>
      </x:c>
      <x:c r="P76" s="37" t="str">
        <x:v>-5</x:v>
      </x:c>
      <x:c r="Q76" s="43" t="str">
        <x:v>-0.8415980000281706</x:v>
      </x:c>
      <x:c r="R76" s="13" t="str">
        <x:v>zoomed_collision</x:v>
      </x:c>
      <x:c r="S76" s="13" t="str">
        <x:v>zoomed_collision</x:v>
      </x:c>
    </x:row>
    <x:row r="77">
      <x:c r="A77" s="19" t="str">
        <x:v>500</x:v>
      </x:c>
      <x:c r="B77" s="25" t="str">
        <x:v>0.7</x:v>
      </x:c>
      <x:c r="C77" s="19" t="str">
        <x:v>1</x:v>
      </x:c>
      <x:c r="D77" s="19" t="str">
        <x:v>255546608</x:v>
      </x:c>
      <x:c r="E77" s="19" t="str">
        <x:v>94123</x:v>
      </x:c>
      <x:c r="F77" s="19" t="str">
        <x:v>1</x:v>
      </x:c>
      <x:c r="G77" s="19" t="str">
        <x:v>5</x:v>
      </x:c>
      <x:c r="H77" s="19" t="str">
        <x:v>473</x:v>
      </x:c>
      <x:c r="I77" s="19" t="str">
        <x:v>113</x:v>
      </x:c>
      <x:c r="J77" s="31" t="str">
        <x:v>9.40591139998287</x:v>
      </x:c>
      <x:c r="K77" s="13" t="str">
        <x:v>True</x:v>
      </x:c>
      <x:c r="L77" s="19" t="str">
        <x:v>228</x:v>
      </x:c>
      <x:c r="M77" s="19" t="str">
        <x:v>110</x:v>
      </x:c>
      <x:c r="N77" s="31" t="str">
        <x:v>8.585624300001655</x:v>
      </x:c>
      <x:c r="O77" s="13" t="str">
        <x:v>True</x:v>
      </x:c>
      <x:c r="P77" s="37" t="str">
        <x:v>-3</x:v>
      </x:c>
      <x:c r="Q77" s="43" t="str">
        <x:v>-0.8202870999812149</x:v>
      </x:c>
      <x:c r="R77" s="13" t="str">
        <x:v>zoomed_collision</x:v>
      </x:c>
      <x:c r="S77" s="13" t="str">
        <x:v>zoomed_collision</x:v>
      </x:c>
    </x:row>
    <x:row r="78">
      <x:c r="A78" s="19" t="str">
        <x:v>500</x:v>
      </x:c>
      <x:c r="B78" s="25" t="str">
        <x:v>0.7</x:v>
      </x:c>
      <x:c r="C78" s="19" t="str">
        <x:v>2</x:v>
      </x:c>
      <x:c r="D78" s="19" t="str">
        <x:v>2874443531</x:v>
      </x:c>
      <x:c r="E78" s="19" t="str">
        <x:v>91560</x:v>
      </x:c>
      <x:c r="F78" s="19" t="str">
        <x:v>1</x:v>
      </x:c>
      <x:c r="G78" s="19" t="str">
        <x:v>5</x:v>
      </x:c>
      <x:c r="H78" s="19" t="str">
        <x:v>454</x:v>
      </x:c>
      <x:c r="I78" s="19" t="str">
        <x:v>125</x:v>
      </x:c>
      <x:c r="J78" s="31" t="str">
        <x:v>6.5920518999919295</x:v>
      </x:c>
      <x:c r="K78" s="13" t="str">
        <x:v>True</x:v>
      </x:c>
      <x:c r="L78" s="19" t="str">
        <x:v>263</x:v>
      </x:c>
      <x:c r="M78" s="19" t="str">
        <x:v>123</x:v>
      </x:c>
      <x:c r="N78" s="31" t="str">
        <x:v>6.6753752999939024</x:v>
      </x:c>
      <x:c r="O78" s="13" t="str">
        <x:v>True</x:v>
      </x:c>
      <x:c r="P78" s="37" t="str">
        <x:v>-2</x:v>
      </x:c>
      <x:c r="Q78" s="43" t="str">
        <x:v>0.08332340000197291</x:v>
      </x:c>
      <x:c r="R78" s="13" t="str">
        <x:v>zoomed_collision</x:v>
      </x:c>
      <x:c r="S78" s="13" t="str">
        <x:v>zoomed_entropy</x:v>
      </x:c>
    </x:row>
    <x:row r="79">
      <x:c r="A79" s="19" t="str">
        <x:v>500</x:v>
      </x:c>
      <x:c r="B79" s="25" t="str">
        <x:v>0.7</x:v>
      </x:c>
      <x:c r="C79" s="19" t="str">
        <x:v>3</x:v>
      </x:c>
      <x:c r="D79" s="19" t="str">
        <x:v>801213115</x:v>
      </x:c>
      <x:c r="E79" s="19" t="str">
        <x:v>93200</x:v>
      </x:c>
      <x:c r="F79" s="19" t="str">
        <x:v>1</x:v>
      </x:c>
      <x:c r="G79" s="19" t="str">
        <x:v>5</x:v>
      </x:c>
      <x:c r="H79" s="19" t="str">
        <x:v>458</x:v>
      </x:c>
      <x:c r="I79" s="19" t="str">
        <x:v>121</x:v>
      </x:c>
      <x:c r="J79" s="31" t="str">
        <x:v>17.516766000015195</x:v>
      </x:c>
      <x:c r="K79" s="13" t="str">
        <x:v>True</x:v>
      </x:c>
      <x:c r="L79" s="19" t="str">
        <x:v>118</x:v>
      </x:c>
      <x:c r="M79" s="19" t="str">
        <x:v>108</x:v>
      </x:c>
      <x:c r="N79" s="31" t="str">
        <x:v>11.235557199979667</x:v>
      </x:c>
      <x:c r="O79" s="13" t="str">
        <x:v>True</x:v>
      </x:c>
      <x:c r="P79" s="37" t="str">
        <x:v>-13</x:v>
      </x:c>
      <x:c r="Q79" s="43" t="str">
        <x:v>-6.281208800035529</x:v>
      </x:c>
      <x:c r="R79" s="13" t="str">
        <x:v>zoomed_collision</x:v>
      </x:c>
      <x:c r="S79" s="13" t="str">
        <x:v>zoomed_collision</x:v>
      </x:c>
    </x:row>
    <x:row r="80">
      <x:c r="A80" s="19" t="str">
        <x:v>500</x:v>
      </x:c>
      <x:c r="B80" s="25" t="str">
        <x:v>0.7</x:v>
      </x:c>
      <x:c r="C80" s="19" t="str">
        <x:v>4</x:v>
      </x:c>
      <x:c r="D80" s="19" t="str">
        <x:v>2211938786</x:v>
      </x:c>
      <x:c r="E80" s="19" t="str">
        <x:v>93893</x:v>
      </x:c>
      <x:c r="F80" s="19" t="str">
        <x:v>1</x:v>
      </x:c>
      <x:c r="G80" s="19" t="str">
        <x:v>5</x:v>
      </x:c>
      <x:c r="H80" s="19" t="str">
        <x:v>480</x:v>
      </x:c>
      <x:c r="I80" s="19" t="str">
        <x:v>124</x:v>
      </x:c>
      <x:c r="J80" s="31" t="str">
        <x:v>18.29539579997072</x:v>
      </x:c>
      <x:c r="K80" s="13" t="str">
        <x:v>True</x:v>
      </x:c>
      <x:c r="L80" s="19" t="str">
        <x:v>128</x:v>
      </x:c>
      <x:c r="M80" s="19" t="str">
        <x:v>107</x:v>
      </x:c>
      <x:c r="N80" s="31" t="str">
        <x:v>11.723077300004661</x:v>
      </x:c>
      <x:c r="O80" s="13" t="str">
        <x:v>True</x:v>
      </x:c>
      <x:c r="P80" s="37" t="str">
        <x:v>-17</x:v>
      </x:c>
      <x:c r="Q80" s="43" t="str">
        <x:v>-6.572318499966059</x:v>
      </x:c>
      <x:c r="R80" s="13" t="str">
        <x:v>zoomed_collision</x:v>
      </x:c>
      <x:c r="S80" s="13" t="str">
        <x:v>zoomed_collision</x:v>
      </x:c>
    </x:row>
    <x:row r="81">
      <x:c r="A81" s="20" t="str">
        <x:v>500</x:v>
      </x:c>
      <x:c r="B81" s="26" t="str">
        <x:v>0.7</x:v>
      </x:c>
      <x:c r="C81" s="20" t="str">
        <x:v>5</x:v>
      </x:c>
      <x:c r="D81" s="20" t="str">
        <x:v>2395876206</x:v>
      </x:c>
      <x:c r="E81" s="20" t="str">
        <x:v>96246</x:v>
      </x:c>
      <x:c r="F81" s="20" t="str">
        <x:v>1</x:v>
      </x:c>
      <x:c r="G81" s="20" t="str">
        <x:v>5</x:v>
      </x:c>
      <x:c r="H81" s="20" t="str">
        <x:v>493</x:v>
      </x:c>
      <x:c r="I81" s="20" t="str">
        <x:v>125</x:v>
      </x:c>
      <x:c r="J81" s="32" t="str">
        <x:v>10.320417799986899</x:v>
      </x:c>
      <x:c r="K81" s="14" t="str">
        <x:v>True</x:v>
      </x:c>
      <x:c r="L81" s="20" t="str">
        <x:v>234</x:v>
      </x:c>
      <x:c r="M81" s="20" t="str">
        <x:v>112</x:v>
      </x:c>
      <x:c r="N81" s="32" t="str">
        <x:v>8.790594399964903</x:v>
      </x:c>
      <x:c r="O81" s="14" t="str">
        <x:v>True</x:v>
      </x:c>
      <x:c r="P81" s="38" t="str">
        <x:v>-13</x:v>
      </x:c>
      <x:c r="Q81" s="44" t="str">
        <x:v>-1.5298234000219963</x:v>
      </x:c>
      <x:c r="R81" s="14" t="str">
        <x:v>zoomed_collision</x:v>
      </x:c>
      <x:c r="S81" s="14" t="str">
        <x:v>zoomed_collision</x:v>
      </x:c>
    </x:row>
  </x:sheetData>
  <x:pageMargins left="0.7" right="0.7" top="0.75" bottom="0.75" header="0.3" footer="0.3"/>
  <x:tableParts count="1">
    <x:tablePart xmlns:r="http://schemas.openxmlformats.org/officeDocument/2006/relationships" r:id="R401e7358528348d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0" hidden="0" customWidth="1"/>
    <x:col min="3" max="3" width="12" hidden="0" customWidth="1"/>
    <x:col min="4" max="4" width="12" hidden="0" customWidth="1"/>
    <x:col min="5" max="5" width="27" hidden="0" customWidth="1"/>
    <x:col min="6" max="6" width="21" hidden="0" customWidth="1"/>
    <x:col min="7" max="7" width="28" hidden="0" customWidth="1"/>
    <x:col min="8" max="8" width="21" hidden="0" customWidth="1"/>
    <x:col min="9" max="9" width="25" hidden="0" customWidth="1"/>
    <x:col min="10" max="10" width="18" hidden="0" customWidth="1"/>
  </x:cols>
  <x:sheetData>
    <x:row r="1" ht="40" customHeight="1">
      <x:c r="A1" s="10" t="str">
        <x:v>n</x:v>
      </x:c>
      <x:c r="B1" s="10" t="str">
        <x:v>radius</x:v>
      </x:c>
      <x:c r="C1" s="10" t="str">
        <x:v>repeat</x:v>
      </x:c>
      <x:c r="D1" s="10" t="str">
        <x:v>both_valid</x:v>
      </x:c>
      <x:c r="E1" s="10" t="str">
        <x:v>collision_minus_entropy_size</x:v>
      </x:c>
      <x:c r="F1" s="10" t="str">
        <x:v>valid_size_winner</x:v>
      </x:c>
      <x:c r="G1" s="10" t="str">
        <x:v>collision_minus_entropy_time_s</x:v>
      </x:c>
      <x:c r="H1" s="10" t="str">
        <x:v>faster_method</x:v>
      </x:c>
      <x:c r="I1" s="10" t="str">
        <x:v>collision_entropy_time_ratio</x:v>
      </x:c>
      <x:c r="J1" s="10" t="str">
        <x:v>validity_outcome</x:v>
      </x:c>
    </x:row>
    <x:row r="2">
      <x:c r="A2" s="60" t="str">
        <x:f>'Raw Results'!A2</x:f>
        <x:v>50</x:v>
      </x:c>
      <x:c r="B2" s="61" t="str">
        <x:f>'Raw Results'!B2</x:f>
        <x:v>0.1</x:v>
      </x:c>
      <x:c r="C2" s="60" t="str">
        <x:f>'Raw Results'!C2</x:f>
        <x:v>1</x:v>
      </x:c>
      <x:c r="D2" s="60" t="n">
        <x:f>IF(AND('Raw Results'!K2="True",'Raw Results'!O2="True"),1,0)</x:f>
        <x:v>1</x:v>
      </x:c>
      <x:c r="E2" s="62" t="n">
        <x:f>'Raw Results'!M2-'Raw Results'!I2</x:f>
        <x:v>0</x:v>
      </x:c>
      <x:c r="F2" s="63" t="str">
        <x:f>IF(D2=0,"Excluded",IF(E2&lt;0,"Zoomed Collision",IF(E2&gt;0,"Zoomed Entropy","Tie")))</x:f>
        <x:v>Tie</x:v>
      </x:c>
      <x:c r="G2" s="64" t="n">
        <x:f>'Raw Results'!N2-'Raw Results'!J2</x:f>
        <x:v>-0.00023179996060207486</x:v>
      </x:c>
      <x:c r="H2" s="63" t="str">
        <x:f>IF(G2&lt;0,"Zoomed Collision",IF(G2&gt;0,"Zoomed Entropy","Tie"))</x:f>
        <x:v>Zoomed Collision</x:v>
      </x:c>
      <x:c r="I2" s="65" t="n">
        <x:f>IF('Raw Results'!J2=0,"",'Raw Results'!N2/'Raw Results'!J2)</x:f>
        <x:v>0.909286594750185</x:v>
      </x:c>
      <x:c r="J2" s="63" t="str">
        <x:f>IF(AND('Raw Results'!K2="True",'Raw Results'!O2="True"),"Both valid",IF('Raw Results'!K2="True","Entropy only",IF('Raw Results'!O2="True","Collision only","Neither valid")))</x:f>
        <x:v>Both valid</x:v>
      </x:c>
    </x:row>
    <x:row r="3">
      <x:c r="A3" s="66" t="str">
        <x:f>'Raw Results'!A3</x:f>
        <x:v>50</x:v>
      </x:c>
      <x:c r="B3" s="67" t="str">
        <x:f>'Raw Results'!B3</x:f>
        <x:v>0.1</x:v>
      </x:c>
      <x:c r="C3" s="66" t="str">
        <x:f>'Raw Results'!C3</x:f>
        <x:v>2</x:v>
      </x:c>
      <x:c r="D3" s="66" t="n">
        <x:f>IF(AND('Raw Results'!K3="True",'Raw Results'!O3="True"),1,0)</x:f>
        <x:v>1</x:v>
      </x:c>
      <x:c r="E3" s="68" t="n">
        <x:f>'Raw Results'!M3-'Raw Results'!I3</x:f>
        <x:v>0</x:v>
      </x:c>
      <x:c r="F3" s="69" t="str">
        <x:f>IF(D3=0,"Excluded",IF(E3&lt;0,"Zoomed Collision",IF(E3&gt;0,"Zoomed Entropy","Tie")))</x:f>
        <x:v>Tie</x:v>
      </x:c>
      <x:c r="G3" s="70" t="n">
        <x:f>'Raw Results'!N3-'Raw Results'!J3</x:f>
        <x:v>0.00003200001083314419</x:v>
      </x:c>
      <x:c r="H3" s="69" t="str">
        <x:f>IF(G3&lt;0,"Zoomed Collision",IF(G3&gt;0,"Zoomed Entropy","Tie"))</x:f>
        <x:v>Zoomed Entropy</x:v>
      </x:c>
      <x:c r="I3" s="71" t="n">
        <x:f>IF('Raw Results'!J3=0,"",'Raw Results'!N3/'Raw Results'!J3)</x:f>
        <x:v>1.015680899139076</x:v>
      </x:c>
      <x:c r="J3" s="69" t="str">
        <x:f>IF(AND('Raw Results'!K3="True",'Raw Results'!O3="True"),"Both valid",IF('Raw Results'!K3="True","Entropy only",IF('Raw Results'!O3="True","Collision only","Neither valid")))</x:f>
        <x:v>Both valid</x:v>
      </x:c>
    </x:row>
    <x:row r="4">
      <x:c r="A4" s="66" t="str">
        <x:f>'Raw Results'!A4</x:f>
        <x:v>50</x:v>
      </x:c>
      <x:c r="B4" s="67" t="str">
        <x:f>'Raw Results'!B4</x:f>
        <x:v>0.1</x:v>
      </x:c>
      <x:c r="C4" s="66" t="str">
        <x:f>'Raw Results'!C4</x:f>
        <x:v>3</x:v>
      </x:c>
      <x:c r="D4" s="66" t="n">
        <x:f>IF(AND('Raw Results'!K4="True",'Raw Results'!O4="True"),1,0)</x:f>
        <x:v>1</x:v>
      </x:c>
      <x:c r="E4" s="68" t="n">
        <x:f>'Raw Results'!M4-'Raw Results'!I4</x:f>
        <x:v>0</x:v>
      </x:c>
      <x:c r="F4" s="69" t="str">
        <x:f>IF(D4=0,"Excluded",IF(E4&lt;0,"Zoomed Collision",IF(E4&gt;0,"Zoomed Entropy","Tie")))</x:f>
        <x:v>Tie</x:v>
      </x:c>
      <x:c r="G4" s="70" t="n">
        <x:f>'Raw Results'!N4-'Raw Results'!J4</x:f>
        <x:v>-0.00010449998080730438</x:v>
      </x:c>
      <x:c r="H4" s="69" t="str">
        <x:f>IF(G4&lt;0,"Zoomed Collision",IF(G4&gt;0,"Zoomed Entropy","Tie"))</x:f>
        <x:v>Zoomed Collision</x:v>
      </x:c>
      <x:c r="I4" s="71" t="n">
        <x:f>IF('Raw Results'!J4=0,"",'Raw Results'!N4/'Raw Results'!J4)</x:f>
        <x:v>0.9618877488210873</x:v>
      </x:c>
      <x:c r="J4" s="69" t="str">
        <x:f>IF(AND('Raw Results'!K4="True",'Raw Results'!O4="True"),"Both valid",IF('Raw Results'!K4="True","Entropy only",IF('Raw Results'!O4="True","Collision only","Neither valid")))</x:f>
        <x:v>Both valid</x:v>
      </x:c>
    </x:row>
    <x:row r="5">
      <x:c r="A5" s="66" t="str">
        <x:f>'Raw Results'!A5</x:f>
        <x:v>50</x:v>
      </x:c>
      <x:c r="B5" s="67" t="str">
        <x:f>'Raw Results'!B5</x:f>
        <x:v>0.1</x:v>
      </x:c>
      <x:c r="C5" s="66" t="str">
        <x:f>'Raw Results'!C5</x:f>
        <x:v>4</x:v>
      </x:c>
      <x:c r="D5" s="66" t="n">
        <x:f>IF(AND('Raw Results'!K5="True",'Raw Results'!O5="True"),1,0)</x:f>
        <x:v>1</x:v>
      </x:c>
      <x:c r="E5" s="68" t="n">
        <x:f>'Raw Results'!M5-'Raw Results'!I5</x:f>
        <x:v>0</x:v>
      </x:c>
      <x:c r="F5" s="69" t="str">
        <x:f>IF(D5=0,"Excluded",IF(E5&lt;0,"Zoomed Collision",IF(E5&gt;0,"Zoomed Entropy","Tie")))</x:f>
        <x:v>Tie</x:v>
      </x:c>
      <x:c r="G5" s="70" t="n">
        <x:f>'Raw Results'!N5-'Raw Results'!J5</x:f>
        <x:v>-0.00015189999248832464</x:v>
      </x:c>
      <x:c r="H5" s="69" t="str">
        <x:f>IF(G5&lt;0,"Zoomed Collision",IF(G5&gt;0,"Zoomed Entropy","Tie"))</x:f>
        <x:v>Zoomed Collision</x:v>
      </x:c>
      <x:c r="I5" s="71" t="n">
        <x:f>IF('Raw Results'!J5=0,"",'Raw Results'!N5/'Raw Results'!J5)</x:f>
        <x:v>0.9526319091103739</x:v>
      </x:c>
      <x:c r="J5" s="69" t="str">
        <x:f>IF(AND('Raw Results'!K5="True",'Raw Results'!O5="True"),"Both valid",IF('Raw Results'!K5="True","Entropy only",IF('Raw Results'!O5="True","Collision only","Neither valid")))</x:f>
        <x:v>Both valid</x:v>
      </x:c>
    </x:row>
    <x:row r="6">
      <x:c r="A6" s="66" t="str">
        <x:f>'Raw Results'!A6</x:f>
        <x:v>50</x:v>
      </x:c>
      <x:c r="B6" s="67" t="str">
        <x:f>'Raw Results'!B6</x:f>
        <x:v>0.1</x:v>
      </x:c>
      <x:c r="C6" s="66" t="str">
        <x:f>'Raw Results'!C6</x:f>
        <x:v>5</x:v>
      </x:c>
      <x:c r="D6" s="66" t="n">
        <x:f>IF(AND('Raw Results'!K6="True",'Raw Results'!O6="True"),1,0)</x:f>
        <x:v>1</x:v>
      </x:c>
      <x:c r="E6" s="68" t="n">
        <x:f>'Raw Results'!M6-'Raw Results'!I6</x:f>
        <x:v>0</x:v>
      </x:c>
      <x:c r="F6" s="69" t="str">
        <x:f>IF(D6=0,"Excluded",IF(E6&lt;0,"Zoomed Collision",IF(E6&gt;0,"Zoomed Entropy","Tie")))</x:f>
        <x:v>Tie</x:v>
      </x:c>
      <x:c r="G6" s="70" t="n">
        <x:f>'Raw Results'!N6-'Raw Results'!J6</x:f>
        <x:v>0.00032869999995455146</x:v>
      </x:c>
      <x:c r="H6" s="69" t="str">
        <x:f>IF(G6&lt;0,"Zoomed Collision",IF(G6&gt;0,"Zoomed Entropy","Tie"))</x:f>
        <x:v>Zoomed Entropy</x:v>
      </x:c>
      <x:c r="I6" s="71" t="n">
        <x:f>IF('Raw Results'!J6=0,"",'Raw Results'!N6/'Raw Results'!J6)</x:f>
        <x:v>1.1289778289453984</x:v>
      </x:c>
      <x:c r="J6" s="69" t="str">
        <x:f>IF(AND('Raw Results'!K6="True",'Raw Results'!O6="True"),"Both valid",IF('Raw Results'!K6="True","Entropy only",IF('Raw Results'!O6="True","Collision only","Neither valid")))</x:f>
        <x:v>Both valid</x:v>
      </x:c>
    </x:row>
    <x:row r="7">
      <x:c r="A7" s="66" t="str">
        <x:f>'Raw Results'!A7</x:f>
        <x:v>50</x:v>
      </x:c>
      <x:c r="B7" s="67" t="str">
        <x:f>'Raw Results'!B7</x:f>
        <x:v>0.3</x:v>
      </x:c>
      <x:c r="C7" s="66" t="str">
        <x:f>'Raw Results'!C7</x:f>
        <x:v>1</x:v>
      </x:c>
      <x:c r="D7" s="66" t="n">
        <x:f>IF(AND('Raw Results'!K7="True",'Raw Results'!O7="True"),1,0)</x:f>
        <x:v>0</x:v>
      </x:c>
      <x:c r="E7" s="68" t="n">
        <x:f>'Raw Results'!M7-'Raw Results'!I7</x:f>
        <x:v>-8</x:v>
      </x:c>
      <x:c r="F7" s="69" t="str">
        <x:f>IF(D7=0,"Excluded",IF(E7&lt;0,"Zoomed Collision",IF(E7&gt;0,"Zoomed Entropy","Tie")))</x:f>
        <x:v>Excluded</x:v>
      </x:c>
      <x:c r="G7" s="70" t="n">
        <x:f>'Raw Results'!N7-'Raw Results'!J7</x:f>
        <x:v>-0.0002212999388575554</x:v>
      </x:c>
      <x:c r="H7" s="69" t="str">
        <x:f>IF(G7&lt;0,"Zoomed Collision",IF(G7&gt;0,"Zoomed Entropy","Tie"))</x:f>
        <x:v>Zoomed Collision</x:v>
      </x:c>
      <x:c r="I7" s="71" t="n">
        <x:f>IF('Raw Results'!J7=0,"",'Raw Results'!N7/'Raw Results'!J7)</x:f>
        <x:v>0.9339639707567293</x:v>
      </x:c>
      <x:c r="J7" s="69" t="str">
        <x:f>IF(AND('Raw Results'!K7="True",'Raw Results'!O7="True"),"Both valid",IF('Raw Results'!K7="True","Entropy only",IF('Raw Results'!O7="True","Collision only","Neither valid")))</x:f>
        <x:v>Neither valid</x:v>
      </x:c>
    </x:row>
    <x:row r="8">
      <x:c r="A8" s="66" t="str">
        <x:f>'Raw Results'!A8</x:f>
        <x:v>50</x:v>
      </x:c>
      <x:c r="B8" s="67" t="str">
        <x:f>'Raw Results'!B8</x:f>
        <x:v>0.3</x:v>
      </x:c>
      <x:c r="C8" s="66" t="str">
        <x:f>'Raw Results'!C8</x:f>
        <x:v>2</x:v>
      </x:c>
      <x:c r="D8" s="66" t="n">
        <x:f>IF(AND('Raw Results'!K8="True",'Raw Results'!O8="True"),1,0)</x:f>
        <x:v>1</x:v>
      </x:c>
      <x:c r="E8" s="68" t="n">
        <x:f>'Raw Results'!M8-'Raw Results'!I8</x:f>
        <x:v>-1</x:v>
      </x:c>
      <x:c r="F8" s="69" t="str">
        <x:f>IF(D8=0,"Excluded",IF(E8&lt;0,"Zoomed Collision",IF(E8&gt;0,"Zoomed Entropy","Tie")))</x:f>
        <x:v>Zoomed Collision</x:v>
      </x:c>
      <x:c r="G8" s="70" t="n">
        <x:f>'Raw Results'!N8-'Raw Results'!J8</x:f>
        <x:v>-0.0009159000474028289</x:v>
      </x:c>
      <x:c r="H8" s="69" t="str">
        <x:f>IF(G8&lt;0,"Zoomed Collision",IF(G8&gt;0,"Zoomed Entropy","Tie"))</x:f>
        <x:v>Zoomed Collision</x:v>
      </x:c>
      <x:c r="I8" s="71" t="n">
        <x:f>IF('Raw Results'!J8=0,"",'Raw Results'!N8/'Raw Results'!J8)</x:f>
        <x:v>0.7918550917495883</x:v>
      </x:c>
      <x:c r="J8" s="69" t="str">
        <x:f>IF(AND('Raw Results'!K8="True",'Raw Results'!O8="True"),"Both valid",IF('Raw Results'!K8="True","Entropy only",IF('Raw Results'!O8="True","Collision only","Neither valid")))</x:f>
        <x:v>Both valid</x:v>
      </x:c>
    </x:row>
    <x:row r="9">
      <x:c r="A9" s="66" t="str">
        <x:f>'Raw Results'!A9</x:f>
        <x:v>50</x:v>
      </x:c>
      <x:c r="B9" s="67" t="str">
        <x:f>'Raw Results'!B9</x:f>
        <x:v>0.3</x:v>
      </x:c>
      <x:c r="C9" s="66" t="str">
        <x:f>'Raw Results'!C9</x:f>
        <x:v>3</x:v>
      </x:c>
      <x:c r="D9" s="66" t="n">
        <x:f>IF(AND('Raw Results'!K9="True",'Raw Results'!O9="True"),1,0)</x:f>
        <x:v>1</x:v>
      </x:c>
      <x:c r="E9" s="68" t="n">
        <x:f>'Raw Results'!M9-'Raw Results'!I9</x:f>
        <x:v>0</x:v>
      </x:c>
      <x:c r="F9" s="69" t="str">
        <x:f>IF(D9=0,"Excluded",IF(E9&lt;0,"Zoomed Collision",IF(E9&gt;0,"Zoomed Entropy","Tie")))</x:f>
        <x:v>Tie</x:v>
      </x:c>
      <x:c r="G9" s="70" t="n">
        <x:f>'Raw Results'!N9-'Raw Results'!J9</x:f>
        <x:v>-0.0001878999755717814</x:v>
      </x:c>
      <x:c r="H9" s="69" t="str">
        <x:f>IF(G9&lt;0,"Zoomed Collision",IF(G9&gt;0,"Zoomed Entropy","Tie"))</x:f>
        <x:v>Zoomed Collision</x:v>
      </x:c>
      <x:c r="I9" s="71" t="n">
        <x:f>IF('Raw Results'!J9=0,"",'Raw Results'!N9/'Raw Results'!J9)</x:f>
        <x:v>0.9598066318807752</x:v>
      </x:c>
      <x:c r="J9" s="69" t="str">
        <x:f>IF(AND('Raw Results'!K9="True",'Raw Results'!O9="True"),"Both valid",IF('Raw Results'!K9="True","Entropy only",IF('Raw Results'!O9="True","Collision only","Neither valid")))</x:f>
        <x:v>Both valid</x:v>
      </x:c>
    </x:row>
    <x:row r="10">
      <x:c r="A10" s="66" t="str">
        <x:f>'Raw Results'!A10</x:f>
        <x:v>50</x:v>
      </x:c>
      <x:c r="B10" s="67" t="str">
        <x:f>'Raw Results'!B10</x:f>
        <x:v>0.3</x:v>
      </x:c>
      <x:c r="C10" s="66" t="str">
        <x:f>'Raw Results'!C10</x:f>
        <x:v>4</x:v>
      </x:c>
      <x:c r="D10" s="66" t="n">
        <x:f>IF(AND('Raw Results'!K10="True",'Raw Results'!O10="True"),1,0)</x:f>
        <x:v>1</x:v>
      </x:c>
      <x:c r="E10" s="68" t="n">
        <x:f>'Raw Results'!M10-'Raw Results'!I10</x:f>
        <x:v>-1</x:v>
      </x:c>
      <x:c r="F10" s="69" t="str">
        <x:f>IF(D10=0,"Excluded",IF(E10&lt;0,"Zoomed Collision",IF(E10&gt;0,"Zoomed Entropy","Tie")))</x:f>
        <x:v>Zoomed Collision</x:v>
      </x:c>
      <x:c r="G10" s="70" t="n">
        <x:f>'Raw Results'!N10-'Raw Results'!J10</x:f>
        <x:v>0.00023930001771077514</x:v>
      </x:c>
      <x:c r="H10" s="69" t="str">
        <x:f>IF(G10&lt;0,"Zoomed Collision",IF(G10&gt;0,"Zoomed Entropy","Tie"))</x:f>
        <x:v>Zoomed Entropy</x:v>
      </x:c>
      <x:c r="I10" s="71" t="n">
        <x:f>IF('Raw Results'!J10=0,"",'Raw Results'!N10/'Raw Results'!J10)</x:f>
        <x:v>1.0602786014947694</x:v>
      </x:c>
      <x:c r="J10" s="69" t="str">
        <x:f>IF(AND('Raw Results'!K10="True",'Raw Results'!O10="True"),"Both valid",IF('Raw Results'!K10="True","Entropy only",IF('Raw Results'!O10="True","Collision only","Neither valid")))</x:f>
        <x:v>Both valid</x:v>
      </x:c>
    </x:row>
    <x:row r="11">
      <x:c r="A11" s="66" t="str">
        <x:f>'Raw Results'!A11</x:f>
        <x:v>50</x:v>
      </x:c>
      <x:c r="B11" s="67" t="str">
        <x:f>'Raw Results'!B11</x:f>
        <x:v>0.3</x:v>
      </x:c>
      <x:c r="C11" s="66" t="str">
        <x:f>'Raw Results'!C11</x:f>
        <x:v>5</x:v>
      </x:c>
      <x:c r="D11" s="66" t="n">
        <x:f>IF(AND('Raw Results'!K11="True",'Raw Results'!O11="True"),1,0)</x:f>
        <x:v>1</x:v>
      </x:c>
      <x:c r="E11" s="68" t="n">
        <x:f>'Raw Results'!M11-'Raw Results'!I11</x:f>
        <x:v>0</x:v>
      </x:c>
      <x:c r="F11" s="69" t="str">
        <x:f>IF(D11=0,"Excluded",IF(E11&lt;0,"Zoomed Collision",IF(E11&gt;0,"Zoomed Entropy","Tie")))</x:f>
        <x:v>Tie</x:v>
      </x:c>
      <x:c r="G11" s="70" t="n">
        <x:f>'Raw Results'!N11-'Raw Results'!J11</x:f>
        <x:v>-0.0006167999817989767</x:v>
      </x:c>
      <x:c r="H11" s="69" t="str">
        <x:f>IF(G11&lt;0,"Zoomed Collision",IF(G11&gt;0,"Zoomed Entropy","Tie"))</x:f>
        <x:v>Zoomed Collision</x:v>
      </x:c>
      <x:c r="I11" s="71" t="n">
        <x:f>IF('Raw Results'!J11=0,"",'Raw Results'!N11/'Raw Results'!J11)</x:f>
        <x:v>0.874636697523435</x:v>
      </x:c>
      <x:c r="J11" s="69" t="str">
        <x:f>IF(AND('Raw Results'!K11="True",'Raw Results'!O11="True"),"Both valid",IF('Raw Results'!K11="True","Entropy only",IF('Raw Results'!O11="True","Collision only","Neither valid")))</x:f>
        <x:v>Both valid</x:v>
      </x:c>
    </x:row>
    <x:row r="12">
      <x:c r="A12" s="66" t="str">
        <x:f>'Raw Results'!A12</x:f>
        <x:v>50</x:v>
      </x:c>
      <x:c r="B12" s="67" t="str">
        <x:f>'Raw Results'!B12</x:f>
        <x:v>0.5</x:v>
      </x:c>
      <x:c r="C12" s="66" t="str">
        <x:f>'Raw Results'!C12</x:f>
        <x:v>1</x:v>
      </x:c>
      <x:c r="D12" s="66" t="n">
        <x:f>IF(AND('Raw Results'!K12="True",'Raw Results'!O12="True"),1,0)</x:f>
        <x:v>1</x:v>
      </x:c>
      <x:c r="E12" s="68" t="n">
        <x:f>'Raw Results'!M12-'Raw Results'!I12</x:f>
        <x:v>0</x:v>
      </x:c>
      <x:c r="F12" s="69" t="str">
        <x:f>IF(D12=0,"Excluded",IF(E12&lt;0,"Zoomed Collision",IF(E12&gt;0,"Zoomed Entropy","Tie")))</x:f>
        <x:v>Tie</x:v>
      </x:c>
      <x:c r="G12" s="70" t="n">
        <x:f>'Raw Results'!N12-'Raw Results'!J12</x:f>
        <x:v>0.001318699971307069</x:v>
      </x:c>
      <x:c r="H12" s="69" t="str">
        <x:f>IF(G12&lt;0,"Zoomed Collision",IF(G12&gt;0,"Zoomed Entropy","Tie"))</x:f>
        <x:v>Zoomed Entropy</x:v>
      </x:c>
      <x:c r="I12" s="71" t="n">
        <x:f>IF('Raw Results'!J12=0,"",'Raw Results'!N12/'Raw Results'!J12)</x:f>
        <x:v>1.1784148680157904</x:v>
      </x:c>
      <x:c r="J12" s="69" t="str">
        <x:f>IF(AND('Raw Results'!K12="True",'Raw Results'!O12="True"),"Both valid",IF('Raw Results'!K12="True","Entropy only",IF('Raw Results'!O12="True","Collision only","Neither valid")))</x:f>
        <x:v>Both valid</x:v>
      </x:c>
    </x:row>
    <x:row r="13">
      <x:c r="A13" s="66" t="str">
        <x:f>'Raw Results'!A13</x:f>
        <x:v>50</x:v>
      </x:c>
      <x:c r="B13" s="67" t="str">
        <x:f>'Raw Results'!B13</x:f>
        <x:v>0.5</x:v>
      </x:c>
      <x:c r="C13" s="66" t="str">
        <x:f>'Raw Results'!C13</x:f>
        <x:v>2</x:v>
      </x:c>
      <x:c r="D13" s="66" t="n">
        <x:f>IF(AND('Raw Results'!K13="True",'Raw Results'!O13="True"),1,0)</x:f>
        <x:v>1</x:v>
      </x:c>
      <x:c r="E13" s="68" t="n">
        <x:f>'Raw Results'!M13-'Raw Results'!I13</x:f>
        <x:v>1</x:v>
      </x:c>
      <x:c r="F13" s="69" t="str">
        <x:f>IF(D13=0,"Excluded",IF(E13&lt;0,"Zoomed Collision",IF(E13&gt;0,"Zoomed Entropy","Tie")))</x:f>
        <x:v>Zoomed Entropy</x:v>
      </x:c>
      <x:c r="G13" s="70" t="n">
        <x:f>'Raw Results'!N13-'Raw Results'!J13</x:f>
        <x:v>-0.0002437999937683344</x:v>
      </x:c>
      <x:c r="H13" s="69" t="str">
        <x:f>IF(G13&lt;0,"Zoomed Collision",IF(G13&gt;0,"Zoomed Entropy","Tie"))</x:f>
        <x:v>Zoomed Collision</x:v>
      </x:c>
      <x:c r="I13" s="71" t="n">
        <x:f>IF('Raw Results'!J13=0,"",'Raw Results'!N13/'Raw Results'!J13)</x:f>
        <x:v>0.9584129377011519</x:v>
      </x:c>
      <x:c r="J13" s="69" t="str">
        <x:f>IF(AND('Raw Results'!K13="True",'Raw Results'!O13="True"),"Both valid",IF('Raw Results'!K13="True","Entropy only",IF('Raw Results'!O13="True","Collision only","Neither valid")))</x:f>
        <x:v>Both valid</x:v>
      </x:c>
    </x:row>
    <x:row r="14">
      <x:c r="A14" s="66" t="str">
        <x:f>'Raw Results'!A14</x:f>
        <x:v>50</x:v>
      </x:c>
      <x:c r="B14" s="67" t="str">
        <x:f>'Raw Results'!B14</x:f>
        <x:v>0.5</x:v>
      </x:c>
      <x:c r="C14" s="66" t="str">
        <x:f>'Raw Results'!C14</x:f>
        <x:v>3</x:v>
      </x:c>
      <x:c r="D14" s="66" t="n">
        <x:f>IF(AND('Raw Results'!K14="True",'Raw Results'!O14="True"),1,0)</x:f>
        <x:v>1</x:v>
      </x:c>
      <x:c r="E14" s="68" t="n">
        <x:f>'Raw Results'!M14-'Raw Results'!I14</x:f>
        <x:v>0</x:v>
      </x:c>
      <x:c r="F14" s="69" t="str">
        <x:f>IF(D14=0,"Excluded",IF(E14&lt;0,"Zoomed Collision",IF(E14&gt;0,"Zoomed Entropy","Tie")))</x:f>
        <x:v>Tie</x:v>
      </x:c>
      <x:c r="G14" s="70" t="n">
        <x:f>'Raw Results'!N14-'Raw Results'!J14</x:f>
        <x:v>-0.00019779999274760485</x:v>
      </x:c>
      <x:c r="H14" s="69" t="str">
        <x:f>IF(G14&lt;0,"Zoomed Collision",IF(G14&gt;0,"Zoomed Entropy","Tie"))</x:f>
        <x:v>Zoomed Collision</x:v>
      </x:c>
      <x:c r="I14" s="71" t="n">
        <x:f>IF('Raw Results'!J14=0,"",'Raw Results'!N14/'Raw Results'!J14)</x:f>
        <x:v>0.9724193714077413</x:v>
      </x:c>
      <x:c r="J14" s="69" t="str">
        <x:f>IF(AND('Raw Results'!K14="True",'Raw Results'!O14="True"),"Both valid",IF('Raw Results'!K14="True","Entropy only",IF('Raw Results'!O14="True","Collision only","Neither valid")))</x:f>
        <x:v>Both valid</x:v>
      </x:c>
    </x:row>
    <x:row r="15">
      <x:c r="A15" s="66" t="str">
        <x:f>'Raw Results'!A15</x:f>
        <x:v>50</x:v>
      </x:c>
      <x:c r="B15" s="67" t="str">
        <x:f>'Raw Results'!B15</x:f>
        <x:v>0.5</x:v>
      </x:c>
      <x:c r="C15" s="66" t="str">
        <x:f>'Raw Results'!C15</x:f>
        <x:v>4</x:v>
      </x:c>
      <x:c r="D15" s="66" t="n">
        <x:f>IF(AND('Raw Results'!K15="True",'Raw Results'!O15="True"),1,0)</x:f>
        <x:v>1</x:v>
      </x:c>
      <x:c r="E15" s="68" t="n">
        <x:f>'Raw Results'!M15-'Raw Results'!I15</x:f>
        <x:v>3</x:v>
      </x:c>
      <x:c r="F15" s="69" t="str">
        <x:f>IF(D15=0,"Excluded",IF(E15&lt;0,"Zoomed Collision",IF(E15&gt;0,"Zoomed Entropy","Tie")))</x:f>
        <x:v>Zoomed Entropy</x:v>
      </x:c>
      <x:c r="G15" s="70" t="n">
        <x:f>'Raw Results'!N15-'Raw Results'!J15</x:f>
        <x:v>-0.00041499995859339833</x:v>
      </x:c>
      <x:c r="H15" s="69" t="str">
        <x:f>IF(G15&lt;0,"Zoomed Collision",IF(G15&gt;0,"Zoomed Entropy","Tie"))</x:f>
        <x:v>Zoomed Collision</x:v>
      </x:c>
      <x:c r="I15" s="71" t="n">
        <x:f>IF('Raw Results'!J15=0,"",'Raw Results'!N15/'Raw Results'!J15)</x:f>
        <x:v>0.9510047037276653</x:v>
      </x:c>
      <x:c r="J15" s="69" t="str">
        <x:f>IF(AND('Raw Results'!K15="True",'Raw Results'!O15="True"),"Both valid",IF('Raw Results'!K15="True","Entropy only",IF('Raw Results'!O15="True","Collision only","Neither valid")))</x:f>
        <x:v>Both valid</x:v>
      </x:c>
    </x:row>
    <x:row r="16">
      <x:c r="A16" s="66" t="str">
        <x:f>'Raw Results'!A16</x:f>
        <x:v>50</x:v>
      </x:c>
      <x:c r="B16" s="67" t="str">
        <x:f>'Raw Results'!B16</x:f>
        <x:v>0.5</x:v>
      </x:c>
      <x:c r="C16" s="66" t="str">
        <x:f>'Raw Results'!C16</x:f>
        <x:v>5</x:v>
      </x:c>
      <x:c r="D16" s="66" t="n">
        <x:f>IF(AND('Raw Results'!K16="True",'Raw Results'!O16="True"),1,0)</x:f>
        <x:v>1</x:v>
      </x:c>
      <x:c r="E16" s="68" t="n">
        <x:f>'Raw Results'!M16-'Raw Results'!I16</x:f>
        <x:v>0</x:v>
      </x:c>
      <x:c r="F16" s="69" t="str">
        <x:f>IF(D16=0,"Excluded",IF(E16&lt;0,"Zoomed Collision",IF(E16&gt;0,"Zoomed Entropy","Tie")))</x:f>
        <x:v>Tie</x:v>
      </x:c>
      <x:c r="G16" s="70" t="n">
        <x:f>'Raw Results'!N16-'Raw Results'!J16</x:f>
        <x:v>-0.0011561000137589872</x:v>
      </x:c>
      <x:c r="H16" s="69" t="str">
        <x:f>IF(G16&lt;0,"Zoomed Collision",IF(G16&gt;0,"Zoomed Entropy","Tie"))</x:f>
        <x:v>Zoomed Collision</x:v>
      </x:c>
      <x:c r="I16" s="71" t="n">
        <x:f>IF('Raw Results'!J16=0,"",'Raw Results'!N16/'Raw Results'!J16)</x:f>
        <x:v>0.8753651917496239</x:v>
      </x:c>
      <x:c r="J16" s="69" t="str">
        <x:f>IF(AND('Raw Results'!K16="True",'Raw Results'!O16="True"),"Both valid",IF('Raw Results'!K16="True","Entropy only",IF('Raw Results'!O16="True","Collision only","Neither valid")))</x:f>
        <x:v>Both valid</x:v>
      </x:c>
    </x:row>
    <x:row r="17">
      <x:c r="A17" s="66" t="str">
        <x:f>'Raw Results'!A17</x:f>
        <x:v>50</x:v>
      </x:c>
      <x:c r="B17" s="67" t="str">
        <x:f>'Raw Results'!B17</x:f>
        <x:v>0.7</x:v>
      </x:c>
      <x:c r="C17" s="66" t="str">
        <x:f>'Raw Results'!C17</x:f>
        <x:v>1</x:v>
      </x:c>
      <x:c r="D17" s="66" t="n">
        <x:f>IF(AND('Raw Results'!K17="True",'Raw Results'!O17="True"),1,0)</x:f>
        <x:v>1</x:v>
      </x:c>
      <x:c r="E17" s="68" t="n">
        <x:f>'Raw Results'!M17-'Raw Results'!I17</x:f>
        <x:v>-1</x:v>
      </x:c>
      <x:c r="F17" s="69" t="str">
        <x:f>IF(D17=0,"Excluded",IF(E17&lt;0,"Zoomed Collision",IF(E17&gt;0,"Zoomed Entropy","Tie")))</x:f>
        <x:v>Zoomed Collision</x:v>
      </x:c>
      <x:c r="G17" s="70" t="n">
        <x:f>'Raw Results'!N17-'Raw Results'!J17</x:f>
        <x:v>0.008005899959243834</x:v>
      </x:c>
      <x:c r="H17" s="69" t="str">
        <x:f>IF(G17&lt;0,"Zoomed Collision",IF(G17&gt;0,"Zoomed Entropy","Tie"))</x:f>
        <x:v>Zoomed Entropy</x:v>
      </x:c>
      <x:c r="I17" s="71" t="n">
        <x:f>IF('Raw Results'!J17=0,"",'Raw Results'!N17/'Raw Results'!J17)</x:f>
        <x:v>1.5118436418521586</x:v>
      </x:c>
      <x:c r="J17" s="69" t="str">
        <x:f>IF(AND('Raw Results'!K17="True",'Raw Results'!O17="True"),"Both valid",IF('Raw Results'!K17="True","Entropy only",IF('Raw Results'!O17="True","Collision only","Neither valid")))</x:f>
        <x:v>Both valid</x:v>
      </x:c>
    </x:row>
    <x:row r="18">
      <x:c r="A18" s="66" t="str">
        <x:f>'Raw Results'!A18</x:f>
        <x:v>50</x:v>
      </x:c>
      <x:c r="B18" s="67" t="str">
        <x:f>'Raw Results'!B18</x:f>
        <x:v>0.7</x:v>
      </x:c>
      <x:c r="C18" s="66" t="str">
        <x:f>'Raw Results'!C18</x:f>
        <x:v>2</x:v>
      </x:c>
      <x:c r="D18" s="66" t="n">
        <x:f>IF(AND('Raw Results'!K18="True",'Raw Results'!O18="True"),1,0)</x:f>
        <x:v>1</x:v>
      </x:c>
      <x:c r="E18" s="68" t="n">
        <x:f>'Raw Results'!M18-'Raw Results'!I18</x:f>
        <x:v>0</x:v>
      </x:c>
      <x:c r="F18" s="69" t="str">
        <x:f>IF(D18=0,"Excluded",IF(E18&lt;0,"Zoomed Collision",IF(E18&gt;0,"Zoomed Entropy","Tie")))</x:f>
        <x:v>Tie</x:v>
      </x:c>
      <x:c r="G18" s="70" t="n">
        <x:f>'Raw Results'!N18-'Raw Results'!J18</x:f>
        <x:v>0.00021080003352835774</x:v>
      </x:c>
      <x:c r="H18" s="69" t="str">
        <x:f>IF(G18&lt;0,"Zoomed Collision",IF(G18&gt;0,"Zoomed Entropy","Tie"))</x:f>
        <x:v>Zoomed Entropy</x:v>
      </x:c>
      <x:c r="I18" s="71" t="n">
        <x:f>IF('Raw Results'!J18=0,"",'Raw Results'!N18/'Raw Results'!J18)</x:f>
        <x:v>1.0278511829264336</x:v>
      </x:c>
      <x:c r="J18" s="69" t="str">
        <x:f>IF(AND('Raw Results'!K18="True",'Raw Results'!O18="True"),"Both valid",IF('Raw Results'!K18="True","Entropy only",IF('Raw Results'!O18="True","Collision only","Neither valid")))</x:f>
        <x:v>Both valid</x:v>
      </x:c>
    </x:row>
    <x:row r="19">
      <x:c r="A19" s="66" t="str">
        <x:f>'Raw Results'!A19</x:f>
        <x:v>50</x:v>
      </x:c>
      <x:c r="B19" s="67" t="str">
        <x:f>'Raw Results'!B19</x:f>
        <x:v>0.7</x:v>
      </x:c>
      <x:c r="C19" s="66" t="str">
        <x:f>'Raw Results'!C19</x:f>
        <x:v>3</x:v>
      </x:c>
      <x:c r="D19" s="66" t="n">
        <x:f>IF(AND('Raw Results'!K19="True",'Raw Results'!O19="True"),1,0)</x:f>
        <x:v>1</x:v>
      </x:c>
      <x:c r="E19" s="68" t="n">
        <x:f>'Raw Results'!M19-'Raw Results'!I19</x:f>
        <x:v>-2</x:v>
      </x:c>
      <x:c r="F19" s="69" t="str">
        <x:f>IF(D19=0,"Excluded",IF(E19&lt;0,"Zoomed Collision",IF(E19&gt;0,"Zoomed Entropy","Tie")))</x:f>
        <x:v>Zoomed Collision</x:v>
      </x:c>
      <x:c r="G19" s="70" t="n">
        <x:f>'Raw Results'!N19-'Raw Results'!J19</x:f>
        <x:v>-0.00045709998812526464</x:v>
      </x:c>
      <x:c r="H19" s="69" t="str">
        <x:f>IF(G19&lt;0,"Zoomed Collision",IF(G19&gt;0,"Zoomed Entropy","Tie"))</x:f>
        <x:v>Zoomed Collision</x:v>
      </x:c>
      <x:c r="I19" s="71" t="n">
        <x:f>IF('Raw Results'!J19=0,"",'Raw Results'!N19/'Raw Results'!J19)</x:f>
        <x:v>0.9643606205878732</x:v>
      </x:c>
      <x:c r="J19" s="69" t="str">
        <x:f>IF(AND('Raw Results'!K19="True",'Raw Results'!O19="True"),"Both valid",IF('Raw Results'!K19="True","Entropy only",IF('Raw Results'!O19="True","Collision only","Neither valid")))</x:f>
        <x:v>Both valid</x:v>
      </x:c>
    </x:row>
    <x:row r="20">
      <x:c r="A20" s="66" t="str">
        <x:f>'Raw Results'!A20</x:f>
        <x:v>50</x:v>
      </x:c>
      <x:c r="B20" s="67" t="str">
        <x:f>'Raw Results'!B20</x:f>
        <x:v>0.7</x:v>
      </x:c>
      <x:c r="C20" s="66" t="str">
        <x:f>'Raw Results'!C20</x:f>
        <x:v>4</x:v>
      </x:c>
      <x:c r="D20" s="66" t="n">
        <x:f>IF(AND('Raw Results'!K20="True",'Raw Results'!O20="True"),1,0)</x:f>
        <x:v>1</x:v>
      </x:c>
      <x:c r="E20" s="68" t="n">
        <x:f>'Raw Results'!M20-'Raw Results'!I20</x:f>
        <x:v>-2</x:v>
      </x:c>
      <x:c r="F20" s="69" t="str">
        <x:f>IF(D20=0,"Excluded",IF(E20&lt;0,"Zoomed Collision",IF(E20&gt;0,"Zoomed Entropy","Tie")))</x:f>
        <x:v>Zoomed Collision</x:v>
      </x:c>
      <x:c r="G20" s="70" t="n">
        <x:f>'Raw Results'!N20-'Raw Results'!J20</x:f>
        <x:v>0.0022064000368118286</x:v>
      </x:c>
      <x:c r="H20" s="69" t="str">
        <x:f>IF(G20&lt;0,"Zoomed Collision",IF(G20&gt;0,"Zoomed Entropy","Tie"))</x:f>
        <x:v>Zoomed Entropy</x:v>
      </x:c>
      <x:c r="I20" s="71" t="n">
        <x:f>IF('Raw Results'!J20=0,"",'Raw Results'!N20/'Raw Results'!J20)</x:f>
        <x:v>1.139001590171605</x:v>
      </x:c>
      <x:c r="J20" s="69" t="str">
        <x:f>IF(AND('Raw Results'!K20="True",'Raw Results'!O20="True"),"Both valid",IF('Raw Results'!K20="True","Entropy only",IF('Raw Results'!O20="True","Collision only","Neither valid")))</x:f>
        <x:v>Both valid</x:v>
      </x:c>
    </x:row>
    <x:row r="21">
      <x:c r="A21" s="66" t="str">
        <x:f>'Raw Results'!A21</x:f>
        <x:v>50</x:v>
      </x:c>
      <x:c r="B21" s="67" t="str">
        <x:f>'Raw Results'!B21</x:f>
        <x:v>0.7</x:v>
      </x:c>
      <x:c r="C21" s="66" t="str">
        <x:f>'Raw Results'!C21</x:f>
        <x:v>5</x:v>
      </x:c>
      <x:c r="D21" s="66" t="n">
        <x:f>IF(AND('Raw Results'!K21="True",'Raw Results'!O21="True"),1,0)</x:f>
        <x:v>1</x:v>
      </x:c>
      <x:c r="E21" s="68" t="n">
        <x:f>'Raw Results'!M21-'Raw Results'!I21</x:f>
        <x:v>-1</x:v>
      </x:c>
      <x:c r="F21" s="69" t="str">
        <x:f>IF(D21=0,"Excluded",IF(E21&lt;0,"Zoomed Collision",IF(E21&gt;0,"Zoomed Entropy","Tie")))</x:f>
        <x:v>Zoomed Collision</x:v>
      </x:c>
      <x:c r="G21" s="70" t="n">
        <x:f>'Raw Results'!N21-'Raw Results'!J21</x:f>
        <x:v>0.00011520000407472253</x:v>
      </x:c>
      <x:c r="H21" s="69" t="str">
        <x:f>IF(G21&lt;0,"Zoomed Collision",IF(G21&gt;0,"Zoomed Entropy","Tie"))</x:f>
        <x:v>Zoomed Entropy</x:v>
      </x:c>
      <x:c r="I21" s="71" t="n">
        <x:f>IF('Raw Results'!J21=0,"",'Raw Results'!N21/'Raw Results'!J21)</x:f>
        <x:v>1.0129906746836261</x:v>
      </x:c>
      <x:c r="J21" s="69" t="str">
        <x:f>IF(AND('Raw Results'!K21="True",'Raw Results'!O21="True"),"Both valid",IF('Raw Results'!K21="True","Entropy only",IF('Raw Results'!O21="True","Collision only","Neither valid")))</x:f>
        <x:v>Both valid</x:v>
      </x:c>
    </x:row>
    <x:row r="22">
      <x:c r="A22" s="66" t="str">
        <x:f>'Raw Results'!A22</x:f>
        <x:v>100</x:v>
      </x:c>
      <x:c r="B22" s="67" t="str">
        <x:f>'Raw Results'!B22</x:f>
        <x:v>0.1</x:v>
      </x:c>
      <x:c r="C22" s="66" t="str">
        <x:f>'Raw Results'!C22</x:f>
        <x:v>1</x:v>
      </x:c>
      <x:c r="D22" s="66" t="n">
        <x:f>IF(AND('Raw Results'!K22="True",'Raw Results'!O22="True"),1,0)</x:f>
        <x:v>1</x:v>
      </x:c>
      <x:c r="E22" s="68" t="n">
        <x:f>'Raw Results'!M22-'Raw Results'!I22</x:f>
        <x:v>0</x:v>
      </x:c>
      <x:c r="F22" s="69" t="str">
        <x:f>IF(D22=0,"Excluded",IF(E22&lt;0,"Zoomed Collision",IF(E22&gt;0,"Zoomed Entropy","Tie")))</x:f>
        <x:v>Tie</x:v>
      </x:c>
      <x:c r="G22" s="70" t="n">
        <x:f>'Raw Results'!N22-'Raw Results'!J22</x:f>
        <x:v>0.00046309997560456395</x:v>
      </x:c>
      <x:c r="H22" s="69" t="str">
        <x:f>IF(G22&lt;0,"Zoomed Collision",IF(G22&gt;0,"Zoomed Entropy","Tie"))</x:f>
        <x:v>Zoomed Entropy</x:v>
      </x:c>
      <x:c r="I22" s="71" t="n">
        <x:f>IF('Raw Results'!J22=0,"",'Raw Results'!N22/'Raw Results'!J22)</x:f>
        <x:v>1.0250917017522756</x:v>
      </x:c>
      <x:c r="J22" s="69" t="str">
        <x:f>IF(AND('Raw Results'!K22="True",'Raw Results'!O22="True"),"Both valid",IF('Raw Results'!K22="True","Entropy only",IF('Raw Results'!O22="True","Collision only","Neither valid")))</x:f>
        <x:v>Both valid</x:v>
      </x:c>
    </x:row>
    <x:row r="23">
      <x:c r="A23" s="66" t="str">
        <x:f>'Raw Results'!A23</x:f>
        <x:v>100</x:v>
      </x:c>
      <x:c r="B23" s="67" t="str">
        <x:f>'Raw Results'!B23</x:f>
        <x:v>0.1</x:v>
      </x:c>
      <x:c r="C23" s="66" t="str">
        <x:f>'Raw Results'!C23</x:f>
        <x:v>2</x:v>
      </x:c>
      <x:c r="D23" s="66" t="n">
        <x:f>IF(AND('Raw Results'!K23="True",'Raw Results'!O23="True"),1,0)</x:f>
        <x:v>1</x:v>
      </x:c>
      <x:c r="E23" s="68" t="n">
        <x:f>'Raw Results'!M23-'Raw Results'!I23</x:f>
        <x:v>0</x:v>
      </x:c>
      <x:c r="F23" s="69" t="str">
        <x:f>IF(D23=0,"Excluded",IF(E23&lt;0,"Zoomed Collision",IF(E23&gt;0,"Zoomed Entropy","Tie")))</x:f>
        <x:v>Tie</x:v>
      </x:c>
      <x:c r="G23" s="70" t="n">
        <x:f>'Raw Results'!N23-'Raw Results'!J23</x:f>
        <x:v>-0.0011503000278025866</x:v>
      </x:c>
      <x:c r="H23" s="69" t="str">
        <x:f>IF(G23&lt;0,"Zoomed Collision",IF(G23&gt;0,"Zoomed Entropy","Tie"))</x:f>
        <x:v>Zoomed Collision</x:v>
      </x:c>
      <x:c r="I23" s="71" t="n">
        <x:f>IF('Raw Results'!J23=0,"",'Raw Results'!N23/'Raw Results'!J23)</x:f>
        <x:v>0.9419439158951827</x:v>
      </x:c>
      <x:c r="J23" s="69" t="str">
        <x:f>IF(AND('Raw Results'!K23="True",'Raw Results'!O23="True"),"Both valid",IF('Raw Results'!K23="True","Entropy only",IF('Raw Results'!O23="True","Collision only","Neither valid")))</x:f>
        <x:v>Both valid</x:v>
      </x:c>
    </x:row>
    <x:row r="24">
      <x:c r="A24" s="66" t="str">
        <x:f>'Raw Results'!A24</x:f>
        <x:v>100</x:v>
      </x:c>
      <x:c r="B24" s="67" t="str">
        <x:f>'Raw Results'!B24</x:f>
        <x:v>0.1</x:v>
      </x:c>
      <x:c r="C24" s="66" t="str">
        <x:f>'Raw Results'!C24</x:f>
        <x:v>3</x:v>
      </x:c>
      <x:c r="D24" s="66" t="n">
        <x:f>IF(AND('Raw Results'!K24="True",'Raw Results'!O24="True"),1,0)</x:f>
        <x:v>1</x:v>
      </x:c>
      <x:c r="E24" s="68" t="n">
        <x:f>'Raw Results'!M24-'Raw Results'!I24</x:f>
        <x:v>1</x:v>
      </x:c>
      <x:c r="F24" s="69" t="str">
        <x:f>IF(D24=0,"Excluded",IF(E24&lt;0,"Zoomed Collision",IF(E24&gt;0,"Zoomed Entropy","Tie")))</x:f>
        <x:v>Zoomed Entropy</x:v>
      </x:c>
      <x:c r="G24" s="70" t="n">
        <x:f>'Raw Results'!N24-'Raw Results'!J24</x:f>
        <x:v>-0.0021293999743647873</x:v>
      </x:c>
      <x:c r="H24" s="69" t="str">
        <x:f>IF(G24&lt;0,"Zoomed Collision",IF(G24&gt;0,"Zoomed Entropy","Tie"))</x:f>
        <x:v>Zoomed Collision</x:v>
      </x:c>
      <x:c r="I24" s="71" t="n">
        <x:f>IF('Raw Results'!J24=0,"",'Raw Results'!N24/'Raw Results'!J24)</x:f>
        <x:v>0.8977920717187224</x:v>
      </x:c>
      <x:c r="J24" s="69" t="str">
        <x:f>IF(AND('Raw Results'!K24="True",'Raw Results'!O24="True"),"Both valid",IF('Raw Results'!K24="True","Entropy only",IF('Raw Results'!O24="True","Collision only","Neither valid")))</x:f>
        <x:v>Both valid</x:v>
      </x:c>
    </x:row>
    <x:row r="25">
      <x:c r="A25" s="66" t="str">
        <x:f>'Raw Results'!A25</x:f>
        <x:v>100</x:v>
      </x:c>
      <x:c r="B25" s="67" t="str">
        <x:f>'Raw Results'!B25</x:f>
        <x:v>0.1</x:v>
      </x:c>
      <x:c r="C25" s="66" t="str">
        <x:f>'Raw Results'!C25</x:f>
        <x:v>4</x:v>
      </x:c>
      <x:c r="D25" s="66" t="n">
        <x:f>IF(AND('Raw Results'!K25="True",'Raw Results'!O25="True"),1,0)</x:f>
        <x:v>1</x:v>
      </x:c>
      <x:c r="E25" s="68" t="n">
        <x:f>'Raw Results'!M25-'Raw Results'!I25</x:f>
        <x:v>-1</x:v>
      </x:c>
      <x:c r="F25" s="69" t="str">
        <x:f>IF(D25=0,"Excluded",IF(E25&lt;0,"Zoomed Collision",IF(E25&gt;0,"Zoomed Entropy","Tie")))</x:f>
        <x:v>Zoomed Collision</x:v>
      </x:c>
      <x:c r="G25" s="70" t="n">
        <x:f>'Raw Results'!N25-'Raw Results'!J25</x:f>
        <x:v>0.002389199973549694</x:v>
      </x:c>
      <x:c r="H25" s="69" t="str">
        <x:f>IF(G25&lt;0,"Zoomed Collision",IF(G25&gt;0,"Zoomed Entropy","Tie"))</x:f>
        <x:v>Zoomed Entropy</x:v>
      </x:c>
      <x:c r="I25" s="71" t="n">
        <x:f>IF('Raw Results'!J25=0,"",'Raw Results'!N25/'Raw Results'!J25)</x:f>
        <x:v>1.1334360951747724</x:v>
      </x:c>
      <x:c r="J25" s="69" t="str">
        <x:f>IF(AND('Raw Results'!K25="True",'Raw Results'!O25="True"),"Both valid",IF('Raw Results'!K25="True","Entropy only",IF('Raw Results'!O25="True","Collision only","Neither valid")))</x:f>
        <x:v>Both valid</x:v>
      </x:c>
    </x:row>
    <x:row r="26">
      <x:c r="A26" s="66" t="str">
        <x:f>'Raw Results'!A26</x:f>
        <x:v>100</x:v>
      </x:c>
      <x:c r="B26" s="67" t="str">
        <x:f>'Raw Results'!B26</x:f>
        <x:v>0.1</x:v>
      </x:c>
      <x:c r="C26" s="66" t="str">
        <x:f>'Raw Results'!C26</x:f>
        <x:v>5</x:v>
      </x:c>
      <x:c r="D26" s="66" t="n">
        <x:f>IF(AND('Raw Results'!K26="True",'Raw Results'!O26="True"),1,0)</x:f>
        <x:v>0</x:v>
      </x:c>
      <x:c r="E26" s="68" t="n">
        <x:f>'Raw Results'!M26-'Raw Results'!I26</x:f>
        <x:v>-4</x:v>
      </x:c>
      <x:c r="F26" s="69" t="str">
        <x:f>IF(D26=0,"Excluded",IF(E26&lt;0,"Zoomed Collision",IF(E26&gt;0,"Zoomed Entropy","Tie")))</x:f>
        <x:v>Excluded</x:v>
      </x:c>
      <x:c r="G26" s="70" t="n">
        <x:f>'Raw Results'!N26-'Raw Results'!J26</x:f>
        <x:v>-0.0029886000556871295</x:v>
      </x:c>
      <x:c r="H26" s="69" t="str">
        <x:f>IF(G26&lt;0,"Zoomed Collision",IF(G26&gt;0,"Zoomed Entropy","Tie"))</x:f>
        <x:v>Zoomed Collision</x:v>
      </x:c>
      <x:c r="I26" s="71" t="n">
        <x:f>IF('Raw Results'!J26=0,"",'Raw Results'!N26/'Raw Results'!J26)</x:f>
        <x:v>0.7514822377524936</x:v>
      </x:c>
      <x:c r="J26" s="69" t="str">
        <x:f>IF(AND('Raw Results'!K26="True",'Raw Results'!O26="True"),"Both valid",IF('Raw Results'!K26="True","Entropy only",IF('Raw Results'!O26="True","Collision only","Neither valid")))</x:f>
        <x:v>Neither valid</x:v>
      </x:c>
    </x:row>
    <x:row r="27">
      <x:c r="A27" s="66" t="str">
        <x:f>'Raw Results'!A27</x:f>
        <x:v>100</x:v>
      </x:c>
      <x:c r="B27" s="67" t="str">
        <x:f>'Raw Results'!B27</x:f>
        <x:v>0.3</x:v>
      </x:c>
      <x:c r="C27" s="66" t="str">
        <x:f>'Raw Results'!C27</x:f>
        <x:v>1</x:v>
      </x:c>
      <x:c r="D27" s="66" t="n">
        <x:f>IF(AND('Raw Results'!K27="True",'Raw Results'!O27="True"),1,0)</x:f>
        <x:v>1</x:v>
      </x:c>
      <x:c r="E27" s="68" t="n">
        <x:f>'Raw Results'!M27-'Raw Results'!I27</x:f>
        <x:v>-1</x:v>
      </x:c>
      <x:c r="F27" s="69" t="str">
        <x:f>IF(D27=0,"Excluded",IF(E27&lt;0,"Zoomed Collision",IF(E27&gt;0,"Zoomed Entropy","Tie")))</x:f>
        <x:v>Zoomed Collision</x:v>
      </x:c>
      <x:c r="G27" s="70" t="n">
        <x:f>'Raw Results'!N27-'Raw Results'!J27</x:f>
        <x:v>-0.0014762000064365566</x:v>
      </x:c>
      <x:c r="H27" s="69" t="str">
        <x:f>IF(G27&lt;0,"Zoomed Collision",IF(G27&gt;0,"Zoomed Entropy","Tie"))</x:f>
        <x:v>Zoomed Collision</x:v>
      </x:c>
      <x:c r="I27" s="71" t="n">
        <x:f>IF('Raw Results'!J27=0,"",'Raw Results'!N27/'Raw Results'!J27)</x:f>
        <x:v>0.9171074644763665</x:v>
      </x:c>
      <x:c r="J27" s="69" t="str">
        <x:f>IF(AND('Raw Results'!K27="True",'Raw Results'!O27="True"),"Both valid",IF('Raw Results'!K27="True","Entropy only",IF('Raw Results'!O27="True","Collision only","Neither valid")))</x:f>
        <x:v>Both valid</x:v>
      </x:c>
    </x:row>
    <x:row r="28">
      <x:c r="A28" s="66" t="str">
        <x:f>'Raw Results'!A28</x:f>
        <x:v>100</x:v>
      </x:c>
      <x:c r="B28" s="67" t="str">
        <x:f>'Raw Results'!B28</x:f>
        <x:v>0.3</x:v>
      </x:c>
      <x:c r="C28" s="66" t="str">
        <x:f>'Raw Results'!C28</x:f>
        <x:v>2</x:v>
      </x:c>
      <x:c r="D28" s="66" t="n">
        <x:f>IF(AND('Raw Results'!K28="True",'Raw Results'!O28="True"),1,0)</x:f>
        <x:v>0</x:v>
      </x:c>
      <x:c r="E28" s="68" t="n">
        <x:f>'Raw Results'!M28-'Raw Results'!I28</x:f>
        <x:v>35</x:v>
      </x:c>
      <x:c r="F28" s="69" t="str">
        <x:f>IF(D28=0,"Excluded",IF(E28&lt;0,"Zoomed Collision",IF(E28&gt;0,"Zoomed Entropy","Tie")))</x:f>
        <x:v>Excluded</x:v>
      </x:c>
      <x:c r="G28" s="70" t="n">
        <x:f>'Raw Results'!N28-'Raw Results'!J28</x:f>
        <x:v>-0.004398100019898266</x:v>
      </x:c>
      <x:c r="H28" s="69" t="str">
        <x:f>IF(G28&lt;0,"Zoomed Collision",IF(G28&gt;0,"Zoomed Entropy","Tie"))</x:f>
        <x:v>Zoomed Collision</x:v>
      </x:c>
      <x:c r="I28" s="71" t="n">
        <x:f>IF('Raw Results'!J28=0,"",'Raw Results'!N28/'Raw Results'!J28)</x:f>
        <x:v>0.7380290069523077</x:v>
      </x:c>
      <x:c r="J28" s="69" t="str">
        <x:f>IF(AND('Raw Results'!K28="True",'Raw Results'!O28="True"),"Both valid",IF('Raw Results'!K28="True","Entropy only",IF('Raw Results'!O28="True","Collision only","Neither valid")))</x:f>
        <x:v>Entropy only</x:v>
      </x:c>
    </x:row>
    <x:row r="29">
      <x:c r="A29" s="66" t="str">
        <x:f>'Raw Results'!A29</x:f>
        <x:v>100</x:v>
      </x:c>
      <x:c r="B29" s="67" t="str">
        <x:f>'Raw Results'!B29</x:f>
        <x:v>0.3</x:v>
      </x:c>
      <x:c r="C29" s="66" t="str">
        <x:f>'Raw Results'!C29</x:f>
        <x:v>3</x:v>
      </x:c>
      <x:c r="D29" s="66" t="n">
        <x:f>IF(AND('Raw Results'!K29="True",'Raw Results'!O29="True"),1,0)</x:f>
        <x:v>1</x:v>
      </x:c>
      <x:c r="E29" s="68" t="n">
        <x:f>'Raw Results'!M29-'Raw Results'!I29</x:f>
        <x:v>2</x:v>
      </x:c>
      <x:c r="F29" s="69" t="str">
        <x:f>IF(D29=0,"Excluded",IF(E29&lt;0,"Zoomed Collision",IF(E29&gt;0,"Zoomed Entropy","Tie")))</x:f>
        <x:v>Zoomed Entropy</x:v>
      </x:c>
      <x:c r="G29" s="70" t="n">
        <x:f>'Raw Results'!N29-'Raw Results'!J29</x:f>
        <x:v>-0.008178400050383061</x:v>
      </x:c>
      <x:c r="H29" s="69" t="str">
        <x:f>IF(G29&lt;0,"Zoomed Collision",IF(G29&gt;0,"Zoomed Entropy","Tie"))</x:f>
        <x:v>Zoomed Collision</x:v>
      </x:c>
      <x:c r="I29" s="71" t="n">
        <x:f>IF('Raw Results'!J29=0,"",'Raw Results'!N29/'Raw Results'!J29)</x:f>
        <x:v>0.663905051205057</x:v>
      </x:c>
      <x:c r="J29" s="69" t="str">
        <x:f>IF(AND('Raw Results'!K29="True",'Raw Results'!O29="True"),"Both valid",IF('Raw Results'!K29="True","Entropy only",IF('Raw Results'!O29="True","Collision only","Neither valid")))</x:f>
        <x:v>Both valid</x:v>
      </x:c>
    </x:row>
    <x:row r="30">
      <x:c r="A30" s="66" t="str">
        <x:f>'Raw Results'!A30</x:f>
        <x:v>100</x:v>
      </x:c>
      <x:c r="B30" s="67" t="str">
        <x:f>'Raw Results'!B30</x:f>
        <x:v>0.3</x:v>
      </x:c>
      <x:c r="C30" s="66" t="str">
        <x:f>'Raw Results'!C30</x:f>
        <x:v>4</x:v>
      </x:c>
      <x:c r="D30" s="66" t="n">
        <x:f>IF(AND('Raw Results'!K30="True",'Raw Results'!O30="True"),1,0)</x:f>
        <x:v>1</x:v>
      </x:c>
      <x:c r="E30" s="68" t="n">
        <x:f>'Raw Results'!M30-'Raw Results'!I30</x:f>
        <x:v>0</x:v>
      </x:c>
      <x:c r="F30" s="69" t="str">
        <x:f>IF(D30=0,"Excluded",IF(E30&lt;0,"Zoomed Collision",IF(E30&gt;0,"Zoomed Entropy","Tie")))</x:f>
        <x:v>Tie</x:v>
      </x:c>
      <x:c r="G30" s="70" t="n">
        <x:f>'Raw Results'!N30-'Raw Results'!J30</x:f>
        <x:v>-0.002756499976385385</x:v>
      </x:c>
      <x:c r="H30" s="69" t="str">
        <x:f>IF(G30&lt;0,"Zoomed Collision",IF(G30&gt;0,"Zoomed Entropy","Tie"))</x:f>
        <x:v>Zoomed Collision</x:v>
      </x:c>
      <x:c r="I30" s="71" t="n">
        <x:f>IF('Raw Results'!J30=0,"",'Raw Results'!N30/'Raw Results'!J30)</x:f>
        <x:v>0.902623324623343</x:v>
      </x:c>
      <x:c r="J30" s="69" t="str">
        <x:f>IF(AND('Raw Results'!K30="True",'Raw Results'!O30="True"),"Both valid",IF('Raw Results'!K30="True","Entropy only",IF('Raw Results'!O30="True","Collision only","Neither valid")))</x:f>
        <x:v>Both valid</x:v>
      </x:c>
    </x:row>
    <x:row r="31">
      <x:c r="A31" s="66" t="str">
        <x:f>'Raw Results'!A31</x:f>
        <x:v>100</x:v>
      </x:c>
      <x:c r="B31" s="67" t="str">
        <x:f>'Raw Results'!B31</x:f>
        <x:v>0.3</x:v>
      </x:c>
      <x:c r="C31" s="66" t="str">
        <x:f>'Raw Results'!C31</x:f>
        <x:v>5</x:v>
      </x:c>
      <x:c r="D31" s="66" t="n">
        <x:f>IF(AND('Raw Results'!K31="True",'Raw Results'!O31="True"),1,0)</x:f>
        <x:v>1</x:v>
      </x:c>
      <x:c r="E31" s="68" t="n">
        <x:f>'Raw Results'!M31-'Raw Results'!I31</x:f>
        <x:v>2</x:v>
      </x:c>
      <x:c r="F31" s="69" t="str">
        <x:f>IF(D31=0,"Excluded",IF(E31&lt;0,"Zoomed Collision",IF(E31&gt;0,"Zoomed Entropy","Tie")))</x:f>
        <x:v>Zoomed Entropy</x:v>
      </x:c>
      <x:c r="G31" s="70" t="n">
        <x:f>'Raw Results'!N31-'Raw Results'!J31</x:f>
        <x:v>-0.00383869995130226</x:v>
      </x:c>
      <x:c r="H31" s="69" t="str">
        <x:f>IF(G31&lt;0,"Zoomed Collision",IF(G31&gt;0,"Zoomed Entropy","Tie"))</x:f>
        <x:v>Zoomed Collision</x:v>
      </x:c>
      <x:c r="I31" s="71" t="n">
        <x:f>IF('Raw Results'!J31=0,"",'Raw Results'!N31/'Raw Results'!J31)</x:f>
        <x:v>0.8563048882514425</x:v>
      </x:c>
      <x:c r="J31" s="69" t="str">
        <x:f>IF(AND('Raw Results'!K31="True",'Raw Results'!O31="True"),"Both valid",IF('Raw Results'!K31="True","Entropy only",IF('Raw Results'!O31="True","Collision only","Neither valid")))</x:f>
        <x:v>Both valid</x:v>
      </x:c>
    </x:row>
    <x:row r="32">
      <x:c r="A32" s="66" t="str">
        <x:f>'Raw Results'!A32</x:f>
        <x:v>100</x:v>
      </x:c>
      <x:c r="B32" s="67" t="str">
        <x:f>'Raw Results'!B32</x:f>
        <x:v>0.5</x:v>
      </x:c>
      <x:c r="C32" s="66" t="str">
        <x:f>'Raw Results'!C32</x:f>
        <x:v>1</x:v>
      </x:c>
      <x:c r="D32" s="66" t="n">
        <x:f>IF(AND('Raw Results'!K32="True",'Raw Results'!O32="True"),1,0)</x:f>
        <x:v>1</x:v>
      </x:c>
      <x:c r="E32" s="68" t="n">
        <x:f>'Raw Results'!M32-'Raw Results'!I32</x:f>
        <x:v>2</x:v>
      </x:c>
      <x:c r="F32" s="69" t="str">
        <x:f>IF(D32=0,"Excluded",IF(E32&lt;0,"Zoomed Collision",IF(E32&gt;0,"Zoomed Entropy","Tie")))</x:f>
        <x:v>Zoomed Entropy</x:v>
      </x:c>
      <x:c r="G32" s="70" t="n">
        <x:f>'Raw Results'!N32-'Raw Results'!J32</x:f>
        <x:v>-0.005395100044552237</x:v>
      </x:c>
      <x:c r="H32" s="69" t="str">
        <x:f>IF(G32&lt;0,"Zoomed Collision",IF(G32&gt;0,"Zoomed Entropy","Tie"))</x:f>
        <x:v>Zoomed Collision</x:v>
      </x:c>
      <x:c r="I32" s="71" t="n">
        <x:f>IF('Raw Results'!J32=0,"",'Raw Results'!N32/'Raw Results'!J32)</x:f>
        <x:v>0.863524369323618</x:v>
      </x:c>
      <x:c r="J32" s="69" t="str">
        <x:f>IF(AND('Raw Results'!K32="True",'Raw Results'!O32="True"),"Both valid",IF('Raw Results'!K32="True","Entropy only",IF('Raw Results'!O32="True","Collision only","Neither valid")))</x:f>
        <x:v>Both valid</x:v>
      </x:c>
    </x:row>
    <x:row r="33">
      <x:c r="A33" s="66" t="str">
        <x:f>'Raw Results'!A33</x:f>
        <x:v>100</x:v>
      </x:c>
      <x:c r="B33" s="67" t="str">
        <x:f>'Raw Results'!B33</x:f>
        <x:v>0.5</x:v>
      </x:c>
      <x:c r="C33" s="66" t="str">
        <x:f>'Raw Results'!C33</x:f>
        <x:v>2</x:v>
      </x:c>
      <x:c r="D33" s="66" t="n">
        <x:f>IF(AND('Raw Results'!K33="True",'Raw Results'!O33="True"),1,0)</x:f>
        <x:v>1</x:v>
      </x:c>
      <x:c r="E33" s="68" t="n">
        <x:f>'Raw Results'!M33-'Raw Results'!I33</x:f>
        <x:v>-2</x:v>
      </x:c>
      <x:c r="F33" s="69" t="str">
        <x:f>IF(D33=0,"Excluded",IF(E33&lt;0,"Zoomed Collision",IF(E33&gt;0,"Zoomed Entropy","Tie")))</x:f>
        <x:v>Zoomed Collision</x:v>
      </x:c>
      <x:c r="G33" s="70" t="n">
        <x:f>'Raw Results'!N33-'Raw Results'!J33</x:f>
        <x:v>-0.00549219996901229</x:v>
      </x:c>
      <x:c r="H33" s="69" t="str">
        <x:f>IF(G33&lt;0,"Zoomed Collision",IF(G33&gt;0,"Zoomed Entropy","Tie"))</x:f>
        <x:v>Zoomed Collision</x:v>
      </x:c>
      <x:c r="I33" s="71" t="n">
        <x:f>IF('Raw Results'!J33=0,"",'Raw Results'!N33/'Raw Results'!J33)</x:f>
        <x:v>0.8853477129370966</x:v>
      </x:c>
      <x:c r="J33" s="69" t="str">
        <x:f>IF(AND('Raw Results'!K33="True",'Raw Results'!O33="True"),"Both valid",IF('Raw Results'!K33="True","Entropy only",IF('Raw Results'!O33="True","Collision only","Neither valid")))</x:f>
        <x:v>Both valid</x:v>
      </x:c>
    </x:row>
    <x:row r="34">
      <x:c r="A34" s="66" t="str">
        <x:f>'Raw Results'!A34</x:f>
        <x:v>100</x:v>
      </x:c>
      <x:c r="B34" s="67" t="str">
        <x:f>'Raw Results'!B34</x:f>
        <x:v>0.5</x:v>
      </x:c>
      <x:c r="C34" s="66" t="str">
        <x:f>'Raw Results'!C34</x:f>
        <x:v>3</x:v>
      </x:c>
      <x:c r="D34" s="66" t="n">
        <x:f>IF(AND('Raw Results'!K34="True",'Raw Results'!O34="True"),1,0)</x:f>
        <x:v>1</x:v>
      </x:c>
      <x:c r="E34" s="68" t="n">
        <x:f>'Raw Results'!M34-'Raw Results'!I34</x:f>
        <x:v>0</x:v>
      </x:c>
      <x:c r="F34" s="69" t="str">
        <x:f>IF(D34=0,"Excluded",IF(E34&lt;0,"Zoomed Collision",IF(E34&gt;0,"Zoomed Entropy","Tie")))</x:f>
        <x:v>Tie</x:v>
      </x:c>
      <x:c r="G34" s="70" t="n">
        <x:f>'Raw Results'!N34-'Raw Results'!J34</x:f>
        <x:v>-0.009240099985618144</x:v>
      </x:c>
      <x:c r="H34" s="69" t="str">
        <x:f>IF(G34&lt;0,"Zoomed Collision",IF(G34&gt;0,"Zoomed Entropy","Tie"))</x:f>
        <x:v>Zoomed Collision</x:v>
      </x:c>
      <x:c r="I34" s="71" t="n">
        <x:f>IF('Raw Results'!J34=0,"",'Raw Results'!N34/'Raw Results'!J34)</x:f>
        <x:v>0.7973208922370889</x:v>
      </x:c>
      <x:c r="J34" s="69" t="str">
        <x:f>IF(AND('Raw Results'!K34="True",'Raw Results'!O34="True"),"Both valid",IF('Raw Results'!K34="True","Entropy only",IF('Raw Results'!O34="True","Collision only","Neither valid")))</x:f>
        <x:v>Both valid</x:v>
      </x:c>
    </x:row>
    <x:row r="35">
      <x:c r="A35" s="66" t="str">
        <x:f>'Raw Results'!A35</x:f>
        <x:v>100</x:v>
      </x:c>
      <x:c r="B35" s="67" t="str">
        <x:f>'Raw Results'!B35</x:f>
        <x:v>0.5</x:v>
      </x:c>
      <x:c r="C35" s="66" t="str">
        <x:f>'Raw Results'!C35</x:f>
        <x:v>4</x:v>
      </x:c>
      <x:c r="D35" s="66" t="n">
        <x:f>IF(AND('Raw Results'!K35="True",'Raw Results'!O35="True"),1,0)</x:f>
        <x:v>1</x:v>
      </x:c>
      <x:c r="E35" s="68" t="n">
        <x:f>'Raw Results'!M35-'Raw Results'!I35</x:f>
        <x:v>-1</x:v>
      </x:c>
      <x:c r="F35" s="69" t="str">
        <x:f>IF(D35=0,"Excluded",IF(E35&lt;0,"Zoomed Collision",IF(E35&gt;0,"Zoomed Entropy","Tie")))</x:f>
        <x:v>Zoomed Collision</x:v>
      </x:c>
      <x:c r="G35" s="70" t="n">
        <x:f>'Raw Results'!N35-'Raw Results'!J35</x:f>
        <x:v>-0.026192700024694204</x:v>
      </x:c>
      <x:c r="H35" s="69" t="str">
        <x:f>IF(G35&lt;0,"Zoomed Collision",IF(G35&gt;0,"Zoomed Entropy","Tie"))</x:f>
        <x:v>Zoomed Collision</x:v>
      </x:c>
      <x:c r="I35" s="71" t="n">
        <x:f>IF('Raw Results'!J35=0,"",'Raw Results'!N35/'Raw Results'!J35)</x:f>
        <x:v>0.665334445561337</x:v>
      </x:c>
      <x:c r="J35" s="69" t="str">
        <x:f>IF(AND('Raw Results'!K35="True",'Raw Results'!O35="True"),"Both valid",IF('Raw Results'!K35="True","Entropy only",IF('Raw Results'!O35="True","Collision only","Neither valid")))</x:f>
        <x:v>Both valid</x:v>
      </x:c>
    </x:row>
    <x:row r="36">
      <x:c r="A36" s="66" t="str">
        <x:f>'Raw Results'!A36</x:f>
        <x:v>100</x:v>
      </x:c>
      <x:c r="B36" s="67" t="str">
        <x:f>'Raw Results'!B36</x:f>
        <x:v>0.5</x:v>
      </x:c>
      <x:c r="C36" s="66" t="str">
        <x:f>'Raw Results'!C36</x:f>
        <x:v>5</x:v>
      </x:c>
      <x:c r="D36" s="66" t="n">
        <x:f>IF(AND('Raw Results'!K36="True",'Raw Results'!O36="True"),1,0)</x:f>
        <x:v>1</x:v>
      </x:c>
      <x:c r="E36" s="68" t="n">
        <x:f>'Raw Results'!M36-'Raw Results'!I36</x:f>
        <x:v>-2</x:v>
      </x:c>
      <x:c r="F36" s="69" t="str">
        <x:f>IF(D36=0,"Excluded",IF(E36&lt;0,"Zoomed Collision",IF(E36&gt;0,"Zoomed Entropy","Tie")))</x:f>
        <x:v>Zoomed Collision</x:v>
      </x:c>
      <x:c r="G36" s="70" t="n">
        <x:f>'Raw Results'!N36-'Raw Results'!J36</x:f>
        <x:v>-0.020782999927178025</x:v>
      </x:c>
      <x:c r="H36" s="69" t="str">
        <x:f>IF(G36&lt;0,"Zoomed Collision",IF(G36&gt;0,"Zoomed Entropy","Tie"))</x:f>
        <x:v>Zoomed Collision</x:v>
      </x:c>
      <x:c r="I36" s="71" t="n">
        <x:f>IF('Raw Results'!J36=0,"",'Raw Results'!N36/'Raw Results'!J36)</x:f>
        <x:v>0.7628494135671628</x:v>
      </x:c>
      <x:c r="J36" s="69" t="str">
        <x:f>IF(AND('Raw Results'!K36="True",'Raw Results'!O36="True"),"Both valid",IF('Raw Results'!K36="True","Entropy only",IF('Raw Results'!O36="True","Collision only","Neither valid")))</x:f>
        <x:v>Both valid</x:v>
      </x:c>
    </x:row>
    <x:row r="37">
      <x:c r="A37" s="66" t="str">
        <x:f>'Raw Results'!A37</x:f>
        <x:v>100</x:v>
      </x:c>
      <x:c r="B37" s="67" t="str">
        <x:f>'Raw Results'!B37</x:f>
        <x:v>0.7</x:v>
      </x:c>
      <x:c r="C37" s="66" t="str">
        <x:f>'Raw Results'!C37</x:f>
        <x:v>1</x:v>
      </x:c>
      <x:c r="D37" s="66" t="n">
        <x:f>IF(AND('Raw Results'!K37="True",'Raw Results'!O37="True"),1,0)</x:f>
        <x:v>1</x:v>
      </x:c>
      <x:c r="E37" s="68" t="n">
        <x:f>'Raw Results'!M37-'Raw Results'!I37</x:f>
        <x:v>-4</x:v>
      </x:c>
      <x:c r="F37" s="69" t="str">
        <x:f>IF(D37=0,"Excluded",IF(E37&lt;0,"Zoomed Collision",IF(E37&gt;0,"Zoomed Entropy","Tie")))</x:f>
        <x:v>Zoomed Collision</x:v>
      </x:c>
      <x:c r="G37" s="70" t="n">
        <x:f>'Raw Results'!N37-'Raw Results'!J37</x:f>
        <x:v>-0.04433380003320053</x:v>
      </x:c>
      <x:c r="H37" s="69" t="str">
        <x:f>IF(G37&lt;0,"Zoomed Collision",IF(G37&gt;0,"Zoomed Entropy","Tie"))</x:f>
        <x:v>Zoomed Collision</x:v>
      </x:c>
      <x:c r="I37" s="71" t="n">
        <x:f>IF('Raw Results'!J37=0,"",'Raw Results'!N37/'Raw Results'!J37)</x:f>
        <x:v>0.6668337488493921</x:v>
      </x:c>
      <x:c r="J37" s="69" t="str">
        <x:f>IF(AND('Raw Results'!K37="True",'Raw Results'!O37="True"),"Both valid",IF('Raw Results'!K37="True","Entropy only",IF('Raw Results'!O37="True","Collision only","Neither valid")))</x:f>
        <x:v>Both valid</x:v>
      </x:c>
    </x:row>
    <x:row r="38">
      <x:c r="A38" s="66" t="str">
        <x:f>'Raw Results'!A38</x:f>
        <x:v>100</x:v>
      </x:c>
      <x:c r="B38" s="67" t="str">
        <x:f>'Raw Results'!B38</x:f>
        <x:v>0.7</x:v>
      </x:c>
      <x:c r="C38" s="66" t="str">
        <x:f>'Raw Results'!C38</x:f>
        <x:v>2</x:v>
      </x:c>
      <x:c r="D38" s="66" t="n">
        <x:f>IF(AND('Raw Results'!K38="True",'Raw Results'!O38="True"),1,0)</x:f>
        <x:v>1</x:v>
      </x:c>
      <x:c r="E38" s="68" t="n">
        <x:f>'Raw Results'!M38-'Raw Results'!I38</x:f>
        <x:v>-5</x:v>
      </x:c>
      <x:c r="F38" s="69" t="str">
        <x:f>IF(D38=0,"Excluded",IF(E38&lt;0,"Zoomed Collision",IF(E38&gt;0,"Zoomed Entropy","Tie")))</x:f>
        <x:v>Zoomed Collision</x:v>
      </x:c>
      <x:c r="G38" s="70" t="n">
        <x:f>'Raw Results'!N38-'Raw Results'!J38</x:f>
        <x:v>-0.023171399952843785</x:v>
      </x:c>
      <x:c r="H38" s="69" t="str">
        <x:f>IF(G38&lt;0,"Zoomed Collision",IF(G38&gt;0,"Zoomed Entropy","Tie"))</x:f>
        <x:v>Zoomed Collision</x:v>
      </x:c>
      <x:c r="I38" s="71" t="n">
        <x:f>IF('Raw Results'!J38=0,"",'Raw Results'!N38/'Raw Results'!J38)</x:f>
        <x:v>0.8180581851897857</x:v>
      </x:c>
      <x:c r="J38" s="69" t="str">
        <x:f>IF(AND('Raw Results'!K38="True",'Raw Results'!O38="True"),"Both valid",IF('Raw Results'!K38="True","Entropy only",IF('Raw Results'!O38="True","Collision only","Neither valid")))</x:f>
        <x:v>Both valid</x:v>
      </x:c>
    </x:row>
    <x:row r="39">
      <x:c r="A39" s="66" t="str">
        <x:f>'Raw Results'!A39</x:f>
        <x:v>100</x:v>
      </x:c>
      <x:c r="B39" s="67" t="str">
        <x:f>'Raw Results'!B39</x:f>
        <x:v>0.7</x:v>
      </x:c>
      <x:c r="C39" s="66" t="str">
        <x:f>'Raw Results'!C39</x:f>
        <x:v>3</x:v>
      </x:c>
      <x:c r="D39" s="66" t="n">
        <x:f>IF(AND('Raw Results'!K39="True",'Raw Results'!O39="True"),1,0)</x:f>
        <x:v>1</x:v>
      </x:c>
      <x:c r="E39" s="68" t="n">
        <x:f>'Raw Results'!M39-'Raw Results'!I39</x:f>
        <x:v>-3</x:v>
      </x:c>
      <x:c r="F39" s="69" t="str">
        <x:f>IF(D39=0,"Excluded",IF(E39&lt;0,"Zoomed Collision",IF(E39&gt;0,"Zoomed Entropy","Tie")))</x:f>
        <x:v>Zoomed Collision</x:v>
      </x:c>
      <x:c r="G39" s="70" t="n">
        <x:f>'Raw Results'!N39-'Raw Results'!J39</x:f>
        <x:v>-0.021920699975453317</x:v>
      </x:c>
      <x:c r="H39" s="69" t="str">
        <x:f>IF(G39&lt;0,"Zoomed Collision",IF(G39&gt;0,"Zoomed Entropy","Tie"))</x:f>
        <x:v>Zoomed Collision</x:v>
      </x:c>
      <x:c r="I39" s="71" t="n">
        <x:f>IF('Raw Results'!J39=0,"",'Raw Results'!N39/'Raw Results'!J39)</x:f>
        <x:v>0.8364756558328466</x:v>
      </x:c>
      <x:c r="J39" s="69" t="str">
        <x:f>IF(AND('Raw Results'!K39="True",'Raw Results'!O39="True"),"Both valid",IF('Raw Results'!K39="True","Entropy only",IF('Raw Results'!O39="True","Collision only","Neither valid")))</x:f>
        <x:v>Both valid</x:v>
      </x:c>
    </x:row>
    <x:row r="40">
      <x:c r="A40" s="66" t="str">
        <x:f>'Raw Results'!A40</x:f>
        <x:v>100</x:v>
      </x:c>
      <x:c r="B40" s="67" t="str">
        <x:f>'Raw Results'!B40</x:f>
        <x:v>0.7</x:v>
      </x:c>
      <x:c r="C40" s="66" t="str">
        <x:f>'Raw Results'!C40</x:f>
        <x:v>4</x:v>
      </x:c>
      <x:c r="D40" s="66" t="n">
        <x:f>IF(AND('Raw Results'!K40="True",'Raw Results'!O40="True"),1,0)</x:f>
        <x:v>1</x:v>
      </x:c>
      <x:c r="E40" s="68" t="n">
        <x:f>'Raw Results'!M40-'Raw Results'!I40</x:f>
        <x:v>-2</x:v>
      </x:c>
      <x:c r="F40" s="69" t="str">
        <x:f>IF(D40=0,"Excluded",IF(E40&lt;0,"Zoomed Collision",IF(E40&gt;0,"Zoomed Entropy","Tie")))</x:f>
        <x:v>Zoomed Collision</x:v>
      </x:c>
      <x:c r="G40" s="70" t="n">
        <x:f>'Raw Results'!N40-'Raw Results'!J40</x:f>
        <x:v>0.006590300006791949</x:v>
      </x:c>
      <x:c r="H40" s="69" t="str">
        <x:f>IF(G40&lt;0,"Zoomed Collision",IF(G40&gt;0,"Zoomed Entropy","Tie"))</x:f>
        <x:v>Zoomed Entropy</x:v>
      </x:c>
      <x:c r="I40" s="71" t="n">
        <x:f>IF('Raw Results'!J40=0,"",'Raw Results'!N40/'Raw Results'!J40)</x:f>
        <x:v>1.0792528207011198</x:v>
      </x:c>
      <x:c r="J40" s="69" t="str">
        <x:f>IF(AND('Raw Results'!K40="True",'Raw Results'!O40="True"),"Both valid",IF('Raw Results'!K40="True","Entropy only",IF('Raw Results'!O40="True","Collision only","Neither valid")))</x:f>
        <x:v>Both valid</x:v>
      </x:c>
    </x:row>
    <x:row r="41">
      <x:c r="A41" s="66" t="str">
        <x:f>'Raw Results'!A41</x:f>
        <x:v>100</x:v>
      </x:c>
      <x:c r="B41" s="67" t="str">
        <x:f>'Raw Results'!B41</x:f>
        <x:v>0.7</x:v>
      </x:c>
      <x:c r="C41" s="66" t="str">
        <x:f>'Raw Results'!C41</x:f>
        <x:v>5</x:v>
      </x:c>
      <x:c r="D41" s="66" t="n">
        <x:f>IF(AND('Raw Results'!K41="True",'Raw Results'!O41="True"),1,0)</x:f>
        <x:v>1</x:v>
      </x:c>
      <x:c r="E41" s="68" t="n">
        <x:f>'Raw Results'!M41-'Raw Results'!I41</x:f>
        <x:v>1</x:v>
      </x:c>
      <x:c r="F41" s="69" t="str">
        <x:f>IF(D41=0,"Excluded",IF(E41&lt;0,"Zoomed Collision",IF(E41&gt;0,"Zoomed Entropy","Tie")))</x:f>
        <x:v>Zoomed Entropy</x:v>
      </x:c>
      <x:c r="G41" s="70" t="n">
        <x:f>'Raw Results'!N41-'Raw Results'!J41</x:f>
        <x:v>-0.012372200028039515</x:v>
      </x:c>
      <x:c r="H41" s="69" t="str">
        <x:f>IF(G41&lt;0,"Zoomed Collision",IF(G41&gt;0,"Zoomed Entropy","Tie"))</x:f>
        <x:v>Zoomed Collision</x:v>
      </x:c>
      <x:c r="I41" s="71" t="n">
        <x:f>IF('Raw Results'!J41=0,"",'Raw Results'!N41/'Raw Results'!J41)</x:f>
        <x:v>0.8430236612147154</x:v>
      </x:c>
      <x:c r="J41" s="69" t="str">
        <x:f>IF(AND('Raw Results'!K41="True",'Raw Results'!O41="True"),"Both valid",IF('Raw Results'!K41="True","Entropy only",IF('Raw Results'!O41="True","Collision only","Neither valid")))</x:f>
        <x:v>Both valid</x:v>
      </x:c>
    </x:row>
    <x:row r="42">
      <x:c r="A42" s="66" t="str">
        <x:f>'Raw Results'!A42</x:f>
        <x:v>200</x:v>
      </x:c>
      <x:c r="B42" s="67" t="str">
        <x:f>'Raw Results'!B42</x:f>
        <x:v>0.1</x:v>
      </x:c>
      <x:c r="C42" s="66" t="str">
        <x:f>'Raw Results'!C42</x:f>
        <x:v>1</x:v>
      </x:c>
      <x:c r="D42" s="66" t="n">
        <x:f>IF(AND('Raw Results'!K42="True",'Raw Results'!O42="True"),1,0)</x:f>
        <x:v>1</x:v>
      </x:c>
      <x:c r="E42" s="68" t="n">
        <x:f>'Raw Results'!M42-'Raw Results'!I42</x:f>
        <x:v>1</x:v>
      </x:c>
      <x:c r="F42" s="69" t="str">
        <x:f>IF(D42=0,"Excluded",IF(E42&lt;0,"Zoomed Collision",IF(E42&gt;0,"Zoomed Entropy","Tie")))</x:f>
        <x:v>Zoomed Entropy</x:v>
      </x:c>
      <x:c r="G42" s="70" t="n">
        <x:f>'Raw Results'!N42-'Raw Results'!J42</x:f>
        <x:v>-0.0004477000329643488</x:v>
      </x:c>
      <x:c r="H42" s="69" t="str">
        <x:f>IF(G42&lt;0,"Zoomed Collision",IF(G42&gt;0,"Zoomed Entropy","Tie"))</x:f>
        <x:v>Zoomed Collision</x:v>
      </x:c>
      <x:c r="I42" s="71" t="n">
        <x:f>IF('Raw Results'!J42=0,"",'Raw Results'!N42/'Raw Results'!J42)</x:f>
        <x:v>0.9965856639617013</x:v>
      </x:c>
      <x:c r="J42" s="69" t="str">
        <x:f>IF(AND('Raw Results'!K42="True",'Raw Results'!O42="True"),"Both valid",IF('Raw Results'!K42="True","Entropy only",IF('Raw Results'!O42="True","Collision only","Neither valid")))</x:f>
        <x:v>Both valid</x:v>
      </x:c>
    </x:row>
    <x:row r="43">
      <x:c r="A43" s="66" t="str">
        <x:f>'Raw Results'!A43</x:f>
        <x:v>200</x:v>
      </x:c>
      <x:c r="B43" s="67" t="str">
        <x:f>'Raw Results'!B43</x:f>
        <x:v>0.1</x:v>
      </x:c>
      <x:c r="C43" s="66" t="str">
        <x:f>'Raw Results'!C43</x:f>
        <x:v>2</x:v>
      </x:c>
      <x:c r="D43" s="66" t="n">
        <x:f>IF(AND('Raw Results'!K43="True",'Raw Results'!O43="True"),1,0)</x:f>
        <x:v>1</x:v>
      </x:c>
      <x:c r="E43" s="68" t="n">
        <x:f>'Raw Results'!M43-'Raw Results'!I43</x:f>
        <x:v>0</x:v>
      </x:c>
      <x:c r="F43" s="69" t="str">
        <x:f>IF(D43=0,"Excluded",IF(E43&lt;0,"Zoomed Collision",IF(E43&gt;0,"Zoomed Entropy","Tie")))</x:f>
        <x:v>Tie</x:v>
      </x:c>
      <x:c r="G43" s="70" t="n">
        <x:f>'Raw Results'!N43-'Raw Results'!J43</x:f>
        <x:v>-0.001297699986025691</x:v>
      </x:c>
      <x:c r="H43" s="69" t="str">
        <x:f>IF(G43&lt;0,"Zoomed Collision",IF(G43&gt;0,"Zoomed Entropy","Tie"))</x:f>
        <x:v>Zoomed Collision</x:v>
      </x:c>
      <x:c r="I43" s="71" t="n">
        <x:f>IF('Raw Results'!J43=0,"",'Raw Results'!N43/'Raw Results'!J43)</x:f>
        <x:v>0.9911171257596118</x:v>
      </x:c>
      <x:c r="J43" s="69" t="str">
        <x:f>IF(AND('Raw Results'!K43="True",'Raw Results'!O43="True"),"Both valid",IF('Raw Results'!K43="True","Entropy only",IF('Raw Results'!O43="True","Collision only","Neither valid")))</x:f>
        <x:v>Both valid</x:v>
      </x:c>
    </x:row>
    <x:row r="44">
      <x:c r="A44" s="66" t="str">
        <x:f>'Raw Results'!A44</x:f>
        <x:v>200</x:v>
      </x:c>
      <x:c r="B44" s="67" t="str">
        <x:f>'Raw Results'!B44</x:f>
        <x:v>0.1</x:v>
      </x:c>
      <x:c r="C44" s="66" t="str">
        <x:f>'Raw Results'!C44</x:f>
        <x:v>3</x:v>
      </x:c>
      <x:c r="D44" s="66" t="n">
        <x:f>IF(AND('Raw Results'!K44="True",'Raw Results'!O44="True"),1,0)</x:f>
        <x:v>1</x:v>
      </x:c>
      <x:c r="E44" s="68" t="n">
        <x:f>'Raw Results'!M44-'Raw Results'!I44</x:f>
        <x:v>-1</x:v>
      </x:c>
      <x:c r="F44" s="69" t="str">
        <x:f>IF(D44=0,"Excluded",IF(E44&lt;0,"Zoomed Collision",IF(E44&gt;0,"Zoomed Entropy","Tie")))</x:f>
        <x:v>Zoomed Collision</x:v>
      </x:c>
      <x:c r="G44" s="70" t="n">
        <x:f>'Raw Results'!N44-'Raw Results'!J44</x:f>
        <x:v>-0.01834380009677261</x:v>
      </x:c>
      <x:c r="H44" s="69" t="str">
        <x:f>IF(G44&lt;0,"Zoomed Collision",IF(G44&gt;0,"Zoomed Entropy","Tie"))</x:f>
        <x:v>Zoomed Collision</x:v>
      </x:c>
      <x:c r="I44" s="71" t="n">
        <x:f>IF('Raw Results'!J44=0,"",'Raw Results'!N44/'Raw Results'!J44)</x:f>
        <x:v>0.8803212253326518</x:v>
      </x:c>
      <x:c r="J44" s="69" t="str">
        <x:f>IF(AND('Raw Results'!K44="True",'Raw Results'!O44="True"),"Both valid",IF('Raw Results'!K44="True","Entropy only",IF('Raw Results'!O44="True","Collision only","Neither valid")))</x:f>
        <x:v>Both valid</x:v>
      </x:c>
    </x:row>
    <x:row r="45">
      <x:c r="A45" s="66" t="str">
        <x:f>'Raw Results'!A45</x:f>
        <x:v>200</x:v>
      </x:c>
      <x:c r="B45" s="67" t="str">
        <x:f>'Raw Results'!B45</x:f>
        <x:v>0.1</x:v>
      </x:c>
      <x:c r="C45" s="66" t="str">
        <x:f>'Raw Results'!C45</x:f>
        <x:v>4</x:v>
      </x:c>
      <x:c r="D45" s="66" t="n">
        <x:f>IF(AND('Raw Results'!K45="True",'Raw Results'!O45="True"),1,0)</x:f>
        <x:v>1</x:v>
      </x:c>
      <x:c r="E45" s="68" t="n">
        <x:f>'Raw Results'!M45-'Raw Results'!I45</x:f>
        <x:v>-1</x:v>
      </x:c>
      <x:c r="F45" s="69" t="str">
        <x:f>IF(D45=0,"Excluded",IF(E45&lt;0,"Zoomed Collision",IF(E45&gt;0,"Zoomed Entropy","Tie")))</x:f>
        <x:v>Zoomed Collision</x:v>
      </x:c>
      <x:c r="G45" s="70" t="n">
        <x:f>'Raw Results'!N45-'Raw Results'!J45</x:f>
        <x:v>0.01499240001430735</x:v>
      </x:c>
      <x:c r="H45" s="69" t="str">
        <x:f>IF(G45&lt;0,"Zoomed Collision",IF(G45&gt;0,"Zoomed Entropy","Tie"))</x:f>
        <x:v>Zoomed Entropy</x:v>
      </x:c>
      <x:c r="I45" s="71" t="n">
        <x:f>IF('Raw Results'!J45=0,"",'Raw Results'!N45/'Raw Results'!J45)</x:f>
        <x:v>1.1964011550999336</x:v>
      </x:c>
      <x:c r="J45" s="69" t="str">
        <x:f>IF(AND('Raw Results'!K45="True",'Raw Results'!O45="True"),"Both valid",IF('Raw Results'!K45="True","Entropy only",IF('Raw Results'!O45="True","Collision only","Neither valid")))</x:f>
        <x:v>Both valid</x:v>
      </x:c>
    </x:row>
    <x:row r="46">
      <x:c r="A46" s="66" t="str">
        <x:f>'Raw Results'!A46</x:f>
        <x:v>200</x:v>
      </x:c>
      <x:c r="B46" s="67" t="str">
        <x:f>'Raw Results'!B46</x:f>
        <x:v>0.1</x:v>
      </x:c>
      <x:c r="C46" s="66" t="str">
        <x:f>'Raw Results'!C46</x:f>
        <x:v>5</x:v>
      </x:c>
      <x:c r="D46" s="66" t="n">
        <x:f>IF(AND('Raw Results'!K46="True",'Raw Results'!O46="True"),1,0)</x:f>
        <x:v>1</x:v>
      </x:c>
      <x:c r="E46" s="68" t="n">
        <x:f>'Raw Results'!M46-'Raw Results'!I46</x:f>
        <x:v>1</x:v>
      </x:c>
      <x:c r="F46" s="69" t="str">
        <x:f>IF(D46=0,"Excluded",IF(E46&lt;0,"Zoomed Collision",IF(E46&gt;0,"Zoomed Entropy","Tie")))</x:f>
        <x:v>Zoomed Entropy</x:v>
      </x:c>
      <x:c r="G46" s="70" t="n">
        <x:f>'Raw Results'!N46-'Raw Results'!J46</x:f>
        <x:v>-0.03777620004257187</x:v>
      </x:c>
      <x:c r="H46" s="69" t="str">
        <x:f>IF(G46&lt;0,"Zoomed Collision",IF(G46&gt;0,"Zoomed Entropy","Tie"))</x:f>
        <x:v>Zoomed Collision</x:v>
      </x:c>
      <x:c r="I46" s="71" t="n">
        <x:f>IF('Raw Results'!J46=0,"",'Raw Results'!N46/'Raw Results'!J46)</x:f>
        <x:v>0.7568333919954492</x:v>
      </x:c>
      <x:c r="J46" s="69" t="str">
        <x:f>IF(AND('Raw Results'!K46="True",'Raw Results'!O46="True"),"Both valid",IF('Raw Results'!K46="True","Entropy only",IF('Raw Results'!O46="True","Collision only","Neither valid")))</x:f>
        <x:v>Both valid</x:v>
      </x:c>
    </x:row>
    <x:row r="47">
      <x:c r="A47" s="66" t="str">
        <x:f>'Raw Results'!A47</x:f>
        <x:v>200</x:v>
      </x:c>
      <x:c r="B47" s="67" t="str">
        <x:f>'Raw Results'!B47</x:f>
        <x:v>0.3</x:v>
      </x:c>
      <x:c r="C47" s="66" t="str">
        <x:f>'Raw Results'!C47</x:f>
        <x:v>1</x:v>
      </x:c>
      <x:c r="D47" s="66" t="n">
        <x:f>IF(AND('Raw Results'!K47="True",'Raw Results'!O47="True"),1,0)</x:f>
        <x:v>1</x:v>
      </x:c>
      <x:c r="E47" s="68" t="n">
        <x:f>'Raw Results'!M47-'Raw Results'!I47</x:f>
        <x:v>0</x:v>
      </x:c>
      <x:c r="F47" s="69" t="str">
        <x:f>IF(D47=0,"Excluded",IF(E47&lt;0,"Zoomed Collision",IF(E47&gt;0,"Zoomed Entropy","Tie")))</x:f>
        <x:v>Tie</x:v>
      </x:c>
      <x:c r="G47" s="70" t="n">
        <x:f>'Raw Results'!N47-'Raw Results'!J47</x:f>
        <x:v>-0.007757399987895042</x:v>
      </x:c>
      <x:c r="H47" s="69" t="str">
        <x:f>IF(G47&lt;0,"Zoomed Collision",IF(G47&gt;0,"Zoomed Entropy","Tie"))</x:f>
        <x:v>Zoomed Collision</x:v>
      </x:c>
      <x:c r="I47" s="71" t="n">
        <x:f>IF('Raw Results'!J47=0,"",'Raw Results'!N47/'Raw Results'!J47)</x:f>
        <x:v>0.939695562729183</x:v>
      </x:c>
      <x:c r="J47" s="69" t="str">
        <x:f>IF(AND('Raw Results'!K47="True",'Raw Results'!O47="True"),"Both valid",IF('Raw Results'!K47="True","Entropy only",IF('Raw Results'!O47="True","Collision only","Neither valid")))</x:f>
        <x:v>Both valid</x:v>
      </x:c>
    </x:row>
    <x:row r="48">
      <x:c r="A48" s="66" t="str">
        <x:f>'Raw Results'!A48</x:f>
        <x:v>200</x:v>
      </x:c>
      <x:c r="B48" s="67" t="str">
        <x:f>'Raw Results'!B48</x:f>
        <x:v>0.3</x:v>
      </x:c>
      <x:c r="C48" s="66" t="str">
        <x:f>'Raw Results'!C48</x:f>
        <x:v>2</x:v>
      </x:c>
      <x:c r="D48" s="66" t="n">
        <x:f>IF(AND('Raw Results'!K48="True",'Raw Results'!O48="True"),1,0)</x:f>
        <x:v>1</x:v>
      </x:c>
      <x:c r="E48" s="68" t="n">
        <x:f>'Raw Results'!M48-'Raw Results'!I48</x:f>
        <x:v>0</x:v>
      </x:c>
      <x:c r="F48" s="69" t="str">
        <x:f>IF(D48=0,"Excluded",IF(E48&lt;0,"Zoomed Collision",IF(E48&gt;0,"Zoomed Entropy","Tie")))</x:f>
        <x:v>Tie</x:v>
      </x:c>
      <x:c r="G48" s="70" t="n">
        <x:f>'Raw Results'!N48-'Raw Results'!J48</x:f>
        <x:v>-0.018931600032374263</x:v>
      </x:c>
      <x:c r="H48" s="69" t="str">
        <x:f>IF(G48&lt;0,"Zoomed Collision",IF(G48&gt;0,"Zoomed Entropy","Tie"))</x:f>
        <x:v>Zoomed Collision</x:v>
      </x:c>
      <x:c r="I48" s="71" t="n">
        <x:f>IF('Raw Results'!J48=0,"",'Raw Results'!N48/'Raw Results'!J48)</x:f>
        <x:v>0.8324211545060571</x:v>
      </x:c>
      <x:c r="J48" s="69" t="str">
        <x:f>IF(AND('Raw Results'!K48="True",'Raw Results'!O48="True"),"Both valid",IF('Raw Results'!K48="True","Entropy only",IF('Raw Results'!O48="True","Collision only","Neither valid")))</x:f>
        <x:v>Both valid</x:v>
      </x:c>
    </x:row>
    <x:row r="49">
      <x:c r="A49" s="66" t="str">
        <x:f>'Raw Results'!A49</x:f>
        <x:v>200</x:v>
      </x:c>
      <x:c r="B49" s="67" t="str">
        <x:f>'Raw Results'!B49</x:f>
        <x:v>0.3</x:v>
      </x:c>
      <x:c r="C49" s="66" t="str">
        <x:f>'Raw Results'!C49</x:f>
        <x:v>3</x:v>
      </x:c>
      <x:c r="D49" s="66" t="n">
        <x:f>IF(AND('Raw Results'!K49="True",'Raw Results'!O49="True"),1,0)</x:f>
        <x:v>1</x:v>
      </x:c>
      <x:c r="E49" s="68" t="n">
        <x:f>'Raw Results'!M49-'Raw Results'!I49</x:f>
        <x:v>-2</x:v>
      </x:c>
      <x:c r="F49" s="69" t="str">
        <x:f>IF(D49=0,"Excluded",IF(E49&lt;0,"Zoomed Collision",IF(E49&gt;0,"Zoomed Entropy","Tie")))</x:f>
        <x:v>Zoomed Collision</x:v>
      </x:c>
      <x:c r="G49" s="70" t="n">
        <x:f>'Raw Results'!N49-'Raw Results'!J49</x:f>
        <x:v>-0.03912210004637018</x:v>
      </x:c>
      <x:c r="H49" s="69" t="str">
        <x:f>IF(G49&lt;0,"Zoomed Collision",IF(G49&gt;0,"Zoomed Entropy","Tie"))</x:f>
        <x:v>Zoomed Collision</x:v>
      </x:c>
      <x:c r="I49" s="71" t="n">
        <x:f>IF('Raw Results'!J49=0,"",'Raw Results'!N49/'Raw Results'!J49)</x:f>
        <x:v>0.7750931310277024</x:v>
      </x:c>
      <x:c r="J49" s="69" t="str">
        <x:f>IF(AND('Raw Results'!K49="True",'Raw Results'!O49="True"),"Both valid",IF('Raw Results'!K49="True","Entropy only",IF('Raw Results'!O49="True","Collision only","Neither valid")))</x:f>
        <x:v>Both valid</x:v>
      </x:c>
    </x:row>
    <x:row r="50">
      <x:c r="A50" s="66" t="str">
        <x:f>'Raw Results'!A50</x:f>
        <x:v>200</x:v>
      </x:c>
      <x:c r="B50" s="67" t="str">
        <x:f>'Raw Results'!B50</x:f>
        <x:v>0.3</x:v>
      </x:c>
      <x:c r="C50" s="66" t="str">
        <x:f>'Raw Results'!C50</x:f>
        <x:v>4</x:v>
      </x:c>
      <x:c r="D50" s="66" t="n">
        <x:f>IF(AND('Raw Results'!K50="True",'Raw Results'!O50="True"),1,0)</x:f>
        <x:v>1</x:v>
      </x:c>
      <x:c r="E50" s="68" t="n">
        <x:f>'Raw Results'!M50-'Raw Results'!I50</x:f>
        <x:v>-2</x:v>
      </x:c>
      <x:c r="F50" s="69" t="str">
        <x:f>IF(D50=0,"Excluded",IF(E50&lt;0,"Zoomed Collision",IF(E50&gt;0,"Zoomed Entropy","Tie")))</x:f>
        <x:v>Zoomed Collision</x:v>
      </x:c>
      <x:c r="G50" s="70" t="n">
        <x:f>'Raw Results'!N50-'Raw Results'!J50</x:f>
        <x:v>-0.03377060004277155</x:v>
      </x:c>
      <x:c r="H50" s="69" t="str">
        <x:f>IF(G50&lt;0,"Zoomed Collision",IF(G50&gt;0,"Zoomed Entropy","Tie"))</x:f>
        <x:v>Zoomed Collision</x:v>
      </x:c>
      <x:c r="I50" s="71" t="n">
        <x:f>IF('Raw Results'!J50=0,"",'Raw Results'!N50/'Raw Results'!J50)</x:f>
        <x:v>0.7907716897030553</x:v>
      </x:c>
      <x:c r="J50" s="69" t="str">
        <x:f>IF(AND('Raw Results'!K50="True",'Raw Results'!O50="True"),"Both valid",IF('Raw Results'!K50="True","Entropy only",IF('Raw Results'!O50="True","Collision only","Neither valid")))</x:f>
        <x:v>Both valid</x:v>
      </x:c>
    </x:row>
    <x:row r="51">
      <x:c r="A51" s="66" t="str">
        <x:f>'Raw Results'!A51</x:f>
        <x:v>200</x:v>
      </x:c>
      <x:c r="B51" s="67" t="str">
        <x:f>'Raw Results'!B51</x:f>
        <x:v>0.3</x:v>
      </x:c>
      <x:c r="C51" s="66" t="str">
        <x:f>'Raw Results'!C51</x:f>
        <x:v>5</x:v>
      </x:c>
      <x:c r="D51" s="66" t="n">
        <x:f>IF(AND('Raw Results'!K51="True",'Raw Results'!O51="True"),1,0)</x:f>
        <x:v>1</x:v>
      </x:c>
      <x:c r="E51" s="68" t="n">
        <x:f>'Raw Results'!M51-'Raw Results'!I51</x:f>
        <x:v>-3</x:v>
      </x:c>
      <x:c r="F51" s="69" t="str">
        <x:f>IF(D51=0,"Excluded",IF(E51&lt;0,"Zoomed Collision",IF(E51&gt;0,"Zoomed Entropy","Tie")))</x:f>
        <x:v>Zoomed Collision</x:v>
      </x:c>
      <x:c r="G51" s="70" t="n">
        <x:f>'Raw Results'!N51-'Raw Results'!J51</x:f>
        <x:v>-0.08482290001120418</x:v>
      </x:c>
      <x:c r="H51" s="69" t="str">
        <x:f>IF(G51&lt;0,"Zoomed Collision",IF(G51&gt;0,"Zoomed Entropy","Tie"))</x:f>
        <x:v>Zoomed Collision</x:v>
      </x:c>
      <x:c r="I51" s="71" t="n">
        <x:f>IF('Raw Results'!J51=0,"",'Raw Results'!N51/'Raw Results'!J51)</x:f>
        <x:v>0.5581102644874281</x:v>
      </x:c>
      <x:c r="J51" s="69" t="str">
        <x:f>IF(AND('Raw Results'!K51="True",'Raw Results'!O51="True"),"Both valid",IF('Raw Results'!K51="True","Entropy only",IF('Raw Results'!O51="True","Collision only","Neither valid")))</x:f>
        <x:v>Both valid</x:v>
      </x:c>
    </x:row>
    <x:row r="52">
      <x:c r="A52" s="66" t="str">
        <x:f>'Raw Results'!A52</x:f>
        <x:v>200</x:v>
      </x:c>
      <x:c r="B52" s="67" t="str">
        <x:f>'Raw Results'!B52</x:f>
        <x:v>0.5</x:v>
      </x:c>
      <x:c r="C52" s="66" t="str">
        <x:f>'Raw Results'!C52</x:f>
        <x:v>1</x:v>
      </x:c>
      <x:c r="D52" s="66" t="n">
        <x:f>IF(AND('Raw Results'!K52="True",'Raw Results'!O52="True"),1,0)</x:f>
        <x:v>1</x:v>
      </x:c>
      <x:c r="E52" s="68" t="n">
        <x:f>'Raw Results'!M52-'Raw Results'!I52</x:f>
        <x:v>-2</x:v>
      </x:c>
      <x:c r="F52" s="69" t="str">
        <x:f>IF(D52=0,"Excluded",IF(E52&lt;0,"Zoomed Collision",IF(E52&gt;0,"Zoomed Entropy","Tie")))</x:f>
        <x:v>Zoomed Collision</x:v>
      </x:c>
      <x:c r="G52" s="70" t="n">
        <x:f>'Raw Results'!N52-'Raw Results'!J52</x:f>
        <x:v>-0.04993580002337694</x:v>
      </x:c>
      <x:c r="H52" s="69" t="str">
        <x:f>IF(G52&lt;0,"Zoomed Collision",IF(G52&gt;0,"Zoomed Entropy","Tie"))</x:f>
        <x:v>Zoomed Collision</x:v>
      </x:c>
      <x:c r="I52" s="71" t="n">
        <x:f>IF('Raw Results'!J52=0,"",'Raw Results'!N52/'Raw Results'!J52)</x:f>
        <x:v>0.8340680278147188</x:v>
      </x:c>
      <x:c r="J52" s="69" t="str">
        <x:f>IF(AND('Raw Results'!K52="True",'Raw Results'!O52="True"),"Both valid",IF('Raw Results'!K52="True","Entropy only",IF('Raw Results'!O52="True","Collision only","Neither valid")))</x:f>
        <x:v>Both valid</x:v>
      </x:c>
    </x:row>
    <x:row r="53">
      <x:c r="A53" s="66" t="str">
        <x:f>'Raw Results'!A53</x:f>
        <x:v>200</x:v>
      </x:c>
      <x:c r="B53" s="67" t="str">
        <x:f>'Raw Results'!B53</x:f>
        <x:v>0.5</x:v>
      </x:c>
      <x:c r="C53" s="66" t="str">
        <x:f>'Raw Results'!C53</x:f>
        <x:v>2</x:v>
      </x:c>
      <x:c r="D53" s="66" t="n">
        <x:f>IF(AND('Raw Results'!K53="True",'Raw Results'!O53="True"),1,0)</x:f>
        <x:v>1</x:v>
      </x:c>
      <x:c r="E53" s="68" t="n">
        <x:f>'Raw Results'!M53-'Raw Results'!I53</x:f>
        <x:v>-3</x:v>
      </x:c>
      <x:c r="F53" s="69" t="str">
        <x:f>IF(D53=0,"Excluded",IF(E53&lt;0,"Zoomed Collision",IF(E53&gt;0,"Zoomed Entropy","Tie")))</x:f>
        <x:v>Zoomed Collision</x:v>
      </x:c>
      <x:c r="G53" s="70" t="n">
        <x:f>'Raw Results'!N53-'Raw Results'!J53</x:f>
        <x:v>-0.05660640000132844</x:v>
      </x:c>
      <x:c r="H53" s="69" t="str">
        <x:f>IF(G53&lt;0,"Zoomed Collision",IF(G53&gt;0,"Zoomed Entropy","Tie"))</x:f>
        <x:v>Zoomed Collision</x:v>
      </x:c>
      <x:c r="I53" s="71" t="n">
        <x:f>IF('Raw Results'!J53=0,"",'Raw Results'!N53/'Raw Results'!J53)</x:f>
        <x:v>0.8862955419229451</x:v>
      </x:c>
      <x:c r="J53" s="69" t="str">
        <x:f>IF(AND('Raw Results'!K53="True",'Raw Results'!O53="True"),"Both valid",IF('Raw Results'!K53="True","Entropy only",IF('Raw Results'!O53="True","Collision only","Neither valid")))</x:f>
        <x:v>Both valid</x:v>
      </x:c>
    </x:row>
    <x:row r="54">
      <x:c r="A54" s="66" t="str">
        <x:f>'Raw Results'!A54</x:f>
        <x:v>200</x:v>
      </x:c>
      <x:c r="B54" s="67" t="str">
        <x:f>'Raw Results'!B54</x:f>
        <x:v>0.5</x:v>
      </x:c>
      <x:c r="C54" s="66" t="str">
        <x:f>'Raw Results'!C54</x:f>
        <x:v>3</x:v>
      </x:c>
      <x:c r="D54" s="66" t="n">
        <x:f>IF(AND('Raw Results'!K54="True",'Raw Results'!O54="True"),1,0)</x:f>
        <x:v>1</x:v>
      </x:c>
      <x:c r="E54" s="68" t="n">
        <x:f>'Raw Results'!M54-'Raw Results'!I54</x:f>
        <x:v>1</x:v>
      </x:c>
      <x:c r="F54" s="69" t="str">
        <x:f>IF(D54=0,"Excluded",IF(E54&lt;0,"Zoomed Collision",IF(E54&gt;0,"Zoomed Entropy","Tie")))</x:f>
        <x:v>Zoomed Entropy</x:v>
      </x:c>
      <x:c r="G54" s="70" t="n">
        <x:f>'Raw Results'!N54-'Raw Results'!J54</x:f>
        <x:v>-0.09717689995886758</x:v>
      </x:c>
      <x:c r="H54" s="69" t="str">
        <x:f>IF(G54&lt;0,"Zoomed Collision",IF(G54&gt;0,"Zoomed Entropy","Tie"))</x:f>
        <x:v>Zoomed Collision</x:v>
      </x:c>
      <x:c r="I54" s="71" t="n">
        <x:f>IF('Raw Results'!J54=0,"",'Raw Results'!N54/'Raw Results'!J54)</x:f>
        <x:v>0.8094898938738755</x:v>
      </x:c>
      <x:c r="J54" s="69" t="str">
        <x:f>IF(AND('Raw Results'!K54="True",'Raw Results'!O54="True"),"Both valid",IF('Raw Results'!K54="True","Entropy only",IF('Raw Results'!O54="True","Collision only","Neither valid")))</x:f>
        <x:v>Both valid</x:v>
      </x:c>
    </x:row>
    <x:row r="55">
      <x:c r="A55" s="66" t="str">
        <x:f>'Raw Results'!A55</x:f>
        <x:v>200</x:v>
      </x:c>
      <x:c r="B55" s="67" t="str">
        <x:f>'Raw Results'!B55</x:f>
        <x:v>0.5</x:v>
      </x:c>
      <x:c r="C55" s="66" t="str">
        <x:f>'Raw Results'!C55</x:f>
        <x:v>4</x:v>
      </x:c>
      <x:c r="D55" s="66" t="n">
        <x:f>IF(AND('Raw Results'!K55="True",'Raw Results'!O55="True"),1,0)</x:f>
        <x:v>1</x:v>
      </x:c>
      <x:c r="E55" s="68" t="n">
        <x:f>'Raw Results'!M55-'Raw Results'!I55</x:f>
        <x:v>-5</x:v>
      </x:c>
      <x:c r="F55" s="69" t="str">
        <x:f>IF(D55=0,"Excluded",IF(E55&lt;0,"Zoomed Collision",IF(E55&gt;0,"Zoomed Entropy","Tie")))</x:f>
        <x:v>Zoomed Collision</x:v>
      </x:c>
      <x:c r="G55" s="70" t="n">
        <x:f>'Raw Results'!N55-'Raw Results'!J55</x:f>
        <x:v>-0.12587400001939386</x:v>
      </x:c>
      <x:c r="H55" s="69" t="str">
        <x:f>IF(G55&lt;0,"Zoomed Collision",IF(G55&gt;0,"Zoomed Entropy","Tie"))</x:f>
        <x:v>Zoomed Collision</x:v>
      </x:c>
      <x:c r="I55" s="71" t="n">
        <x:f>IF('Raw Results'!J55=0,"",'Raw Results'!N55/'Raw Results'!J55)</x:f>
        <x:v>0.7339859877063835</x:v>
      </x:c>
      <x:c r="J55" s="69" t="str">
        <x:f>IF(AND('Raw Results'!K55="True",'Raw Results'!O55="True"),"Both valid",IF('Raw Results'!K55="True","Entropy only",IF('Raw Results'!O55="True","Collision only","Neither valid")))</x:f>
        <x:v>Both valid</x:v>
      </x:c>
    </x:row>
    <x:row r="56">
      <x:c r="A56" s="66" t="str">
        <x:f>'Raw Results'!A56</x:f>
        <x:v>200</x:v>
      </x:c>
      <x:c r="B56" s="67" t="str">
        <x:f>'Raw Results'!B56</x:f>
        <x:v>0.5</x:v>
      </x:c>
      <x:c r="C56" s="66" t="str">
        <x:f>'Raw Results'!C56</x:f>
        <x:v>5</x:v>
      </x:c>
      <x:c r="D56" s="66" t="n">
        <x:f>IF(AND('Raw Results'!K56="True",'Raw Results'!O56="True"),1,0)</x:f>
        <x:v>1</x:v>
      </x:c>
      <x:c r="E56" s="68" t="n">
        <x:f>'Raw Results'!M56-'Raw Results'!I56</x:f>
        <x:v>1</x:v>
      </x:c>
      <x:c r="F56" s="69" t="str">
        <x:f>IF(D56=0,"Excluded",IF(E56&lt;0,"Zoomed Collision",IF(E56&gt;0,"Zoomed Entropy","Tie")))</x:f>
        <x:v>Zoomed Entropy</x:v>
      </x:c>
      <x:c r="G56" s="70" t="n">
        <x:f>'Raw Results'!N56-'Raw Results'!J56</x:f>
        <x:v>-0.03901250002672896</x:v>
      </x:c>
      <x:c r="H56" s="69" t="str">
        <x:f>IF(G56&lt;0,"Zoomed Collision",IF(G56&gt;0,"Zoomed Entropy","Tie"))</x:f>
        <x:v>Zoomed Collision</x:v>
      </x:c>
      <x:c r="I56" s="71" t="n">
        <x:f>IF('Raw Results'!J56=0,"",'Raw Results'!N56/'Raw Results'!J56)</x:f>
        <x:v>0.8505518996073121</x:v>
      </x:c>
      <x:c r="J56" s="69" t="str">
        <x:f>IF(AND('Raw Results'!K56="True",'Raw Results'!O56="True"),"Both valid",IF('Raw Results'!K56="True","Entropy only",IF('Raw Results'!O56="True","Collision only","Neither valid")))</x:f>
        <x:v>Both valid</x:v>
      </x:c>
    </x:row>
    <x:row r="57">
      <x:c r="A57" s="66" t="str">
        <x:f>'Raw Results'!A57</x:f>
        <x:v>200</x:v>
      </x:c>
      <x:c r="B57" s="67" t="str">
        <x:f>'Raw Results'!B57</x:f>
        <x:v>0.7</x:v>
      </x:c>
      <x:c r="C57" s="66" t="str">
        <x:f>'Raw Results'!C57</x:f>
        <x:v>1</x:v>
      </x:c>
      <x:c r="D57" s="66" t="n">
        <x:f>IF(AND('Raw Results'!K57="True",'Raw Results'!O57="True"),1,0)</x:f>
        <x:v>1</x:v>
      </x:c>
      <x:c r="E57" s="68" t="n">
        <x:f>'Raw Results'!M57-'Raw Results'!I57</x:f>
        <x:v>0</x:v>
      </x:c>
      <x:c r="F57" s="69" t="str">
        <x:f>IF(D57=0,"Excluded",IF(E57&lt;0,"Zoomed Collision",IF(E57&gt;0,"Zoomed Entropy","Tie")))</x:f>
        <x:v>Tie</x:v>
      </x:c>
      <x:c r="G57" s="70" t="n">
        <x:f>'Raw Results'!N57-'Raw Results'!J57</x:f>
        <x:v>-0.01050470001064241</x:v>
      </x:c>
      <x:c r="H57" s="69" t="str">
        <x:f>IF(G57&lt;0,"Zoomed Collision",IF(G57&gt;0,"Zoomed Entropy","Tie"))</x:f>
        <x:v>Zoomed Collision</x:v>
      </x:c>
      <x:c r="I57" s="71" t="n">
        <x:f>IF('Raw Results'!J57=0,"",'Raw Results'!N57/'Raw Results'!J57)</x:f>
        <x:v>0.9813356720043495</x:v>
      </x:c>
      <x:c r="J57" s="69" t="str">
        <x:f>IF(AND('Raw Results'!K57="True",'Raw Results'!O57="True"),"Both valid",IF('Raw Results'!K57="True","Entropy only",IF('Raw Results'!O57="True","Collision only","Neither valid")))</x:f>
        <x:v>Both valid</x:v>
      </x:c>
    </x:row>
    <x:row r="58">
      <x:c r="A58" s="66" t="str">
        <x:f>'Raw Results'!A58</x:f>
        <x:v>200</x:v>
      </x:c>
      <x:c r="B58" s="67" t="str">
        <x:f>'Raw Results'!B58</x:f>
        <x:v>0.7</x:v>
      </x:c>
      <x:c r="C58" s="66" t="str">
        <x:f>'Raw Results'!C58</x:f>
        <x:v>2</x:v>
      </x:c>
      <x:c r="D58" s="66" t="n">
        <x:f>IF(AND('Raw Results'!K58="True",'Raw Results'!O58="True"),1,0)</x:f>
        <x:v>1</x:v>
      </x:c>
      <x:c r="E58" s="68" t="n">
        <x:f>'Raw Results'!M58-'Raw Results'!I58</x:f>
        <x:v>-3</x:v>
      </x:c>
      <x:c r="F58" s="69" t="str">
        <x:f>IF(D58=0,"Excluded",IF(E58&lt;0,"Zoomed Collision",IF(E58&gt;0,"Zoomed Entropy","Tie")))</x:f>
        <x:v>Zoomed Collision</x:v>
      </x:c>
      <x:c r="G58" s="70" t="n">
        <x:f>'Raw Results'!N58-'Raw Results'!J58</x:f>
        <x:v>-0.021358299942221493</x:v>
      </x:c>
      <x:c r="H58" s="69" t="str">
        <x:f>IF(G58&lt;0,"Zoomed Collision",IF(G58&gt;0,"Zoomed Entropy","Tie"))</x:f>
        <x:v>Zoomed Collision</x:v>
      </x:c>
      <x:c r="I58" s="71" t="n">
        <x:f>IF('Raw Results'!J58=0,"",'Raw Results'!N58/'Raw Results'!J58)</x:f>
        <x:v>0.9344709382065436</x:v>
      </x:c>
      <x:c r="J58" s="69" t="str">
        <x:f>IF(AND('Raw Results'!K58="True",'Raw Results'!O58="True"),"Both valid",IF('Raw Results'!K58="True","Entropy only",IF('Raw Results'!O58="True","Collision only","Neither valid")))</x:f>
        <x:v>Both valid</x:v>
      </x:c>
    </x:row>
    <x:row r="59">
      <x:c r="A59" s="66" t="str">
        <x:f>'Raw Results'!A59</x:f>
        <x:v>200</x:v>
      </x:c>
      <x:c r="B59" s="67" t="str">
        <x:f>'Raw Results'!B59</x:f>
        <x:v>0.7</x:v>
      </x:c>
      <x:c r="C59" s="66" t="str">
        <x:f>'Raw Results'!C59</x:f>
        <x:v>3</x:v>
      </x:c>
      <x:c r="D59" s="66" t="n">
        <x:f>IF(AND('Raw Results'!K59="True",'Raw Results'!O59="True"),1,0)</x:f>
        <x:v>1</x:v>
      </x:c>
      <x:c r="E59" s="68" t="n">
        <x:f>'Raw Results'!M59-'Raw Results'!I59</x:f>
        <x:v>-5</x:v>
      </x:c>
      <x:c r="F59" s="69" t="str">
        <x:f>IF(D59=0,"Excluded",IF(E59&lt;0,"Zoomed Collision",IF(E59&gt;0,"Zoomed Entropy","Tie")))</x:f>
        <x:v>Zoomed Collision</x:v>
      </x:c>
      <x:c r="G59" s="70" t="n">
        <x:f>'Raw Results'!N59-'Raw Results'!J59</x:f>
        <x:v>-0.2725763999624178</x:v>
      </x:c>
      <x:c r="H59" s="69" t="str">
        <x:f>IF(G59&lt;0,"Zoomed Collision",IF(G59&gt;0,"Zoomed Entropy","Tie"))</x:f>
        <x:v>Zoomed Collision</x:v>
      </x:c>
      <x:c r="I59" s="71" t="n">
        <x:f>IF('Raw Results'!J59=0,"",'Raw Results'!N59/'Raw Results'!J59)</x:f>
        <x:v>0.7576276539887766</x:v>
      </x:c>
      <x:c r="J59" s="69" t="str">
        <x:f>IF(AND('Raw Results'!K59="True",'Raw Results'!O59="True"),"Both valid",IF('Raw Results'!K59="True","Entropy only",IF('Raw Results'!O59="True","Collision only","Neither valid")))</x:f>
        <x:v>Both valid</x:v>
      </x:c>
    </x:row>
    <x:row r="60">
      <x:c r="A60" s="66" t="str">
        <x:f>'Raw Results'!A60</x:f>
        <x:v>200</x:v>
      </x:c>
      <x:c r="B60" s="67" t="str">
        <x:f>'Raw Results'!B60</x:f>
        <x:v>0.7</x:v>
      </x:c>
      <x:c r="C60" s="66" t="str">
        <x:f>'Raw Results'!C60</x:f>
        <x:v>4</x:v>
      </x:c>
      <x:c r="D60" s="66" t="n">
        <x:f>IF(AND('Raw Results'!K60="True",'Raw Results'!O60="True"),1,0)</x:f>
        <x:v>1</x:v>
      </x:c>
      <x:c r="E60" s="68" t="n">
        <x:f>'Raw Results'!M60-'Raw Results'!I60</x:f>
        <x:v>-10</x:v>
      </x:c>
      <x:c r="F60" s="69" t="str">
        <x:f>IF(D60=0,"Excluded",IF(E60&lt;0,"Zoomed Collision",IF(E60&gt;0,"Zoomed Entropy","Tie")))</x:f>
        <x:v>Zoomed Collision</x:v>
      </x:c>
      <x:c r="G60" s="70" t="n">
        <x:f>'Raw Results'!N60-'Raw Results'!J60</x:f>
        <x:v>-0.36408839997602627</x:v>
      </x:c>
      <x:c r="H60" s="69" t="str">
        <x:f>IF(G60&lt;0,"Zoomed Collision",IF(G60&gt;0,"Zoomed Entropy","Tie"))</x:f>
        <x:v>Zoomed Collision</x:v>
      </x:c>
      <x:c r="I60" s="71" t="n">
        <x:f>IF('Raw Results'!J60=0,"",'Raw Results'!N60/'Raw Results'!J60)</x:f>
        <x:v>0.7005644141976</x:v>
      </x:c>
      <x:c r="J60" s="69" t="str">
        <x:f>IF(AND('Raw Results'!K60="True",'Raw Results'!O60="True"),"Both valid",IF('Raw Results'!K60="True","Entropy only",IF('Raw Results'!O60="True","Collision only","Neither valid")))</x:f>
        <x:v>Both valid</x:v>
      </x:c>
    </x:row>
    <x:row r="61">
      <x:c r="A61" s="66" t="str">
        <x:f>'Raw Results'!A61</x:f>
        <x:v>200</x:v>
      </x:c>
      <x:c r="B61" s="67" t="str">
        <x:f>'Raw Results'!B61</x:f>
        <x:v>0.7</x:v>
      </x:c>
      <x:c r="C61" s="66" t="str">
        <x:f>'Raw Results'!C61</x:f>
        <x:v>5</x:v>
      </x:c>
      <x:c r="D61" s="66" t="n">
        <x:f>IF(AND('Raw Results'!K61="True",'Raw Results'!O61="True"),1,0)</x:f>
        <x:v>1</x:v>
      </x:c>
      <x:c r="E61" s="68" t="n">
        <x:f>'Raw Results'!M61-'Raw Results'!I61</x:f>
        <x:v>0</x:v>
      </x:c>
      <x:c r="F61" s="69" t="str">
        <x:f>IF(D61=0,"Excluded",IF(E61&lt;0,"Zoomed Collision",IF(E61&gt;0,"Zoomed Entropy","Tie")))</x:f>
        <x:v>Tie</x:v>
      </x:c>
      <x:c r="G61" s="70" t="n">
        <x:f>'Raw Results'!N61-'Raw Results'!J61</x:f>
        <x:v>0.03621679998468608</x:v>
      </x:c>
      <x:c r="H61" s="69" t="str">
        <x:f>IF(G61&lt;0,"Zoomed Collision",IF(G61&gt;0,"Zoomed Entropy","Tie"))</x:f>
        <x:v>Zoomed Entropy</x:v>
      </x:c>
      <x:c r="I61" s="71" t="n">
        <x:f>IF('Raw Results'!J61=0,"",'Raw Results'!N61/'Raw Results'!J61)</x:f>
        <x:v>1.0768019244714258</x:v>
      </x:c>
      <x:c r="J61" s="69" t="str">
        <x:f>IF(AND('Raw Results'!K61="True",'Raw Results'!O61="True"),"Both valid",IF('Raw Results'!K61="True","Entropy only",IF('Raw Results'!O61="True","Collision only","Neither valid")))</x:f>
        <x:v>Both valid</x:v>
      </x:c>
    </x:row>
    <x:row r="62">
      <x:c r="A62" s="66" t="str">
        <x:f>'Raw Results'!A62</x:f>
        <x:v>500</x:v>
      </x:c>
      <x:c r="B62" s="67" t="str">
        <x:f>'Raw Results'!B62</x:f>
        <x:v>0.1</x:v>
      </x:c>
      <x:c r="C62" s="66" t="str">
        <x:f>'Raw Results'!C62</x:f>
        <x:v>1</x:v>
      </x:c>
      <x:c r="D62" s="66" t="n">
        <x:f>IF(AND('Raw Results'!K62="True",'Raw Results'!O62="True"),1,0)</x:f>
        <x:v>1</x:v>
      </x:c>
      <x:c r="E62" s="68" t="n">
        <x:f>'Raw Results'!M62-'Raw Results'!I62</x:f>
        <x:v>-1</x:v>
      </x:c>
      <x:c r="F62" s="69" t="str">
        <x:f>IF(D62=0,"Excluded",IF(E62&lt;0,"Zoomed Collision",IF(E62&gt;0,"Zoomed Entropy","Tie")))</x:f>
        <x:v>Zoomed Collision</x:v>
      </x:c>
      <x:c r="G62" s="70" t="n">
        <x:f>'Raw Results'!N62-'Raw Results'!J62</x:f>
        <x:v>-0.30485790001694113</x:v>
      </x:c>
      <x:c r="H62" s="69" t="str">
        <x:f>IF(G62&lt;0,"Zoomed Collision",IF(G62&gt;0,"Zoomed Entropy","Tie"))</x:f>
        <x:v>Zoomed Collision</x:v>
      </x:c>
      <x:c r="I62" s="71" t="n">
        <x:f>IF('Raw Results'!J62=0,"",'Raw Results'!N62/'Raw Results'!J62)</x:f>
        <x:v>0.8088643513664654</x:v>
      </x:c>
      <x:c r="J62" s="69" t="str">
        <x:f>IF(AND('Raw Results'!K62="True",'Raw Results'!O62="True"),"Both valid",IF('Raw Results'!K62="True","Entropy only",IF('Raw Results'!O62="True","Collision only","Neither valid")))</x:f>
        <x:v>Both valid</x:v>
      </x:c>
    </x:row>
    <x:row r="63">
      <x:c r="A63" s="66" t="str">
        <x:f>'Raw Results'!A63</x:f>
        <x:v>500</x:v>
      </x:c>
      <x:c r="B63" s="67" t="str">
        <x:f>'Raw Results'!B63</x:f>
        <x:v>0.1</x:v>
      </x:c>
      <x:c r="C63" s="66" t="str">
        <x:f>'Raw Results'!C63</x:f>
        <x:v>2</x:v>
      </x:c>
      <x:c r="D63" s="66" t="n">
        <x:f>IF(AND('Raw Results'!K63="True",'Raw Results'!O63="True"),1,0)</x:f>
        <x:v>1</x:v>
      </x:c>
      <x:c r="E63" s="68" t="n">
        <x:f>'Raw Results'!M63-'Raw Results'!I63</x:f>
        <x:v>0</x:v>
      </x:c>
      <x:c r="F63" s="69" t="str">
        <x:f>IF(D63=0,"Excluded",IF(E63&lt;0,"Zoomed Collision",IF(E63&gt;0,"Zoomed Entropy","Tie")))</x:f>
        <x:v>Tie</x:v>
      </x:c>
      <x:c r="G63" s="70" t="n">
        <x:f>'Raw Results'!N63-'Raw Results'!J63</x:f>
        <x:v>-0.2924007999827154</x:v>
      </x:c>
      <x:c r="H63" s="69" t="str">
        <x:f>IF(G63&lt;0,"Zoomed Collision",IF(G63&gt;0,"Zoomed Entropy","Tie"))</x:f>
        <x:v>Zoomed Collision</x:v>
      </x:c>
      <x:c r="I63" s="71" t="n">
        <x:f>IF('Raw Results'!J63=0,"",'Raw Results'!N63/'Raw Results'!J63)</x:f>
        <x:v>0.7853302399753942</x:v>
      </x:c>
      <x:c r="J63" s="69" t="str">
        <x:f>IF(AND('Raw Results'!K63="True",'Raw Results'!O63="True"),"Both valid",IF('Raw Results'!K63="True","Entropy only",IF('Raw Results'!O63="True","Collision only","Neither valid")))</x:f>
        <x:v>Both valid</x:v>
      </x:c>
    </x:row>
    <x:row r="64">
      <x:c r="A64" s="66" t="str">
        <x:f>'Raw Results'!A64</x:f>
        <x:v>500</x:v>
      </x:c>
      <x:c r="B64" s="67" t="str">
        <x:f>'Raw Results'!B64</x:f>
        <x:v>0.1</x:v>
      </x:c>
      <x:c r="C64" s="66" t="str">
        <x:f>'Raw Results'!C64</x:f>
        <x:v>3</x:v>
      </x:c>
      <x:c r="D64" s="66" t="n">
        <x:f>IF(AND('Raw Results'!K64="True",'Raw Results'!O64="True"),1,0)</x:f>
        <x:v>1</x:v>
      </x:c>
      <x:c r="E64" s="68" t="n">
        <x:f>'Raw Results'!M64-'Raw Results'!I64</x:f>
        <x:v>3</x:v>
      </x:c>
      <x:c r="F64" s="69" t="str">
        <x:f>IF(D64=0,"Excluded",IF(E64&lt;0,"Zoomed Collision",IF(E64&gt;0,"Zoomed Entropy","Tie")))</x:f>
        <x:v>Zoomed Entropy</x:v>
      </x:c>
      <x:c r="G64" s="70" t="n">
        <x:f>'Raw Results'!N64-'Raw Results'!J64</x:f>
        <x:v>-0.3486822000122629</x:v>
      </x:c>
      <x:c r="H64" s="69" t="str">
        <x:f>IF(G64&lt;0,"Zoomed Collision",IF(G64&gt;0,"Zoomed Entropy","Tie"))</x:f>
        <x:v>Zoomed Collision</x:v>
      </x:c>
      <x:c r="I64" s="71" t="n">
        <x:f>IF('Raw Results'!J64=0,"",'Raw Results'!N64/'Raw Results'!J64)</x:f>
        <x:v>0.7545103371687596</x:v>
      </x:c>
      <x:c r="J64" s="69" t="str">
        <x:f>IF(AND('Raw Results'!K64="True",'Raw Results'!O64="True"),"Both valid",IF('Raw Results'!K64="True","Entropy only",IF('Raw Results'!O64="True","Collision only","Neither valid")))</x:f>
        <x:v>Both valid</x:v>
      </x:c>
    </x:row>
    <x:row r="65">
      <x:c r="A65" s="66" t="str">
        <x:f>'Raw Results'!A65</x:f>
        <x:v>500</x:v>
      </x:c>
      <x:c r="B65" s="67" t="str">
        <x:f>'Raw Results'!B65</x:f>
        <x:v>0.1</x:v>
      </x:c>
      <x:c r="C65" s="66" t="str">
        <x:f>'Raw Results'!C65</x:f>
        <x:v>4</x:v>
      </x:c>
      <x:c r="D65" s="66" t="n">
        <x:f>IF(AND('Raw Results'!K65="True",'Raw Results'!O65="True"),1,0)</x:f>
        <x:v>1</x:v>
      </x:c>
      <x:c r="E65" s="68" t="n">
        <x:f>'Raw Results'!M65-'Raw Results'!I65</x:f>
        <x:v>1</x:v>
      </x:c>
      <x:c r="F65" s="69" t="str">
        <x:f>IF(D65=0,"Excluded",IF(E65&lt;0,"Zoomed Collision",IF(E65&gt;0,"Zoomed Entropy","Tie")))</x:f>
        <x:v>Zoomed Entropy</x:v>
      </x:c>
      <x:c r="G65" s="70" t="n">
        <x:f>'Raw Results'!N65-'Raw Results'!J65</x:f>
        <x:v>-0.254878300067503</x:v>
      </x:c>
      <x:c r="H65" s="69" t="str">
        <x:f>IF(G65&lt;0,"Zoomed Collision",IF(G65&gt;0,"Zoomed Entropy","Tie"))</x:f>
        <x:v>Zoomed Collision</x:v>
      </x:c>
      <x:c r="I65" s="71" t="n">
        <x:f>IF('Raw Results'!J65=0,"",'Raw Results'!N65/'Raw Results'!J65)</x:f>
        <x:v>0.7558806733729039</x:v>
      </x:c>
      <x:c r="J65" s="69" t="str">
        <x:f>IF(AND('Raw Results'!K65="True",'Raw Results'!O65="True"),"Both valid",IF('Raw Results'!K65="True","Entropy only",IF('Raw Results'!O65="True","Collision only","Neither valid")))</x:f>
        <x:v>Both valid</x:v>
      </x:c>
    </x:row>
    <x:row r="66">
      <x:c r="A66" s="66" t="str">
        <x:f>'Raw Results'!A66</x:f>
        <x:v>500</x:v>
      </x:c>
      <x:c r="B66" s="67" t="str">
        <x:f>'Raw Results'!B66</x:f>
        <x:v>0.1</x:v>
      </x:c>
      <x:c r="C66" s="66" t="str">
        <x:f>'Raw Results'!C66</x:f>
        <x:v>5</x:v>
      </x:c>
      <x:c r="D66" s="66" t="n">
        <x:f>IF(AND('Raw Results'!K66="True",'Raw Results'!O66="True"),1,0)</x:f>
        <x:v>1</x:v>
      </x:c>
      <x:c r="E66" s="68" t="n">
        <x:f>'Raw Results'!M66-'Raw Results'!I66</x:f>
        <x:v>-1</x:v>
      </x:c>
      <x:c r="F66" s="69" t="str">
        <x:f>IF(D66=0,"Excluded",IF(E66&lt;0,"Zoomed Collision",IF(E66&gt;0,"Zoomed Entropy","Tie")))</x:f>
        <x:v>Zoomed Collision</x:v>
      </x:c>
      <x:c r="G66" s="70" t="n">
        <x:f>'Raw Results'!N66-'Raw Results'!J66</x:f>
        <x:v>-0.48165719996904954</x:v>
      </x:c>
      <x:c r="H66" s="69" t="str">
        <x:f>IF(G66&lt;0,"Zoomed Collision",IF(G66&gt;0,"Zoomed Entropy","Tie"))</x:f>
        <x:v>Zoomed Collision</x:v>
      </x:c>
      <x:c r="I66" s="71" t="n">
        <x:f>IF('Raw Results'!J66=0,"",'Raw Results'!N66/'Raw Results'!J66)</x:f>
        <x:v>0.6796915934871803</x:v>
      </x:c>
      <x:c r="J66" s="69" t="str">
        <x:f>IF(AND('Raw Results'!K66="True",'Raw Results'!O66="True"),"Both valid",IF('Raw Results'!K66="True","Entropy only",IF('Raw Results'!O66="True","Collision only","Neither valid")))</x:f>
        <x:v>Both valid</x:v>
      </x:c>
    </x:row>
    <x:row r="67">
      <x:c r="A67" s="66" t="str">
        <x:f>'Raw Results'!A67</x:f>
        <x:v>500</x:v>
      </x:c>
      <x:c r="B67" s="67" t="str">
        <x:f>'Raw Results'!B67</x:f>
        <x:v>0.3</x:v>
      </x:c>
      <x:c r="C67" s="66" t="str">
        <x:f>'Raw Results'!C67</x:f>
        <x:v>1</x:v>
      </x:c>
      <x:c r="D67" s="66" t="n">
        <x:f>IF(AND('Raw Results'!K67="True",'Raw Results'!O67="True"),1,0)</x:f>
        <x:v>1</x:v>
      </x:c>
      <x:c r="E67" s="68" t="n">
        <x:f>'Raw Results'!M67-'Raw Results'!I67</x:f>
        <x:v>-2</x:v>
      </x:c>
      <x:c r="F67" s="69" t="str">
        <x:f>IF(D67=0,"Excluded",IF(E67&lt;0,"Zoomed Collision",IF(E67&gt;0,"Zoomed Entropy","Tie")))</x:f>
        <x:v>Zoomed Collision</x:v>
      </x:c>
      <x:c r="G67" s="70" t="n">
        <x:f>'Raw Results'!N67-'Raw Results'!J67</x:f>
        <x:v>-0.40300430002389476</x:v>
      </x:c>
      <x:c r="H67" s="69" t="str">
        <x:f>IF(G67&lt;0,"Zoomed Collision",IF(G67&gt;0,"Zoomed Entropy","Tie"))</x:f>
        <x:v>Zoomed Collision</x:v>
      </x:c>
      <x:c r="I67" s="71" t="n">
        <x:f>IF('Raw Results'!J67=0,"",'Raw Results'!N67/'Raw Results'!J67)</x:f>
        <x:v>0.6970766403590669</x:v>
      </x:c>
      <x:c r="J67" s="69" t="str">
        <x:f>IF(AND('Raw Results'!K67="True",'Raw Results'!O67="True"),"Both valid",IF('Raw Results'!K67="True","Entropy only",IF('Raw Results'!O67="True","Collision only","Neither valid")))</x:f>
        <x:v>Both valid</x:v>
      </x:c>
    </x:row>
    <x:row r="68">
      <x:c r="A68" s="66" t="str">
        <x:f>'Raw Results'!A68</x:f>
        <x:v>500</x:v>
      </x:c>
      <x:c r="B68" s="67" t="str">
        <x:f>'Raw Results'!B68</x:f>
        <x:v>0.3</x:v>
      </x:c>
      <x:c r="C68" s="66" t="str">
        <x:f>'Raw Results'!C68</x:f>
        <x:v>2</x:v>
      </x:c>
      <x:c r="D68" s="66" t="n">
        <x:f>IF(AND('Raw Results'!K68="True",'Raw Results'!O68="True"),1,0)</x:f>
        <x:v>1</x:v>
      </x:c>
      <x:c r="E68" s="68" t="n">
        <x:f>'Raw Results'!M68-'Raw Results'!I68</x:f>
        <x:v>3</x:v>
      </x:c>
      <x:c r="F68" s="69" t="str">
        <x:f>IF(D68=0,"Excluded",IF(E68&lt;0,"Zoomed Collision",IF(E68&gt;0,"Zoomed Entropy","Tie")))</x:f>
        <x:v>Zoomed Entropy</x:v>
      </x:c>
      <x:c r="G68" s="70" t="n">
        <x:f>'Raw Results'!N68-'Raw Results'!J68</x:f>
        <x:v>-0.21815410000272095</x:v>
      </x:c>
      <x:c r="H68" s="69" t="str">
        <x:f>IF(G68&lt;0,"Zoomed Collision",IF(G68&gt;0,"Zoomed Entropy","Tie"))</x:f>
        <x:v>Zoomed Collision</x:v>
      </x:c>
      <x:c r="I68" s="71" t="n">
        <x:f>IF('Raw Results'!J68=0,"",'Raw Results'!N68/'Raw Results'!J68)</x:f>
        <x:v>0.8286372926446266</x:v>
      </x:c>
      <x:c r="J68" s="69" t="str">
        <x:f>IF(AND('Raw Results'!K68="True",'Raw Results'!O68="True"),"Both valid",IF('Raw Results'!K68="True","Entropy only",IF('Raw Results'!O68="True","Collision only","Neither valid")))</x:f>
        <x:v>Both valid</x:v>
      </x:c>
    </x:row>
    <x:row r="69">
      <x:c r="A69" s="66" t="str">
        <x:f>'Raw Results'!A69</x:f>
        <x:v>500</x:v>
      </x:c>
      <x:c r="B69" s="67" t="str">
        <x:f>'Raw Results'!B69</x:f>
        <x:v>0.3</x:v>
      </x:c>
      <x:c r="C69" s="66" t="str">
        <x:f>'Raw Results'!C69</x:f>
        <x:v>3</x:v>
      </x:c>
      <x:c r="D69" s="66" t="n">
        <x:f>IF(AND('Raw Results'!K69="True",'Raw Results'!O69="True"),1,0)</x:f>
        <x:v>1</x:v>
      </x:c>
      <x:c r="E69" s="68" t="n">
        <x:f>'Raw Results'!M69-'Raw Results'!I69</x:f>
        <x:v>2</x:v>
      </x:c>
      <x:c r="F69" s="69" t="str">
        <x:f>IF(D69=0,"Excluded",IF(E69&lt;0,"Zoomed Collision",IF(E69&gt;0,"Zoomed Entropy","Tie")))</x:f>
        <x:v>Zoomed Entropy</x:v>
      </x:c>
      <x:c r="G69" s="70" t="n">
        <x:f>'Raw Results'!N69-'Raw Results'!J69</x:f>
        <x:v>-0.5386278000078164</x:v>
      </x:c>
      <x:c r="H69" s="69" t="str">
        <x:f>IF(G69&lt;0,"Zoomed Collision",IF(G69&gt;0,"Zoomed Entropy","Tie"))</x:f>
        <x:v>Zoomed Collision</x:v>
      </x:c>
      <x:c r="I69" s="71" t="n">
        <x:f>IF('Raw Results'!J69=0,"",'Raw Results'!N69/'Raw Results'!J69)</x:f>
        <x:v>0.6915484926731147</x:v>
      </x:c>
      <x:c r="J69" s="69" t="str">
        <x:f>IF(AND('Raw Results'!K69="True",'Raw Results'!O69="True"),"Both valid",IF('Raw Results'!K69="True","Entropy only",IF('Raw Results'!O69="True","Collision only","Neither valid")))</x:f>
        <x:v>Both valid</x:v>
      </x:c>
    </x:row>
    <x:row r="70">
      <x:c r="A70" s="66" t="str">
        <x:f>'Raw Results'!A70</x:f>
        <x:v>500</x:v>
      </x:c>
      <x:c r="B70" s="67" t="str">
        <x:f>'Raw Results'!B70</x:f>
        <x:v>0.3</x:v>
      </x:c>
      <x:c r="C70" s="66" t="str">
        <x:f>'Raw Results'!C70</x:f>
        <x:v>4</x:v>
      </x:c>
      <x:c r="D70" s="66" t="n">
        <x:f>IF(AND('Raw Results'!K70="True",'Raw Results'!O70="True"),1,0)</x:f>
        <x:v>1</x:v>
      </x:c>
      <x:c r="E70" s="68" t="n">
        <x:f>'Raw Results'!M70-'Raw Results'!I70</x:f>
        <x:v>-5</x:v>
      </x:c>
      <x:c r="F70" s="69" t="str">
        <x:f>IF(D70=0,"Excluded",IF(E70&lt;0,"Zoomed Collision",IF(E70&gt;0,"Zoomed Entropy","Tie")))</x:f>
        <x:v>Zoomed Collision</x:v>
      </x:c>
      <x:c r="G70" s="70" t="n">
        <x:f>'Raw Results'!N70-'Raw Results'!J70</x:f>
        <x:v>-0.4329816999961622</x:v>
      </x:c>
      <x:c r="H70" s="69" t="str">
        <x:f>IF(G70&lt;0,"Zoomed Collision",IF(G70&gt;0,"Zoomed Entropy","Tie"))</x:f>
        <x:v>Zoomed Collision</x:v>
      </x:c>
      <x:c r="I70" s="71" t="n">
        <x:f>IF('Raw Results'!J70=0,"",'Raw Results'!N70/'Raw Results'!J70)</x:f>
        <x:v>0.6837945527138883</x:v>
      </x:c>
      <x:c r="J70" s="69" t="str">
        <x:f>IF(AND('Raw Results'!K70="True",'Raw Results'!O70="True"),"Both valid",IF('Raw Results'!K70="True","Entropy only",IF('Raw Results'!O70="True","Collision only","Neither valid")))</x:f>
        <x:v>Both valid</x:v>
      </x:c>
    </x:row>
    <x:row r="71">
      <x:c r="A71" s="66" t="str">
        <x:f>'Raw Results'!A71</x:f>
        <x:v>500</x:v>
      </x:c>
      <x:c r="B71" s="67" t="str">
        <x:f>'Raw Results'!B71</x:f>
        <x:v>0.3</x:v>
      </x:c>
      <x:c r="C71" s="66" t="str">
        <x:f>'Raw Results'!C71</x:f>
        <x:v>5</x:v>
      </x:c>
      <x:c r="D71" s="66" t="n">
        <x:f>IF(AND('Raw Results'!K71="True",'Raw Results'!O71="True"),1,0)</x:f>
        <x:v>1</x:v>
      </x:c>
      <x:c r="E71" s="68" t="n">
        <x:f>'Raw Results'!M71-'Raw Results'!I71</x:f>
        <x:v>-9</x:v>
      </x:c>
      <x:c r="F71" s="69" t="str">
        <x:f>IF(D71=0,"Excluded",IF(E71&lt;0,"Zoomed Collision",IF(E71&gt;0,"Zoomed Entropy","Tie")))</x:f>
        <x:v>Zoomed Collision</x:v>
      </x:c>
      <x:c r="G71" s="70" t="n">
        <x:f>'Raw Results'!N71-'Raw Results'!J71</x:f>
        <x:v>-0.31927969999378547</x:v>
      </x:c>
      <x:c r="H71" s="69" t="str">
        <x:f>IF(G71&lt;0,"Zoomed Collision",IF(G71&gt;0,"Zoomed Entropy","Tie"))</x:f>
        <x:v>Zoomed Collision</x:v>
      </x:c>
      <x:c r="I71" s="71" t="n">
        <x:f>IF('Raw Results'!J71=0,"",'Raw Results'!N71/'Raw Results'!J71)</x:f>
        <x:v>0.7881050274781246</x:v>
      </x:c>
      <x:c r="J71" s="69" t="str">
        <x:f>IF(AND('Raw Results'!K71="True",'Raw Results'!O71="True"),"Both valid",IF('Raw Results'!K71="True","Entropy only",IF('Raw Results'!O71="True","Collision only","Neither valid")))</x:f>
        <x:v>Both valid</x:v>
      </x:c>
    </x:row>
    <x:row r="72">
      <x:c r="A72" s="66" t="str">
        <x:f>'Raw Results'!A72</x:f>
        <x:v>500</x:v>
      </x:c>
      <x:c r="B72" s="67" t="str">
        <x:f>'Raw Results'!B72</x:f>
        <x:v>0.5</x:v>
      </x:c>
      <x:c r="C72" s="66" t="str">
        <x:f>'Raw Results'!C72</x:f>
        <x:v>1</x:v>
      </x:c>
      <x:c r="D72" s="66" t="n">
        <x:f>IF(AND('Raw Results'!K72="True",'Raw Results'!O72="True"),1,0)</x:f>
        <x:v>1</x:v>
      </x:c>
      <x:c r="E72" s="68" t="n">
        <x:f>'Raw Results'!M72-'Raw Results'!I72</x:f>
        <x:v>-6</x:v>
      </x:c>
      <x:c r="F72" s="69" t="str">
        <x:f>IF(D72=0,"Excluded",IF(E72&lt;0,"Zoomed Collision",IF(E72&gt;0,"Zoomed Entropy","Tie")))</x:f>
        <x:v>Zoomed Collision</x:v>
      </x:c>
      <x:c r="G72" s="70" t="n">
        <x:f>'Raw Results'!N72-'Raw Results'!J72</x:f>
        <x:v>-0.199979999975767</x:v>
      </x:c>
      <x:c r="H72" s="69" t="str">
        <x:f>IF(G72&lt;0,"Zoomed Collision",IF(G72&gt;0,"Zoomed Entropy","Tie"))</x:f>
        <x:v>Zoomed Collision</x:v>
      </x:c>
      <x:c r="I72" s="71" t="n">
        <x:f>IF('Raw Results'!J72=0,"",'Raw Results'!N72/'Raw Results'!J72)</x:f>
        <x:v>0.944240138474704</x:v>
      </x:c>
      <x:c r="J72" s="69" t="str">
        <x:f>IF(AND('Raw Results'!K72="True",'Raw Results'!O72="True"),"Both valid",IF('Raw Results'!K72="True","Entropy only",IF('Raw Results'!O72="True","Collision only","Neither valid")))</x:f>
        <x:v>Both valid</x:v>
      </x:c>
    </x:row>
    <x:row r="73">
      <x:c r="A73" s="66" t="str">
        <x:f>'Raw Results'!A73</x:f>
        <x:v>500</x:v>
      </x:c>
      <x:c r="B73" s="67" t="str">
        <x:f>'Raw Results'!B73</x:f>
        <x:v>0.5</x:v>
      </x:c>
      <x:c r="C73" s="66" t="str">
        <x:f>'Raw Results'!C73</x:f>
        <x:v>2</x:v>
      </x:c>
      <x:c r="D73" s="66" t="n">
        <x:f>IF(AND('Raw Results'!K73="True",'Raw Results'!O73="True"),1,0)</x:f>
        <x:v>1</x:v>
      </x:c>
      <x:c r="E73" s="68" t="n">
        <x:f>'Raw Results'!M73-'Raw Results'!I73</x:f>
        <x:v>8</x:v>
      </x:c>
      <x:c r="F73" s="69" t="str">
        <x:f>IF(D73=0,"Excluded",IF(E73&lt;0,"Zoomed Collision",IF(E73&gt;0,"Zoomed Entropy","Tie")))</x:f>
        <x:v>Zoomed Entropy</x:v>
      </x:c>
      <x:c r="G73" s="70" t="n">
        <x:f>'Raw Results'!N73-'Raw Results'!J73</x:f>
        <x:v>-1.2922891000052914</x:v>
      </x:c>
      <x:c r="H73" s="69" t="str">
        <x:f>IF(G73&lt;0,"Zoomed Collision",IF(G73&gt;0,"Zoomed Entropy","Tie"))</x:f>
        <x:v>Zoomed Collision</x:v>
      </x:c>
      <x:c r="I73" s="71" t="n">
        <x:f>IF('Raw Results'!J73=0,"",'Raw Results'!N73/'Raw Results'!J73)</x:f>
        <x:v>0.7455007679435367</x:v>
      </x:c>
      <x:c r="J73" s="69" t="str">
        <x:f>IF(AND('Raw Results'!K73="True",'Raw Results'!O73="True"),"Both valid",IF('Raw Results'!K73="True","Entropy only",IF('Raw Results'!O73="True","Collision only","Neither valid")))</x:f>
        <x:v>Both valid</x:v>
      </x:c>
    </x:row>
    <x:row r="74">
      <x:c r="A74" s="66" t="str">
        <x:f>'Raw Results'!A74</x:f>
        <x:v>500</x:v>
      </x:c>
      <x:c r="B74" s="67" t="str">
        <x:f>'Raw Results'!B74</x:f>
        <x:v>0.5</x:v>
      </x:c>
      <x:c r="C74" s="66" t="str">
        <x:f>'Raw Results'!C74</x:f>
        <x:v>3</x:v>
      </x:c>
      <x:c r="D74" s="66" t="n">
        <x:f>IF(AND('Raw Results'!K74="True",'Raw Results'!O74="True"),1,0)</x:f>
        <x:v>0</x:v>
      </x:c>
      <x:c r="E74" s="68" t="n">
        <x:f>'Raw Results'!M74-'Raw Results'!I74</x:f>
        <x:v>94</x:v>
      </x:c>
      <x:c r="F74" s="69" t="str">
        <x:f>IF(D74=0,"Excluded",IF(E74&lt;0,"Zoomed Collision",IF(E74&gt;0,"Zoomed Entropy","Tie")))</x:f>
        <x:v>Excluded</x:v>
      </x:c>
      <x:c r="G74" s="70" t="n">
        <x:f>'Raw Results'!N74-'Raw Results'!J74</x:f>
        <x:v>-1.757003300008364</x:v>
      </x:c>
      <x:c r="H74" s="69" t="str">
        <x:f>IF(G74&lt;0,"Zoomed Collision",IF(G74&gt;0,"Zoomed Entropy","Tie"))</x:f>
        <x:v>Zoomed Collision</x:v>
      </x:c>
      <x:c r="I74" s="71" t="n">
        <x:f>IF('Raw Results'!J74=0,"",'Raw Results'!N74/'Raw Results'!J74)</x:f>
        <x:v>0.6545307567114441</x:v>
      </x:c>
      <x:c r="J74" s="69" t="str">
        <x:f>IF(AND('Raw Results'!K74="True",'Raw Results'!O74="True"),"Both valid",IF('Raw Results'!K74="True","Entropy only",IF('Raw Results'!O74="True","Collision only","Neither valid")))</x:f>
        <x:v>Entropy only</x:v>
      </x:c>
    </x:row>
    <x:row r="75">
      <x:c r="A75" s="66" t="str">
        <x:f>'Raw Results'!A75</x:f>
        <x:v>500</x:v>
      </x:c>
      <x:c r="B75" s="67" t="str">
        <x:f>'Raw Results'!B75</x:f>
        <x:v>0.5</x:v>
      </x:c>
      <x:c r="C75" s="66" t="str">
        <x:f>'Raw Results'!C75</x:f>
        <x:v>4</x:v>
      </x:c>
      <x:c r="D75" s="66" t="n">
        <x:f>IF(AND('Raw Results'!K75="True",'Raw Results'!O75="True"),1,0)</x:f>
        <x:v>1</x:v>
      </x:c>
      <x:c r="E75" s="68" t="n">
        <x:f>'Raw Results'!M75-'Raw Results'!I75</x:f>
        <x:v>-1</x:v>
      </x:c>
      <x:c r="F75" s="69" t="str">
        <x:f>IF(D75=0,"Excluded",IF(E75&lt;0,"Zoomed Collision",IF(E75&gt;0,"Zoomed Entropy","Tie")))</x:f>
        <x:v>Zoomed Collision</x:v>
      </x:c>
      <x:c r="G75" s="70" t="n">
        <x:f>'Raw Results'!N75-'Raw Results'!J75</x:f>
        <x:v>-0.283482400001958</x:v>
      </x:c>
      <x:c r="H75" s="69" t="str">
        <x:f>IF(G75&lt;0,"Zoomed Collision",IF(G75&gt;0,"Zoomed Entropy","Tie"))</x:f>
        <x:v>Zoomed Collision</x:v>
      </x:c>
      <x:c r="I75" s="71" t="n">
        <x:f>IF('Raw Results'!J75=0,"",'Raw Results'!N75/'Raw Results'!J75)</x:f>
        <x:v>0.913909585360442</x:v>
      </x:c>
      <x:c r="J75" s="69" t="str">
        <x:f>IF(AND('Raw Results'!K75="True",'Raw Results'!O75="True"),"Both valid",IF('Raw Results'!K75="True","Entropy only",IF('Raw Results'!O75="True","Collision only","Neither valid")))</x:f>
        <x:v>Both valid</x:v>
      </x:c>
    </x:row>
    <x:row r="76">
      <x:c r="A76" s="66" t="str">
        <x:f>'Raw Results'!A76</x:f>
        <x:v>500</x:v>
      </x:c>
      <x:c r="B76" s="67" t="str">
        <x:f>'Raw Results'!B76</x:f>
        <x:v>0.5</x:v>
      </x:c>
      <x:c r="C76" s="66" t="str">
        <x:f>'Raw Results'!C76</x:f>
        <x:v>5</x:v>
      </x:c>
      <x:c r="D76" s="66" t="n">
        <x:f>IF(AND('Raw Results'!K76="True",'Raw Results'!O76="True"),1,0)</x:f>
        <x:v>1</x:v>
      </x:c>
      <x:c r="E76" s="68" t="n">
        <x:f>'Raw Results'!M76-'Raw Results'!I76</x:f>
        <x:v>-5</x:v>
      </x:c>
      <x:c r="F76" s="69" t="str">
        <x:f>IF(D76=0,"Excluded",IF(E76&lt;0,"Zoomed Collision",IF(E76&gt;0,"Zoomed Entropy","Tie")))</x:f>
        <x:v>Zoomed Collision</x:v>
      </x:c>
      <x:c r="G76" s="70" t="n">
        <x:f>'Raw Results'!N76-'Raw Results'!J76</x:f>
        <x:v>-0.8415980000281706</x:v>
      </x:c>
      <x:c r="H76" s="69" t="str">
        <x:f>IF(G76&lt;0,"Zoomed Collision",IF(G76&gt;0,"Zoomed Entropy","Tie"))</x:f>
        <x:v>Zoomed Collision</x:v>
      </x:c>
      <x:c r="I76" s="71" t="n">
        <x:f>IF('Raw Results'!J76=0,"",'Raw Results'!N76/'Raw Results'!J76)</x:f>
        <x:v>0.8191404992781457</x:v>
      </x:c>
      <x:c r="J76" s="69" t="str">
        <x:f>IF(AND('Raw Results'!K76="True",'Raw Results'!O76="True"),"Both valid",IF('Raw Results'!K76="True","Entropy only",IF('Raw Results'!O76="True","Collision only","Neither valid")))</x:f>
        <x:v>Both valid</x:v>
      </x:c>
    </x:row>
    <x:row r="77">
      <x:c r="A77" s="66" t="str">
        <x:f>'Raw Results'!A77</x:f>
        <x:v>500</x:v>
      </x:c>
      <x:c r="B77" s="67" t="str">
        <x:f>'Raw Results'!B77</x:f>
        <x:v>0.7</x:v>
      </x:c>
      <x:c r="C77" s="66" t="str">
        <x:f>'Raw Results'!C77</x:f>
        <x:v>1</x:v>
      </x:c>
      <x:c r="D77" s="66" t="n">
        <x:f>IF(AND('Raw Results'!K77="True",'Raw Results'!O77="True"),1,0)</x:f>
        <x:v>1</x:v>
      </x:c>
      <x:c r="E77" s="68" t="n">
        <x:f>'Raw Results'!M77-'Raw Results'!I77</x:f>
        <x:v>-3</x:v>
      </x:c>
      <x:c r="F77" s="69" t="str">
        <x:f>IF(D77=0,"Excluded",IF(E77&lt;0,"Zoomed Collision",IF(E77&gt;0,"Zoomed Entropy","Tie")))</x:f>
        <x:v>Zoomed Collision</x:v>
      </x:c>
      <x:c r="G77" s="70" t="n">
        <x:f>'Raw Results'!N77-'Raw Results'!J77</x:f>
        <x:v>-0.8202870999812149</x:v>
      </x:c>
      <x:c r="H77" s="69" t="str">
        <x:f>IF(G77&lt;0,"Zoomed Collision",IF(G77&gt;0,"Zoomed Entropy","Tie"))</x:f>
        <x:v>Zoomed Collision</x:v>
      </x:c>
      <x:c r="I77" s="71" t="n">
        <x:f>IF('Raw Results'!J77=0,"",'Raw Results'!N77/'Raw Results'!J77)</x:f>
        <x:v>0.9127902586895823</x:v>
      </x:c>
      <x:c r="J77" s="69" t="str">
        <x:f>IF(AND('Raw Results'!K77="True",'Raw Results'!O77="True"),"Both valid",IF('Raw Results'!K77="True","Entropy only",IF('Raw Results'!O77="True","Collision only","Neither valid")))</x:f>
        <x:v>Both valid</x:v>
      </x:c>
    </x:row>
    <x:row r="78">
      <x:c r="A78" s="66" t="str">
        <x:f>'Raw Results'!A78</x:f>
        <x:v>500</x:v>
      </x:c>
      <x:c r="B78" s="67" t="str">
        <x:f>'Raw Results'!B78</x:f>
        <x:v>0.7</x:v>
      </x:c>
      <x:c r="C78" s="66" t="str">
        <x:f>'Raw Results'!C78</x:f>
        <x:v>2</x:v>
      </x:c>
      <x:c r="D78" s="66" t="n">
        <x:f>IF(AND('Raw Results'!K78="True",'Raw Results'!O78="True"),1,0)</x:f>
        <x:v>1</x:v>
      </x:c>
      <x:c r="E78" s="68" t="n">
        <x:f>'Raw Results'!M78-'Raw Results'!I78</x:f>
        <x:v>-2</x:v>
      </x:c>
      <x:c r="F78" s="69" t="str">
        <x:f>IF(D78=0,"Excluded",IF(E78&lt;0,"Zoomed Collision",IF(E78&gt;0,"Zoomed Entropy","Tie")))</x:f>
        <x:v>Zoomed Collision</x:v>
      </x:c>
      <x:c r="G78" s="70" t="n">
        <x:f>'Raw Results'!N78-'Raw Results'!J78</x:f>
        <x:v>0.08332340000197291</x:v>
      </x:c>
      <x:c r="H78" s="69" t="str">
        <x:f>IF(G78&lt;0,"Zoomed Collision",IF(G78&gt;0,"Zoomed Entropy","Tie"))</x:f>
        <x:v>Zoomed Entropy</x:v>
      </x:c>
      <x:c r="I78" s="71" t="n">
        <x:f>IF('Raw Results'!J78=0,"",'Raw Results'!N78/'Raw Results'!J78)</x:f>
        <x:v>1.012639979366982</x:v>
      </x:c>
      <x:c r="J78" s="69" t="str">
        <x:f>IF(AND('Raw Results'!K78="True",'Raw Results'!O78="True"),"Both valid",IF('Raw Results'!K78="True","Entropy only",IF('Raw Results'!O78="True","Collision only","Neither valid")))</x:f>
        <x:v>Both valid</x:v>
      </x:c>
    </x:row>
    <x:row r="79">
      <x:c r="A79" s="66" t="str">
        <x:f>'Raw Results'!A79</x:f>
        <x:v>500</x:v>
      </x:c>
      <x:c r="B79" s="67" t="str">
        <x:f>'Raw Results'!B79</x:f>
        <x:v>0.7</x:v>
      </x:c>
      <x:c r="C79" s="66" t="str">
        <x:f>'Raw Results'!C79</x:f>
        <x:v>3</x:v>
      </x:c>
      <x:c r="D79" s="66" t="n">
        <x:f>IF(AND('Raw Results'!K79="True",'Raw Results'!O79="True"),1,0)</x:f>
        <x:v>1</x:v>
      </x:c>
      <x:c r="E79" s="68" t="n">
        <x:f>'Raw Results'!M79-'Raw Results'!I79</x:f>
        <x:v>-13</x:v>
      </x:c>
      <x:c r="F79" s="69" t="str">
        <x:f>IF(D79=0,"Excluded",IF(E79&lt;0,"Zoomed Collision",IF(E79&gt;0,"Zoomed Entropy","Tie")))</x:f>
        <x:v>Zoomed Collision</x:v>
      </x:c>
      <x:c r="G79" s="70" t="n">
        <x:f>'Raw Results'!N79-'Raw Results'!J79</x:f>
        <x:v>-6.281208800035529</x:v>
      </x:c>
      <x:c r="H79" s="69" t="str">
        <x:f>IF(G79&lt;0,"Zoomed Collision",IF(G79&gt;0,"Zoomed Entropy","Tie"))</x:f>
        <x:v>Zoomed Collision</x:v>
      </x:c>
      <x:c r="I79" s="71" t="n">
        <x:f>IF('Raw Results'!J79=0,"",'Raw Results'!N79/'Raw Results'!J79)</x:f>
        <x:v>0.6414173255479876</x:v>
      </x:c>
      <x:c r="J79" s="69" t="str">
        <x:f>IF(AND('Raw Results'!K79="True",'Raw Results'!O79="True"),"Both valid",IF('Raw Results'!K79="True","Entropy only",IF('Raw Results'!O79="True","Collision only","Neither valid")))</x:f>
        <x:v>Both valid</x:v>
      </x:c>
    </x:row>
    <x:row r="80">
      <x:c r="A80" s="66" t="str">
        <x:f>'Raw Results'!A80</x:f>
        <x:v>500</x:v>
      </x:c>
      <x:c r="B80" s="67" t="str">
        <x:f>'Raw Results'!B80</x:f>
        <x:v>0.7</x:v>
      </x:c>
      <x:c r="C80" s="66" t="str">
        <x:f>'Raw Results'!C80</x:f>
        <x:v>4</x:v>
      </x:c>
      <x:c r="D80" s="66" t="n">
        <x:f>IF(AND('Raw Results'!K80="True",'Raw Results'!O80="True"),1,0)</x:f>
        <x:v>1</x:v>
      </x:c>
      <x:c r="E80" s="68" t="n">
        <x:f>'Raw Results'!M80-'Raw Results'!I80</x:f>
        <x:v>-17</x:v>
      </x:c>
      <x:c r="F80" s="69" t="str">
        <x:f>IF(D80=0,"Excluded",IF(E80&lt;0,"Zoomed Collision",IF(E80&gt;0,"Zoomed Entropy","Tie")))</x:f>
        <x:v>Zoomed Collision</x:v>
      </x:c>
      <x:c r="G80" s="70" t="n">
        <x:f>'Raw Results'!N80-'Raw Results'!J80</x:f>
        <x:v>-6.572318499966059</x:v>
      </x:c>
      <x:c r="H80" s="69" t="str">
        <x:f>IF(G80&lt;0,"Zoomed Collision",IF(G80&gt;0,"Zoomed Entropy","Tie"))</x:f>
        <x:v>Zoomed Collision</x:v>
      </x:c>
      <x:c r="I80" s="71" t="n">
        <x:f>IF('Raw Results'!J80=0,"",'Raw Results'!N80/'Raw Results'!J80)</x:f>
        <x:v>0.6407665309992049</x:v>
      </x:c>
      <x:c r="J80" s="69" t="str">
        <x:f>IF(AND('Raw Results'!K80="True",'Raw Results'!O80="True"),"Both valid",IF('Raw Results'!K80="True","Entropy only",IF('Raw Results'!O80="True","Collision only","Neither valid")))</x:f>
        <x:v>Both valid</x:v>
      </x:c>
    </x:row>
    <x:row r="81">
      <x:c r="A81" s="72" t="str">
        <x:f>'Raw Results'!A81</x:f>
        <x:v>500</x:v>
      </x:c>
      <x:c r="B81" s="73" t="str">
        <x:f>'Raw Results'!B81</x:f>
        <x:v>0.7</x:v>
      </x:c>
      <x:c r="C81" s="72" t="str">
        <x:f>'Raw Results'!C81</x:f>
        <x:v>5</x:v>
      </x:c>
      <x:c r="D81" s="72" t="n">
        <x:f>IF(AND('Raw Results'!K81="True",'Raw Results'!O81="True"),1,0)</x:f>
        <x:v>1</x:v>
      </x:c>
      <x:c r="E81" s="74" t="n">
        <x:f>'Raw Results'!M81-'Raw Results'!I81</x:f>
        <x:v>-13</x:v>
      </x:c>
      <x:c r="F81" s="75" t="str">
        <x:f>IF(D81=0,"Excluded",IF(E81&lt;0,"Zoomed Collision",IF(E81&gt;0,"Zoomed Entropy","Tie")))</x:f>
        <x:v>Zoomed Collision</x:v>
      </x:c>
      <x:c r="G81" s="76" t="n">
        <x:f>'Raw Results'!N81-'Raw Results'!J81</x:f>
        <x:v>-1.5298234000219963</x:v>
      </x:c>
      <x:c r="H81" s="75" t="str">
        <x:f>IF(G81&lt;0,"Zoomed Collision",IF(G81&gt;0,"Zoomed Entropy","Tie"))</x:f>
        <x:v>Zoomed Collision</x:v>
      </x:c>
      <x:c r="I81" s="77" t="n">
        <x:f>IF('Raw Results'!J81=0,"",'Raw Results'!N81/'Raw Results'!J81)</x:f>
        <x:v>0.8517672995734786</x:v>
      </x:c>
      <x:c r="J81" s="75" t="str">
        <x:f>IF(AND('Raw Results'!K81="True",'Raw Results'!O81="True"),"Both valid",IF('Raw Results'!K81="True","Entropy only",IF('Raw Results'!O81="True","Collision only","Neither valid")))</x:f>
        <x:v>Both valid</x:v>
      </x:c>
    </x:row>
  </x:sheetData>
  <x:conditionalFormatting sqref="E2:E81">
    <x:cfRule type="cellIs" dxfId="0" priority="1" operator="lessThan">
      <x:formula>0</x:formula>
    </x:cfRule>
    <x:cfRule type="cellIs" dxfId="1" priority="2" operator="greaterThan">
      <x:formula>0</x:formula>
    </x:cfRule>
  </x:conditionalFormatting>
  <x:pageMargins left="0.7" right="0.7" top="0.75" bottom="0.75" header="0.3" footer="0.3"/>
  <x:tableParts count="1">
    <x:tablePart xmlns:r="http://schemas.openxmlformats.org/officeDocument/2006/relationships" r:id="R9b2b846feb8b41f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1"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5" hidden="0" customWidth="1"/>
    <x:col min="9" max="9" width="15" hidden="0" customWidth="1"/>
    <x:col min="10" max="10" width="15" hidden="0" customWidth="1"/>
    <x:col min="11" max="11" width="15" hidden="0" customWidth="1"/>
    <x:col min="12" max="12" width="15" hidden="0" customWidth="1"/>
  </x:cols>
  <x:sheetData>
    <x:row r="1" ht="36" customHeight="1">
      <x:c r="A1" s="98" t="str">
        <x:v>Zoomed Square: Entropy vs. Collision</x:v>
      </x:c>
      <x:c r="B1" s="98"/>
      <x:c r="C1" s="98"/>
      <x:c r="D1" s="98"/>
      <x:c r="E1" s="98"/>
      <x:c r="F1" s="98"/>
      <x:c r="G1" s="98"/>
      <x:c r="H1" s="98"/>
      <x:c r="I1" s="98"/>
      <x:c r="J1" s="98"/>
      <x:c r="K1" s="98"/>
      <x:c r="L1" s="98"/>
    </x:row>
    <x:row r="2" ht="32" customHeight="1">
      <x:c r="A2" s="106" t="str">
        <x:v>Fresh paired benchmark: identical centers, one-hop neighborhoods, probes, candidates, random seeds, and pruning; only the local candidate score changes.</x:v>
      </x:c>
      <x:c r="B2" s="106"/>
      <x:c r="C2" s="106"/>
      <x:c r="D2" s="106"/>
      <x:c r="E2" s="106"/>
      <x:c r="F2" s="106"/>
      <x:c r="G2" s="106"/>
      <x:c r="H2" s="106"/>
      <x:c r="I2" s="106"/>
      <x:c r="J2" s="106"/>
      <x:c r="K2" s="106"/>
      <x:c r="L2" s="106"/>
    </x:row>
    <x:row r="3">
      <x:c r="A3" s="114" t="str">
        <x:v>Paired runs</x:v>
      </x:c>
      <x:c r="B3" s="114"/>
      <x:c r="C3" s="114" t="str">
        <x:v>Both valid</x:v>
      </x:c>
      <x:c r="D3" s="114"/>
      <x:c r="E3" s="114" t="str">
        <x:v>Collision size wins</x:v>
      </x:c>
      <x:c r="F3" s="114"/>
      <x:c r="G3" s="114" t="str">
        <x:v>Entropy size wins</x:v>
      </x:c>
      <x:c r="H3" s="114"/>
      <x:c r="I3" s="114" t="str">
        <x:v>Avg size change</x:v>
      </x:c>
      <x:c r="J3" s="114"/>
      <x:c r="K3" s="114" t="str">
        <x:v>Collision / Entropy time</x:v>
      </x:c>
      <x:c r="L3" s="114"/>
    </x:row>
    <x:row r="4" ht="24" customHeight="1">
      <x:c r="A4" s="144" t="n">
        <x:f>COUNTA('Analysis'!$A$2:$A$81)</x:f>
        <x:v>80</x:v>
      </x:c>
      <x:c r="B4" s="145"/>
      <x:c r="C4" s="144" t="n">
        <x:f>COUNTIF('Analysis'!$D$2:$D$81,1)</x:f>
        <x:v>76</x:v>
      </x:c>
      <x:c r="D4" s="145"/>
      <x:c r="E4" s="144" t="n">
        <x:f>COUNTIF('Analysis'!$F$2:$F$81,"Zoomed Collision")</x:f>
        <x:v>39</x:v>
      </x:c>
      <x:c r="F4" s="145"/>
      <x:c r="G4" s="144" t="n">
        <x:f>COUNTIF('Analysis'!$F$2:$F$81,"Zoomed Entropy")</x:f>
        <x:v>16</x:v>
      </x:c>
      <x:c r="H4" s="145"/>
      <x:c r="I4" s="168" t="n">
        <x:f>AVERAGEIF('Analysis'!$D$2:$D$81,1,'Analysis'!$E$2:$E$81)</x:f>
        <x:v>-1.4605263157894737</x:v>
      </x:c>
      <x:c r="J4" s="169"/>
      <x:c r="K4" s="192" t="n">
        <x:f>AVERAGE('Raw Results'!$N$2:$N$81)/AVERAGE('Raw Results'!$J$2:$J$81)</x:f>
        <x:v>0.7696524488507738</x:v>
      </x:c>
      <x:c r="L4" s="193"/>
    </x:row>
    <x:row r="5" ht="24" customHeight="1">
      <x:c r="A5" s="146"/>
      <x:c r="B5" s="147"/>
      <x:c r="C5" s="146"/>
      <x:c r="D5" s="147"/>
      <x:c r="E5" s="146"/>
      <x:c r="F5" s="147"/>
      <x:c r="G5" s="146"/>
      <x:c r="H5" s="147"/>
      <x:c r="I5" s="170"/>
      <x:c r="J5" s="171"/>
      <x:c r="K5" s="194"/>
      <x:c r="L5" s="195"/>
    </x:row>
    <x:row r="7" ht="32" customHeight="1">
      <x:c r="A7" s="204" t="str">
        <x:v>Method</x:v>
      </x:c>
      <x:c r="B7" s="204" t="str">
        <x:v>Valid runs</x:v>
      </x:c>
      <x:c r="C7" s="204" t="str">
        <x:v>Validity</x:v>
      </x:c>
      <x:c r="D7" s="204" t="str">
        <x:v>Avg size (both valid)</x:v>
      </x:c>
      <x:c r="E7" s="204" t="str">
        <x:v>Avg time (s)</x:v>
      </x:c>
      <x:c r="F7" s="204" t="str">
        <x:v>Valid size wins</x:v>
      </x:c>
      <x:c r="G7" s="204" t="str">
        <x:v>Speed wins</x:v>
      </x:c>
    </x:row>
    <x:row r="8">
      <x:c r="A8" s="220" t="str">
        <x:v>Zoomed Entropy</x:v>
      </x:c>
      <x:c r="B8" s="224" t="n">
        <x:f>COUNTIF('Raw Results'!$K$2:$K$81,TRUE)</x:f>
        <x:v>78</x:v>
      </x:c>
      <x:c r="C8" s="228" t="n">
        <x:f>B8/$A$4</x:f>
        <x:v>0.975</x:v>
      </x:c>
      <x:c r="D8" s="232" t="n">
        <x:f>AVERAGEIF('Analysis'!$D$2:$D$81,1,'Raw Results'!$I$2:$I$81)</x:f>
        <x:v>44.36842105263158</x:v>
      </x:c>
      <x:c r="E8" s="236" t="n">
        <x:f>AVERAGE('Raw Results'!$J$2:$J$81)</x:f>
        <x:v>1.3293066812475445</x:v>
      </x:c>
      <x:c r="F8" s="224" t="n">
        <x:f>COUNTIF('Analysis'!$F$2:$F$81,A8)</x:f>
        <x:v>16</x:v>
      </x:c>
      <x:c r="G8" s="240" t="n">
        <x:f>COUNTIF('Analysis'!$H$2:$H$81,A8)</x:f>
        <x:v>14</x:v>
      </x:c>
    </x:row>
    <x:row r="9">
      <x:c r="A9" s="221" t="str">
        <x:v>Zoomed Collision</x:v>
      </x:c>
      <x:c r="B9" s="225" t="n">
        <x:f>COUNTIF('Raw Results'!$O$2:$O$81,TRUE)</x:f>
        <x:v>76</x:v>
      </x:c>
      <x:c r="C9" s="229" t="n">
        <x:f>B9/$A$4</x:f>
        <x:v>0.95</x:v>
      </x:c>
      <x:c r="D9" s="233" t="n">
        <x:f>AVERAGEIF('Analysis'!$D$2:$D$81,1,'Raw Results'!$M$2:$M$81)</x:f>
        <x:v>42.9078947368421</x:v>
      </x:c>
      <x:c r="E9" s="237" t="n">
        <x:f>AVERAGE('Raw Results'!$N$2:$N$81)</x:f>
        <x:v>1.0231041424958676</x:v>
      </x:c>
      <x:c r="F9" s="225" t="n">
        <x:f>COUNTIF('Analysis'!$F$2:$F$81,A9)</x:f>
        <x:v>39</x:v>
      </x:c>
      <x:c r="G9" s="241" t="n">
        <x:f>COUNTIF('Analysis'!$H$2:$H$81,A9)</x:f>
        <x:v>66</x:v>
      </x:c>
    </x:row>
    <x:row r="11">
      <x:c r="A11" s="272" t="str">
        <x:v>Interpretation: negative size change favors Zoomed Collision. Size comparisons exclude rows where either method is invalid. Two paired runs were invalid for both methods, and Zoomed Collision had two additional invalid runs; these exceptions remain visible in Analysis and Raw Results.</x:v>
      </x:c>
      <x:c r="B11" s="273"/>
      <x:c r="C11" s="273"/>
      <x:c r="D11" s="273"/>
      <x:c r="E11" s="273"/>
      <x:c r="F11" s="273"/>
      <x:c r="G11" s="273"/>
      <x:c r="H11" s="273"/>
      <x:c r="I11" s="273"/>
      <x:c r="J11" s="273"/>
      <x:c r="K11" s="273"/>
      <x:c r="L11" s="274"/>
    </x:row>
    <x:row r="12">
      <x:c r="A12" s="275"/>
      <x:c r="B12" s="276"/>
      <x:c r="C12" s="276"/>
      <x:c r="D12" s="276"/>
      <x:c r="E12" s="276"/>
      <x:c r="F12" s="276"/>
      <x:c r="G12" s="276"/>
      <x:c r="H12" s="276"/>
      <x:c r="I12" s="276"/>
      <x:c r="J12" s="276"/>
      <x:c r="K12" s="276"/>
      <x:c r="L12" s="277"/>
    </x:row>
  </x:sheetData>
  <x:mergeCells>
    <x:mergeCell ref="A1:L1"/>
    <x:mergeCell ref="A2:L2"/>
    <x:mergeCell ref="A3:B3"/>
    <x:mergeCell ref="C3:D3"/>
    <x:mergeCell ref="E3:F3"/>
    <x:mergeCell ref="G3:H3"/>
    <x:mergeCell ref="I3:J3"/>
    <x:mergeCell ref="K3:L3"/>
    <x:mergeCell ref="A4:B5"/>
    <x:mergeCell ref="C4:D5"/>
    <x:mergeCell ref="E4:F5"/>
    <x:mergeCell ref="G4:H5"/>
    <x:mergeCell ref="I4:J5"/>
    <x:mergeCell ref="K4:L5"/>
    <x:mergeCell ref="A11:L12"/>
  </x:mergeCells>
  <x:conditionalFormatting sqref="C8:C9">
    <x:cfRule type="cellIs" dxfId="2" priority="1" operator="lessThan">
      <x:formula>1</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0" hidden="0" customWidth="1"/>
    <x:col min="3" max="3" width="12" hidden="0" customWidth="1"/>
    <x:col min="4" max="4" width="12" hidden="0" customWidth="1"/>
    <x:col min="5" max="5" width="19" hidden="0" customWidth="1"/>
    <x:col min="6" max="6" width="19" hidden="0" customWidth="1"/>
    <x:col min="7" max="7" width="19" hidden="0" customWidth="1"/>
    <x:col min="8" max="8" width="15" hidden="0" customWidth="1"/>
    <x:col min="9" max="9" width="15" hidden="0" customWidth="1"/>
    <x:col min="10" max="10" width="15" hidden="0" customWidth="1"/>
    <x:col min="11" max="11" width="21" hidden="0" customWidth="1"/>
    <x:col min="12" max="12" width="21" hidden="0" customWidth="1"/>
    <x:col min="13" max="13" width="21" hidden="0" customWidth="1"/>
    <x:col min="14" max="14" width="17" hidden="0" customWidth="1"/>
    <x:col min="15" max="15" width="17" hidden="0" customWidth="1"/>
  </x:cols>
  <x:sheetData>
    <x:row r="1" ht="36" customHeight="1">
      <x:c r="A1" s="286" t="str">
        <x:v>Zoomed Entropy vs. Zoomed Collision by Configuration</x:v>
      </x:c>
      <x:c r="B1" s="286"/>
      <x:c r="C1" s="286"/>
      <x:c r="D1" s="286"/>
      <x:c r="E1" s="286"/>
      <x:c r="F1" s="286"/>
      <x:c r="G1" s="286"/>
      <x:c r="H1" s="286"/>
      <x:c r="I1" s="286"/>
      <x:c r="J1" s="286"/>
      <x:c r="K1" s="286"/>
      <x:c r="L1" s="286"/>
      <x:c r="M1" s="286"/>
      <x:c r="N1" s="286"/>
      <x:c r="O1" s="286"/>
    </x:row>
    <x:row r="2">
      <x:c r="A2" s="102" t="str">
        <x:v>Set-size averages use paired-valid rows; timing averages include all five repeats for each graph configuration.</x:v>
      </x:c>
      <x:c r="B2" s="102"/>
      <x:c r="C2" s="102"/>
      <x:c r="D2" s="102"/>
      <x:c r="E2" s="102"/>
      <x:c r="F2" s="102"/>
      <x:c r="G2" s="102"/>
      <x:c r="H2" s="102"/>
      <x:c r="I2" s="102"/>
      <x:c r="J2" s="102"/>
      <x:c r="K2" s="102"/>
      <x:c r="L2" s="102"/>
      <x:c r="M2" s="102"/>
      <x:c r="N2" s="102"/>
      <x:c r="O2" s="102"/>
    </x:row>
    <x:row r="5" ht="40" customHeight="1">
      <x:c r="A5" s="10" t="str">
        <x:v>n</x:v>
      </x:c>
      <x:c r="B5" s="10" t="str">
        <x:v>radius</x:v>
      </x:c>
      <x:c r="C5" s="10" t="str">
        <x:v>runs</x:v>
      </x:c>
      <x:c r="D5" s="10" t="str">
        <x:v>both valid</x:v>
      </x:c>
      <x:c r="E5" s="10" t="str">
        <x:v>Entropy avg size</x:v>
      </x:c>
      <x:c r="F5" s="10" t="str">
        <x:v>Collision avg size</x:v>
      </x:c>
      <x:c r="G5" s="10" t="str">
        <x:v>Collision - Entropy</x:v>
      </x:c>
      <x:c r="H5" s="10" t="str">
        <x:v>Collision wins</x:v>
      </x:c>
      <x:c r="I5" s="10" t="str">
        <x:v>Entropy wins</x:v>
      </x:c>
      <x:c r="J5" s="10" t="str">
        <x:v>ties</x:v>
      </x:c>
      <x:c r="K5" s="10" t="str">
        <x:v>Entropy avg time (s)</x:v>
      </x:c>
      <x:c r="L5" s="10" t="str">
        <x:v>Collision avg time (s)</x:v>
      </x:c>
      <x:c r="M5" s="10" t="str">
        <x:v>Collision / Entropy time</x:v>
      </x:c>
      <x:c r="N5" s="10" t="str">
        <x:v>Entropy validity</x:v>
      </x:c>
      <x:c r="O5" s="10" t="str">
        <x:v>Collision validity</x:v>
      </x:c>
    </x:row>
    <x:row r="6">
      <x:c r="A6" s="60" t="n">
        <x:v>50</x:v>
      </x:c>
      <x:c r="B6" s="61" t="n">
        <x:v>0.1</x:v>
      </x:c>
      <x:c r="C6" s="60" t="n">
        <x:f>COUNTIFS('Raw Results'!$A$2:$A$81,A6,'Raw Results'!$B$2:$B$81,B6)</x:f>
        <x:v>5</x:v>
      </x:c>
      <x:c r="D6" s="60" t="n">
        <x:f>COUNTIFS('Raw Results'!$A$2:$A$81,A6,'Raw Results'!$B$2:$B$81,B6,'Analysis'!$D$2:$D$81,1)</x:f>
        <x:v>5</x:v>
      </x:c>
      <x:c r="E6" s="294" t="n">
        <x:f>IF(D6=0,"",AVERAGEIFS('Raw Results'!$I$2:$I$81,'Raw Results'!$A$2:$A$81,A6,'Raw Results'!$B$2:$B$81,B6,'Analysis'!$D$2:$D$81,1))</x:f>
        <x:v>28.2</x:v>
      </x:c>
      <x:c r="F6" s="294" t="n">
        <x:f>IF(D6=0,"",AVERAGEIFS('Raw Results'!$M$2:$M$81,'Raw Results'!$A$2:$A$81,A6,'Raw Results'!$B$2:$B$81,B6,'Analysis'!$D$2:$D$81,1))</x:f>
        <x:v>28.2</x:v>
      </x:c>
      <x:c r="G6" s="294" t="n">
        <x:f>IF(D6=0,"",F6-E6)</x:f>
        <x:v>0</x:v>
      </x:c>
      <x:c r="H6" s="60" t="n">
        <x:f>COUNTIFS('Raw Results'!$A$2:$A$81,A6,'Raw Results'!$B$2:$B$81,B6,'Analysis'!$F$2:$F$81,"Zoomed Collision")</x:f>
        <x:v>0</x:v>
      </x:c>
      <x:c r="I6" s="60" t="n">
        <x:f>COUNTIFS('Raw Results'!$A$2:$A$81,A6,'Raw Results'!$B$2:$B$81,B6,'Analysis'!$F$2:$F$81,"Zoomed Entropy")</x:f>
        <x:v>0</x:v>
      </x:c>
      <x:c r="J6" s="60" t="n">
        <x:f>COUNTIFS('Raw Results'!$A$2:$A$81,A6,'Raw Results'!$B$2:$B$81,B6,'Analysis'!$F$2:$F$81,"Tie")</x:f>
        <x:v>5</x:v>
      </x:c>
      <x:c r="K6" s="295" t="n">
        <x:f>AVERAGEIFS('Raw Results'!$J$2:$J$81,'Raw Results'!$A$2:$A$81,A6,'Raw Results'!$B$2:$B$81,B6)</x:f>
        <x:v>0.0026186399860307573</x:v>
      </x:c>
      <x:c r="L6" s="295" t="n">
        <x:f>AVERAGEIFS('Raw Results'!$N$2:$N$81,'Raw Results'!$A$2:$A$81,A6,'Raw Results'!$B$2:$B$81,B6)</x:f>
        <x:v>0.0025931400014087558</x:v>
      </x:c>
      <x:c r="M6" s="65" t="n">
        <x:f>L6/K6</x:f>
        <x:v>0.9902621266160937</x:v>
      </x:c>
      <x:c r="N6" s="296" t="n">
        <x:f>COUNTIFS('Raw Results'!$A$2:$A$81,A6,'Raw Results'!$B$2:$B$81,B6,'Raw Results'!$K$2:$K$81,TRUE)/C6</x:f>
        <x:v>1</x:v>
      </x:c>
      <x:c r="O6" s="296" t="n">
        <x:f>COUNTIFS('Raw Results'!$A$2:$A$81,A6,'Raw Results'!$B$2:$B$81,B6,'Raw Results'!$O$2:$O$81,TRUE)/C6</x:f>
        <x:v>1</x:v>
      </x:c>
    </x:row>
    <x:row r="7">
      <x:c r="A7" s="66" t="n">
        <x:v>50</x:v>
      </x:c>
      <x:c r="B7" s="67" t="n">
        <x:v>0.3</x:v>
      </x:c>
      <x:c r="C7" s="66" t="n">
        <x:f>COUNTIFS('Raw Results'!$A$2:$A$81,A7,'Raw Results'!$B$2:$B$81,B7)</x:f>
        <x:v>5</x:v>
      </x:c>
      <x:c r="D7" s="66" t="n">
        <x:f>COUNTIFS('Raw Results'!$A$2:$A$81,A7,'Raw Results'!$B$2:$B$81,B7,'Analysis'!$D$2:$D$81,1)</x:f>
        <x:v>4</x:v>
      </x:c>
      <x:c r="E7" s="297" t="n">
        <x:f>IF(D7=0,"",AVERAGEIFS('Raw Results'!$I$2:$I$81,'Raw Results'!$A$2:$A$81,A7,'Raw Results'!$B$2:$B$81,B7,'Analysis'!$D$2:$D$81,1))</x:f>
        <x:v>13.75</x:v>
      </x:c>
      <x:c r="F7" s="297" t="n">
        <x:f>IF(D7=0,"",AVERAGEIFS('Raw Results'!$M$2:$M$81,'Raw Results'!$A$2:$A$81,A7,'Raw Results'!$B$2:$B$81,B7,'Analysis'!$D$2:$D$81,1))</x:f>
        <x:v>13.25</x:v>
      </x:c>
      <x:c r="G7" s="297" t="n">
        <x:f>IF(D7=0,"",F7-E7)</x:f>
        <x:v>-0.5</x:v>
      </x:c>
      <x:c r="H7" s="66" t="n">
        <x:f>COUNTIFS('Raw Results'!$A$2:$A$81,A7,'Raw Results'!$B$2:$B$81,B7,'Analysis'!$F$2:$F$81,"Zoomed Collision")</x:f>
        <x:v>2</x:v>
      </x:c>
      <x:c r="I7" s="66" t="n">
        <x:f>COUNTIFS('Raw Results'!$A$2:$A$81,A7,'Raw Results'!$B$2:$B$81,B7,'Analysis'!$F$2:$F$81,"Zoomed Entropy")</x:f>
        <x:v>0</x:v>
      </x:c>
      <x:c r="J7" s="66" t="n">
        <x:f>COUNTIFS('Raw Results'!$A$2:$A$81,A7,'Raw Results'!$B$2:$B$81,B7,'Analysis'!$F$2:$F$81,"Tie")</x:f>
        <x:v>2</x:v>
      </x:c>
      <x:c r="K7" s="298" t="n">
        <x:f>AVERAGEIFS('Raw Results'!$J$2:$J$81,'Raw Results'!$A$2:$A$81,A7,'Raw Results'!$B$2:$B$81,B7)</x:f>
        <x:v>0.004263279982842505</x:v>
      </x:c>
      <x:c r="L7" s="298" t="n">
        <x:f>AVERAGEIFS('Raw Results'!$N$2:$N$81,'Raw Results'!$A$2:$A$81,A7,'Raw Results'!$B$2:$B$81,B7)</x:f>
        <x:v>0.003922759997658431</x:v>
      </x:c>
      <x:c r="M7" s="71" t="n">
        <x:f>L7/K7</x:f>
        <x:v>0.9201272291394207</x:v>
      </x:c>
      <x:c r="N7" s="299" t="n">
        <x:f>COUNTIFS('Raw Results'!$A$2:$A$81,A7,'Raw Results'!$B$2:$B$81,B7,'Raw Results'!$K$2:$K$81,TRUE)/C7</x:f>
        <x:v>0.8</x:v>
      </x:c>
      <x:c r="O7" s="299" t="n">
        <x:f>COUNTIFS('Raw Results'!$A$2:$A$81,A7,'Raw Results'!$B$2:$B$81,B7,'Raw Results'!$O$2:$O$81,TRUE)/C7</x:f>
        <x:v>0.8</x:v>
      </x:c>
    </x:row>
    <x:row r="8">
      <x:c r="A8" s="66" t="n">
        <x:v>50</x:v>
      </x:c>
      <x:c r="B8" s="67" t="n">
        <x:v>0.5</x:v>
      </x:c>
      <x:c r="C8" s="66" t="n">
        <x:f>COUNTIFS('Raw Results'!$A$2:$A$81,A8,'Raw Results'!$B$2:$B$81,B8)</x:f>
        <x:v>5</x:v>
      </x:c>
      <x:c r="D8" s="66" t="n">
        <x:f>COUNTIFS('Raw Results'!$A$2:$A$81,A8,'Raw Results'!$B$2:$B$81,B8,'Analysis'!$D$2:$D$81,1)</x:f>
        <x:v>5</x:v>
      </x:c>
      <x:c r="E8" s="297" t="n">
        <x:f>IF(D8=0,"",AVERAGEIFS('Raw Results'!$I$2:$I$81,'Raw Results'!$A$2:$A$81,A8,'Raw Results'!$B$2:$B$81,B8,'Analysis'!$D$2:$D$81,1))</x:f>
        <x:v>15</x:v>
      </x:c>
      <x:c r="F8" s="297" t="n">
        <x:f>IF(D8=0,"",AVERAGEIFS('Raw Results'!$M$2:$M$81,'Raw Results'!$A$2:$A$81,A8,'Raw Results'!$B$2:$B$81,B8,'Analysis'!$D$2:$D$81,1))</x:f>
        <x:v>15.8</x:v>
      </x:c>
      <x:c r="G8" s="297" t="n">
        <x:f>IF(D8=0,"",F8-E8)</x:f>
        <x:v>0.8000000000000007</x:v>
      </x:c>
      <x:c r="H8" s="66" t="n">
        <x:f>COUNTIFS('Raw Results'!$A$2:$A$81,A8,'Raw Results'!$B$2:$B$81,B8,'Analysis'!$F$2:$F$81,"Zoomed Collision")</x:f>
        <x:v>0</x:v>
      </x:c>
      <x:c r="I8" s="66" t="n">
        <x:f>COUNTIFS('Raw Results'!$A$2:$A$81,A8,'Raw Results'!$B$2:$B$81,B8,'Analysis'!$F$2:$F$81,"Zoomed Entropy")</x:f>
        <x:v>2</x:v>
      </x:c>
      <x:c r="J8" s="66" t="n">
        <x:f>COUNTIFS('Raw Results'!$A$2:$A$81,A8,'Raw Results'!$B$2:$B$81,B8,'Analysis'!$F$2:$F$81,"Tie")</x:f>
        <x:v>3</x:v>
      </x:c>
      <x:c r="K8" s="298" t="n">
        <x:f>AVERAGEIFS('Raw Results'!$J$2:$J$81,'Raw Results'!$A$2:$A$81,A8,'Raw Results'!$B$2:$B$81,B8)</x:f>
        <x:v>0.007634279981721193</x:v>
      </x:c>
      <x:c r="L8" s="298" t="n">
        <x:f>AVERAGEIFS('Raw Results'!$N$2:$N$81,'Raw Results'!$A$2:$A$81,A8,'Raw Results'!$B$2:$B$81,B8)</x:f>
        <x:v>0.007495479984208941</x:v>
      </x:c>
      <x:c r="M8" s="71" t="n">
        <x:f>L8/K8</x:f>
        <x:v>0.9818188489491371</x:v>
      </x:c>
      <x:c r="N8" s="299" t="n">
        <x:f>COUNTIFS('Raw Results'!$A$2:$A$81,A8,'Raw Results'!$B$2:$B$81,B8,'Raw Results'!$K$2:$K$81,TRUE)/C8</x:f>
        <x:v>1</x:v>
      </x:c>
      <x:c r="O8" s="299" t="n">
        <x:f>COUNTIFS('Raw Results'!$A$2:$A$81,A8,'Raw Results'!$B$2:$B$81,B8,'Raw Results'!$O$2:$O$81,TRUE)/C8</x:f>
        <x:v>1</x:v>
      </x:c>
    </x:row>
    <x:row r="9">
      <x:c r="A9" s="66" t="n">
        <x:v>50</x:v>
      </x:c>
      <x:c r="B9" s="67" t="n">
        <x:v>0.7</x:v>
      </x:c>
      <x:c r="C9" s="66" t="n">
        <x:f>COUNTIFS('Raw Results'!$A$2:$A$81,A9,'Raw Results'!$B$2:$B$81,B9)</x:f>
        <x:v>5</x:v>
      </x:c>
      <x:c r="D9" s="66" t="n">
        <x:f>COUNTIFS('Raw Results'!$A$2:$A$81,A9,'Raw Results'!$B$2:$B$81,B9,'Analysis'!$D$2:$D$81,1)</x:f>
        <x:v>5</x:v>
      </x:c>
      <x:c r="E9" s="297" t="n">
        <x:f>IF(D9=0,"",AVERAGEIFS('Raw Results'!$I$2:$I$81,'Raw Results'!$A$2:$A$81,A9,'Raw Results'!$B$2:$B$81,B9,'Analysis'!$D$2:$D$81,1))</x:f>
        <x:v>22.8</x:v>
      </x:c>
      <x:c r="F9" s="297" t="n">
        <x:f>IF(D9=0,"",AVERAGEIFS('Raw Results'!$M$2:$M$81,'Raw Results'!$A$2:$A$81,A9,'Raw Results'!$B$2:$B$81,B9,'Analysis'!$D$2:$D$81,1))</x:f>
        <x:v>21.6</x:v>
      </x:c>
      <x:c r="G9" s="297" t="n">
        <x:f>IF(D9=0,"",F9-E9)</x:f>
        <x:v>-1.1999999999999993</x:v>
      </x:c>
      <x:c r="H9" s="66" t="n">
        <x:f>COUNTIFS('Raw Results'!$A$2:$A$81,A9,'Raw Results'!$B$2:$B$81,B9,'Analysis'!$F$2:$F$81,"Zoomed Collision")</x:f>
        <x:v>4</x:v>
      </x:c>
      <x:c r="I9" s="66" t="n">
        <x:f>COUNTIFS('Raw Results'!$A$2:$A$81,A9,'Raw Results'!$B$2:$B$81,B9,'Analysis'!$F$2:$F$81,"Zoomed Entropy")</x:f>
        <x:v>0</x:v>
      </x:c>
      <x:c r="J9" s="66" t="n">
        <x:f>COUNTIFS('Raw Results'!$A$2:$A$81,A9,'Raw Results'!$B$2:$B$81,B9,'Analysis'!$F$2:$F$81,"Tie")</x:f>
        <x:v>1</x:v>
      </x:c>
      <x:c r="K9" s="298" t="n">
        <x:f>AVERAGEIFS('Raw Results'!$J$2:$J$81,'Raw Results'!$A$2:$A$81,A9,'Raw Results'!$B$2:$B$81,B9)</x:f>
        <x:v>0.012155379995238035</x:v>
      </x:c>
      <x:c r="L9" s="298" t="n">
        <x:f>AVERAGEIFS('Raw Results'!$N$2:$N$81,'Raw Results'!$A$2:$A$81,A9,'Raw Results'!$B$2:$B$81,B9)</x:f>
        <x:v>0.014171620004344732</x:v>
      </x:c>
      <x:c r="M9" s="71" t="n">
        <x:f>L9/K9</x:f>
        <x:v>1.1658722318756447</x:v>
      </x:c>
      <x:c r="N9" s="299" t="n">
        <x:f>COUNTIFS('Raw Results'!$A$2:$A$81,A9,'Raw Results'!$B$2:$B$81,B9,'Raw Results'!$K$2:$K$81,TRUE)/C9</x:f>
        <x:v>1</x:v>
      </x:c>
      <x:c r="O9" s="299" t="n">
        <x:f>COUNTIFS('Raw Results'!$A$2:$A$81,A9,'Raw Results'!$B$2:$B$81,B9,'Raw Results'!$O$2:$O$81,TRUE)/C9</x:f>
        <x:v>1</x:v>
      </x:c>
    </x:row>
    <x:row r="10">
      <x:c r="A10" s="66" t="n">
        <x:v>100</x:v>
      </x:c>
      <x:c r="B10" s="67" t="n">
        <x:v>0.1</x:v>
      </x:c>
      <x:c r="C10" s="66" t="n">
        <x:f>COUNTIFS('Raw Results'!$A$2:$A$81,A10,'Raw Results'!$B$2:$B$81,B10)</x:f>
        <x:v>5</x:v>
      </x:c>
      <x:c r="D10" s="66" t="n">
        <x:f>COUNTIFS('Raw Results'!$A$2:$A$81,A10,'Raw Results'!$B$2:$B$81,B10,'Analysis'!$D$2:$D$81,1)</x:f>
        <x:v>4</x:v>
      </x:c>
      <x:c r="E10" s="297" t="n">
        <x:f>IF(D10=0,"",AVERAGEIFS('Raw Results'!$I$2:$I$81,'Raw Results'!$A$2:$A$81,A10,'Raw Results'!$B$2:$B$81,B10,'Analysis'!$D$2:$D$81,1))</x:f>
        <x:v>29.75</x:v>
      </x:c>
      <x:c r="F10" s="297" t="n">
        <x:f>IF(D10=0,"",AVERAGEIFS('Raw Results'!$M$2:$M$81,'Raw Results'!$A$2:$A$81,A10,'Raw Results'!$B$2:$B$81,B10,'Analysis'!$D$2:$D$81,1))</x:f>
        <x:v>29.75</x:v>
      </x:c>
      <x:c r="G10" s="297" t="n">
        <x:f>IF(D10=0,"",F10-E10)</x:f>
        <x:v>0</x:v>
      </x:c>
      <x:c r="H10" s="66" t="n">
        <x:f>COUNTIFS('Raw Results'!$A$2:$A$81,A10,'Raw Results'!$B$2:$B$81,B10,'Analysis'!$F$2:$F$81,"Zoomed Collision")</x:f>
        <x:v>1</x:v>
      </x:c>
      <x:c r="I10" s="66" t="n">
        <x:f>COUNTIFS('Raw Results'!$A$2:$A$81,A10,'Raw Results'!$B$2:$B$81,B10,'Analysis'!$F$2:$F$81,"Zoomed Entropy")</x:f>
        <x:v>1</x:v>
      </x:c>
      <x:c r="J10" s="66" t="n">
        <x:f>COUNTIFS('Raw Results'!$A$2:$A$81,A10,'Raw Results'!$B$2:$B$81,B10,'Analysis'!$F$2:$F$81,"Tie")</x:f>
        <x:v>2</x:v>
      </x:c>
      <x:c r="K10" s="298" t="n">
        <x:f>AVERAGEIFS('Raw Results'!$J$2:$J$81,'Raw Results'!$A$2:$A$81,A10,'Raw Results'!$B$2:$B$81,B10)</x:f>
        <x:v>0.017806960002053528</x:v>
      </x:c>
      <x:c r="L10" s="298" t="n">
        <x:f>AVERAGEIFS('Raw Results'!$N$2:$N$81,'Raw Results'!$A$2:$A$81,A10,'Raw Results'!$B$2:$B$81,B10)</x:f>
        <x:v>0.01712375998031348</x:v>
      </x:c>
      <x:c r="M10" s="71" t="n">
        <x:f>L10/K10</x:f>
        <x:v>0.9616329782477604</x:v>
      </x:c>
      <x:c r="N10" s="299" t="n">
        <x:f>COUNTIFS('Raw Results'!$A$2:$A$81,A10,'Raw Results'!$B$2:$B$81,B10,'Raw Results'!$K$2:$K$81,TRUE)/C10</x:f>
        <x:v>0.8</x:v>
      </x:c>
      <x:c r="O10" s="299" t="n">
        <x:f>COUNTIFS('Raw Results'!$A$2:$A$81,A10,'Raw Results'!$B$2:$B$81,B10,'Raw Results'!$O$2:$O$81,TRUE)/C10</x:f>
        <x:v>0.8</x:v>
      </x:c>
    </x:row>
    <x:row r="11">
      <x:c r="A11" s="66" t="n">
        <x:v>100</x:v>
      </x:c>
      <x:c r="B11" s="67" t="n">
        <x:v>0.3</x:v>
      </x:c>
      <x:c r="C11" s="66" t="n">
        <x:f>COUNTIFS('Raw Results'!$A$2:$A$81,A11,'Raw Results'!$B$2:$B$81,B11)</x:f>
        <x:v>5</x:v>
      </x:c>
      <x:c r="D11" s="66" t="n">
        <x:f>COUNTIFS('Raw Results'!$A$2:$A$81,A11,'Raw Results'!$B$2:$B$81,B11,'Analysis'!$D$2:$D$81,1)</x:f>
        <x:v>4</x:v>
      </x:c>
      <x:c r="E11" s="297" t="n">
        <x:f>IF(D11=0,"",AVERAGEIFS('Raw Results'!$I$2:$I$81,'Raw Results'!$A$2:$A$81,A11,'Raw Results'!$B$2:$B$81,B11,'Analysis'!$D$2:$D$81,1))</x:f>
        <x:v>21.25</x:v>
      </x:c>
      <x:c r="F11" s="297" t="n">
        <x:f>IF(D11=0,"",AVERAGEIFS('Raw Results'!$M$2:$M$81,'Raw Results'!$A$2:$A$81,A11,'Raw Results'!$B$2:$B$81,B11,'Analysis'!$D$2:$D$81,1))</x:f>
        <x:v>22</x:v>
      </x:c>
      <x:c r="G11" s="297" t="n">
        <x:f>IF(D11=0,"",F11-E11)</x:f>
        <x:v>0.75</x:v>
      </x:c>
      <x:c r="H11" s="66" t="n">
        <x:f>COUNTIFS('Raw Results'!$A$2:$A$81,A11,'Raw Results'!$B$2:$B$81,B11,'Analysis'!$F$2:$F$81,"Zoomed Collision")</x:f>
        <x:v>1</x:v>
      </x:c>
      <x:c r="I11" s="66" t="n">
        <x:f>COUNTIFS('Raw Results'!$A$2:$A$81,A11,'Raw Results'!$B$2:$B$81,B11,'Analysis'!$F$2:$F$81,"Zoomed Entropy")</x:f>
        <x:v>2</x:v>
      </x:c>
      <x:c r="J11" s="66" t="n">
        <x:f>COUNTIFS('Raw Results'!$A$2:$A$81,A11,'Raw Results'!$B$2:$B$81,B11,'Analysis'!$F$2:$F$81,"Tie")</x:f>
        <x:v>1</x:v>
      </x:c>
      <x:c r="K11" s="298" t="n">
        <x:f>AVERAGEIFS('Raw Results'!$J$2:$J$81,'Raw Results'!$A$2:$A$81,A11,'Raw Results'!$B$2:$B$81,B11)</x:f>
        <x:v>0.022790499997790904</x:v>
      </x:c>
      <x:c r="L11" s="298" t="n">
        <x:f>AVERAGEIFS('Raw Results'!$N$2:$N$81,'Raw Results'!$A$2:$A$81,A11,'Raw Results'!$B$2:$B$81,B11)</x:f>
        <x:v>0.018660919996909796</x:v>
      </x:c>
      <x:c r="M11" s="71" t="n">
        <x:f>L11/K11</x:f>
        <x:v>0.8188025711905667</x:v>
      </x:c>
      <x:c r="N11" s="299" t="n">
        <x:f>COUNTIFS('Raw Results'!$A$2:$A$81,A11,'Raw Results'!$B$2:$B$81,B11,'Raw Results'!$K$2:$K$81,TRUE)/C11</x:f>
        <x:v>1</x:v>
      </x:c>
      <x:c r="O11" s="299" t="n">
        <x:f>COUNTIFS('Raw Results'!$A$2:$A$81,A11,'Raw Results'!$B$2:$B$81,B11,'Raw Results'!$O$2:$O$81,TRUE)/C11</x:f>
        <x:v>0.8</x:v>
      </x:c>
    </x:row>
    <x:row r="12">
      <x:c r="A12" s="66" t="n">
        <x:v>100</x:v>
      </x:c>
      <x:c r="B12" s="67" t="n">
        <x:v>0.5</x:v>
      </x:c>
      <x:c r="C12" s="66" t="n">
        <x:f>COUNTIFS('Raw Results'!$A$2:$A$81,A12,'Raw Results'!$B$2:$B$81,B12)</x:f>
        <x:v>5</x:v>
      </x:c>
      <x:c r="D12" s="66" t="n">
        <x:f>COUNTIFS('Raw Results'!$A$2:$A$81,A12,'Raw Results'!$B$2:$B$81,B12,'Analysis'!$D$2:$D$81,1)</x:f>
        <x:v>5</x:v>
      </x:c>
      <x:c r="E12" s="297" t="n">
        <x:f>IF(D12=0,"",AVERAGEIFS('Raw Results'!$I$2:$I$81,'Raw Results'!$A$2:$A$81,A12,'Raw Results'!$B$2:$B$81,B12,'Analysis'!$D$2:$D$81,1))</x:f>
        <x:v>26.4</x:v>
      </x:c>
      <x:c r="F12" s="297" t="n">
        <x:f>IF(D12=0,"",AVERAGEIFS('Raw Results'!$M$2:$M$81,'Raw Results'!$A$2:$A$81,A12,'Raw Results'!$B$2:$B$81,B12,'Analysis'!$D$2:$D$81,1))</x:f>
        <x:v>25.8</x:v>
      </x:c>
      <x:c r="G12" s="297" t="n">
        <x:f>IF(D12=0,"",F12-E12)</x:f>
        <x:v>-0.5999999999999979</x:v>
      </x:c>
      <x:c r="H12" s="66" t="n">
        <x:f>COUNTIFS('Raw Results'!$A$2:$A$81,A12,'Raw Results'!$B$2:$B$81,B12,'Analysis'!$F$2:$F$81,"Zoomed Collision")</x:f>
        <x:v>3</x:v>
      </x:c>
      <x:c r="I12" s="66" t="n">
        <x:f>COUNTIFS('Raw Results'!$A$2:$A$81,A12,'Raw Results'!$B$2:$B$81,B12,'Analysis'!$F$2:$F$81,"Zoomed Entropy")</x:f>
        <x:v>1</x:v>
      </x:c>
      <x:c r="J12" s="66" t="n">
        <x:f>COUNTIFS('Raw Results'!$A$2:$A$81,A12,'Raw Results'!$B$2:$B$81,B12,'Analysis'!$F$2:$F$81,"Tie")</x:f>
        <x:v>1</x:v>
      </x:c>
      <x:c r="K12" s="298" t="n">
        <x:f>AVERAGEIFS('Raw Results'!$J$2:$J$81,'Raw Results'!$A$2:$A$81,A12,'Raw Results'!$B$2:$B$81,B12)</x:f>
        <x:v>0.059785219992045315</x:v>
      </x:c>
      <x:c r="L12" s="298" t="n">
        <x:f>AVERAGEIFS('Raw Results'!$N$2:$N$81,'Raw Results'!$A$2:$A$81,A12,'Raw Results'!$B$2:$B$81,B12)</x:f>
        <x:v>0.04636460000183433</x:v>
      </x:c>
      <x:c r="M12" s="71" t="n">
        <x:f>L12/K12</x:f>
        <x:v>0.7755194345358827</x:v>
      </x:c>
      <x:c r="N12" s="299" t="n">
        <x:f>COUNTIFS('Raw Results'!$A$2:$A$81,A12,'Raw Results'!$B$2:$B$81,B12,'Raw Results'!$K$2:$K$81,TRUE)/C12</x:f>
        <x:v>1</x:v>
      </x:c>
      <x:c r="O12" s="299" t="n">
        <x:f>COUNTIFS('Raw Results'!$A$2:$A$81,A12,'Raw Results'!$B$2:$B$81,B12,'Raw Results'!$O$2:$O$81,TRUE)/C12</x:f>
        <x:v>1</x:v>
      </x:c>
    </x:row>
    <x:row r="13">
      <x:c r="A13" s="66" t="n">
        <x:v>100</x:v>
      </x:c>
      <x:c r="B13" s="67" t="n">
        <x:v>0.7</x:v>
      </x:c>
      <x:c r="C13" s="66" t="n">
        <x:f>COUNTIFS('Raw Results'!$A$2:$A$81,A13,'Raw Results'!$B$2:$B$81,B13)</x:f>
        <x:v>5</x:v>
      </x:c>
      <x:c r="D13" s="66" t="n">
        <x:f>COUNTIFS('Raw Results'!$A$2:$A$81,A13,'Raw Results'!$B$2:$B$81,B13,'Analysis'!$D$2:$D$81,1)</x:f>
        <x:v>5</x:v>
      </x:c>
      <x:c r="E13" s="297" t="n">
        <x:f>IF(D13=0,"",AVERAGEIFS('Raw Results'!$I$2:$I$81,'Raw Results'!$A$2:$A$81,A13,'Raw Results'!$B$2:$B$81,B13,'Analysis'!$D$2:$D$81,1))</x:f>
        <x:v>35</x:v>
      </x:c>
      <x:c r="F13" s="297" t="n">
        <x:f>IF(D13=0,"",AVERAGEIFS('Raw Results'!$M$2:$M$81,'Raw Results'!$A$2:$A$81,A13,'Raw Results'!$B$2:$B$81,B13,'Analysis'!$D$2:$D$81,1))</x:f>
        <x:v>32.4</x:v>
      </x:c>
      <x:c r="G13" s="297" t="n">
        <x:f>IF(D13=0,"",F13-E13)</x:f>
        <x:v>-2.6000000000000014</x:v>
      </x:c>
      <x:c r="H13" s="66" t="n">
        <x:f>COUNTIFS('Raw Results'!$A$2:$A$81,A13,'Raw Results'!$B$2:$B$81,B13,'Analysis'!$F$2:$F$81,"Zoomed Collision")</x:f>
        <x:v>4</x:v>
      </x:c>
      <x:c r="I13" s="66" t="n">
        <x:f>COUNTIFS('Raw Results'!$A$2:$A$81,A13,'Raw Results'!$B$2:$B$81,B13,'Analysis'!$F$2:$F$81,"Zoomed Entropy")</x:f>
        <x:v>1</x:v>
      </x:c>
      <x:c r="J13" s="66" t="n">
        <x:f>COUNTIFS('Raw Results'!$A$2:$A$81,A13,'Raw Results'!$B$2:$B$81,B13,'Analysis'!$F$2:$F$81,"Tie")</x:f>
        <x:v>0</x:v>
      </x:c>
      <x:c r="K13" s="298" t="n">
        <x:f>AVERAGEIFS('Raw Results'!$J$2:$J$81,'Raw Results'!$A$2:$A$81,A13,'Raw Results'!$B$2:$B$81,B13)</x:f>
        <x:v>0.11128938000183553</x:v>
      </x:c>
      <x:c r="L13" s="298" t="n">
        <x:f>AVERAGEIFS('Raw Results'!$N$2:$N$81,'Raw Results'!$A$2:$A$81,A13,'Raw Results'!$B$2:$B$81,B13)</x:f>
        <x:v>0.09224782000528649</x:v>
      </x:c>
      <x:c r="M13" s="71" t="n">
        <x:f>L13/K13</x:f>
        <x:v>0.8289004755329307</x:v>
      </x:c>
      <x:c r="N13" s="299" t="n">
        <x:f>COUNTIFS('Raw Results'!$A$2:$A$81,A13,'Raw Results'!$B$2:$B$81,B13,'Raw Results'!$K$2:$K$81,TRUE)/C13</x:f>
        <x:v>1</x:v>
      </x:c>
      <x:c r="O13" s="299" t="n">
        <x:f>COUNTIFS('Raw Results'!$A$2:$A$81,A13,'Raw Results'!$B$2:$B$81,B13,'Raw Results'!$O$2:$O$81,TRUE)/C13</x:f>
        <x:v>1</x:v>
      </x:c>
    </x:row>
    <x:row r="14">
      <x:c r="A14" s="66" t="n">
        <x:v>200</x:v>
      </x:c>
      <x:c r="B14" s="67" t="n">
        <x:v>0.1</x:v>
      </x:c>
      <x:c r="C14" s="66" t="n">
        <x:f>COUNTIFS('Raw Results'!$A$2:$A$81,A14,'Raw Results'!$B$2:$B$81,B14)</x:f>
        <x:v>5</x:v>
      </x:c>
      <x:c r="D14" s="66" t="n">
        <x:f>COUNTIFS('Raw Results'!$A$2:$A$81,A14,'Raw Results'!$B$2:$B$81,B14,'Analysis'!$D$2:$D$81,1)</x:f>
        <x:v>5</x:v>
      </x:c>
      <x:c r="E14" s="297" t="n">
        <x:f>IF(D14=0,"",AVERAGEIFS('Raw Results'!$I$2:$I$81,'Raw Results'!$A$2:$A$81,A14,'Raw Results'!$B$2:$B$81,B14,'Analysis'!$D$2:$D$81,1))</x:f>
        <x:v>38.8</x:v>
      </x:c>
      <x:c r="F14" s="297" t="n">
        <x:f>IF(D14=0,"",AVERAGEIFS('Raw Results'!$M$2:$M$81,'Raw Results'!$A$2:$A$81,A14,'Raw Results'!$B$2:$B$81,B14,'Analysis'!$D$2:$D$81,1))</x:f>
        <x:v>38.8</x:v>
      </x:c>
      <x:c r="G14" s="297" t="n">
        <x:f>IF(D14=0,"",F14-E14)</x:f>
        <x:v>0</x:v>
      </x:c>
      <x:c r="H14" s="66" t="n">
        <x:f>COUNTIFS('Raw Results'!$A$2:$A$81,A14,'Raw Results'!$B$2:$B$81,B14,'Analysis'!$F$2:$F$81,"Zoomed Collision")</x:f>
        <x:v>2</x:v>
      </x:c>
      <x:c r="I14" s="66" t="n">
        <x:f>COUNTIFS('Raw Results'!$A$2:$A$81,A14,'Raw Results'!$B$2:$B$81,B14,'Analysis'!$F$2:$F$81,"Zoomed Entropy")</x:f>
        <x:v>2</x:v>
      </x:c>
      <x:c r="J14" s="66" t="n">
        <x:f>COUNTIFS('Raw Results'!$A$2:$A$81,A14,'Raw Results'!$B$2:$B$81,B14,'Analysis'!$F$2:$F$81,"Tie")</x:f>
        <x:v>1</x:v>
      </x:c>
      <x:c r="K14" s="298" t="n">
        <x:f>AVERAGEIFS('Raw Results'!$J$2:$J$81,'Raw Results'!$A$2:$A$81,A14,'Raw Results'!$B$2:$B$81,B14)</x:f>
        <x:v>0.13243514001369477</x:v>
      </x:c>
      <x:c r="L14" s="298" t="n">
        <x:f>AVERAGEIFS('Raw Results'!$N$2:$N$81,'Raw Results'!$A$2:$A$81,A14,'Raw Results'!$B$2:$B$81,B14)</x:f>
        <x:v>0.12386053998488933</x:v>
      </x:c>
      <x:c r="M14" s="71" t="n">
        <x:f>L14/K14</x:f>
        <x:v>0.93525434391568</x:v>
      </x:c>
      <x:c r="N14" s="299" t="n">
        <x:f>COUNTIFS('Raw Results'!$A$2:$A$81,A14,'Raw Results'!$B$2:$B$81,B14,'Raw Results'!$K$2:$K$81,TRUE)/C14</x:f>
        <x:v>1</x:v>
      </x:c>
      <x:c r="O14" s="299" t="n">
        <x:f>COUNTIFS('Raw Results'!$A$2:$A$81,A14,'Raw Results'!$B$2:$B$81,B14,'Raw Results'!$O$2:$O$81,TRUE)/C14</x:f>
        <x:v>1</x:v>
      </x:c>
    </x:row>
    <x:row r="15">
      <x:c r="A15" s="66" t="n">
        <x:v>200</x:v>
      </x:c>
      <x:c r="B15" s="67" t="n">
        <x:v>0.3</x:v>
      </x:c>
      <x:c r="C15" s="66" t="n">
        <x:f>COUNTIFS('Raw Results'!$A$2:$A$81,A15,'Raw Results'!$B$2:$B$81,B15)</x:f>
        <x:v>5</x:v>
      </x:c>
      <x:c r="D15" s="66" t="n">
        <x:f>COUNTIFS('Raw Results'!$A$2:$A$81,A15,'Raw Results'!$B$2:$B$81,B15,'Analysis'!$D$2:$D$81,1)</x:f>
        <x:v>5</x:v>
      </x:c>
      <x:c r="E15" s="297" t="n">
        <x:f>IF(D15=0,"",AVERAGEIFS('Raw Results'!$I$2:$I$81,'Raw Results'!$A$2:$A$81,A15,'Raw Results'!$B$2:$B$81,B15,'Analysis'!$D$2:$D$81,1))</x:f>
        <x:v>33.8</x:v>
      </x:c>
      <x:c r="F15" s="297" t="n">
        <x:f>IF(D15=0,"",AVERAGEIFS('Raw Results'!$M$2:$M$81,'Raw Results'!$A$2:$A$81,A15,'Raw Results'!$B$2:$B$81,B15,'Analysis'!$D$2:$D$81,1))</x:f>
        <x:v>32.4</x:v>
      </x:c>
      <x:c r="G15" s="297" t="n">
        <x:f>IF(D15=0,"",F15-E15)</x:f>
        <x:v>-1.3999999999999986</x:v>
      </x:c>
      <x:c r="H15" s="66" t="n">
        <x:f>COUNTIFS('Raw Results'!$A$2:$A$81,A15,'Raw Results'!$B$2:$B$81,B15,'Analysis'!$F$2:$F$81,"Zoomed Collision")</x:f>
        <x:v>3</x:v>
      </x:c>
      <x:c r="I15" s="66" t="n">
        <x:f>COUNTIFS('Raw Results'!$A$2:$A$81,A15,'Raw Results'!$B$2:$B$81,B15,'Analysis'!$F$2:$F$81,"Zoomed Entropy")</x:f>
        <x:v>0</x:v>
      </x:c>
      <x:c r="J15" s="66" t="n">
        <x:f>COUNTIFS('Raw Results'!$A$2:$A$81,A15,'Raw Results'!$B$2:$B$81,B15,'Analysis'!$F$2:$F$81,"Tie")</x:f>
        <x:v>2</x:v>
      </x:c>
      <x:c r="K15" s="298" t="n">
        <x:f>AVERAGEIFS('Raw Results'!$J$2:$J$81,'Raw Results'!$A$2:$A$81,A15,'Raw Results'!$B$2:$B$81,B15)</x:f>
        <x:v>0.15378340001916513</x:v>
      </x:c>
      <x:c r="L15" s="298" t="n">
        <x:f>AVERAGEIFS('Raw Results'!$N$2:$N$81,'Raw Results'!$A$2:$A$81,A15,'Raw Results'!$B$2:$B$81,B15)</x:f>
        <x:v>0.11690247999504208</x:v>
      </x:c>
      <x:c r="M15" s="71" t="n">
        <x:f>L15/K15</x:f>
        <x:v>0.7601761957433195</x:v>
      </x:c>
      <x:c r="N15" s="299" t="n">
        <x:f>COUNTIFS('Raw Results'!$A$2:$A$81,A15,'Raw Results'!$B$2:$B$81,B15,'Raw Results'!$K$2:$K$81,TRUE)/C15</x:f>
        <x:v>1</x:v>
      </x:c>
      <x:c r="O15" s="299" t="n">
        <x:f>COUNTIFS('Raw Results'!$A$2:$A$81,A15,'Raw Results'!$B$2:$B$81,B15,'Raw Results'!$O$2:$O$81,TRUE)/C15</x:f>
        <x:v>1</x:v>
      </x:c>
    </x:row>
    <x:row r="16">
      <x:c r="A16" s="66" t="n">
        <x:v>200</x:v>
      </x:c>
      <x:c r="B16" s="67" t="n">
        <x:v>0.5</x:v>
      </x:c>
      <x:c r="C16" s="66" t="n">
        <x:f>COUNTIFS('Raw Results'!$A$2:$A$81,A16,'Raw Results'!$B$2:$B$81,B16)</x:f>
        <x:v>5</x:v>
      </x:c>
      <x:c r="D16" s="66" t="n">
        <x:f>COUNTIFS('Raw Results'!$A$2:$A$81,A16,'Raw Results'!$B$2:$B$81,B16,'Analysis'!$D$2:$D$81,1)</x:f>
        <x:v>5</x:v>
      </x:c>
      <x:c r="E16" s="297" t="n">
        <x:f>IF(D16=0,"",AVERAGEIFS('Raw Results'!$I$2:$I$81,'Raw Results'!$A$2:$A$81,A16,'Raw Results'!$B$2:$B$81,B16,'Analysis'!$D$2:$D$81,1))</x:f>
        <x:v>48.6</x:v>
      </x:c>
      <x:c r="F16" s="297" t="n">
        <x:f>IF(D16=0,"",AVERAGEIFS('Raw Results'!$M$2:$M$81,'Raw Results'!$A$2:$A$81,A16,'Raw Results'!$B$2:$B$81,B16,'Analysis'!$D$2:$D$81,1))</x:f>
        <x:v>47</x:v>
      </x:c>
      <x:c r="G16" s="297" t="n">
        <x:f>IF(D16=0,"",F16-E16)</x:f>
        <x:v>-1.6000000000000014</x:v>
      </x:c>
      <x:c r="H16" s="66" t="n">
        <x:f>COUNTIFS('Raw Results'!$A$2:$A$81,A16,'Raw Results'!$B$2:$B$81,B16,'Analysis'!$F$2:$F$81,"Zoomed Collision")</x:f>
        <x:v>3</x:v>
      </x:c>
      <x:c r="I16" s="66" t="n">
        <x:f>COUNTIFS('Raw Results'!$A$2:$A$81,A16,'Raw Results'!$B$2:$B$81,B16,'Analysis'!$F$2:$F$81,"Zoomed Entropy")</x:f>
        <x:v>2</x:v>
      </x:c>
      <x:c r="J16" s="66" t="n">
        <x:f>COUNTIFS('Raw Results'!$A$2:$A$81,A16,'Raw Results'!$B$2:$B$81,B16,'Analysis'!$F$2:$F$81,"Tie")</x:f>
        <x:v>0</x:v>
      </x:c>
      <x:c r="K16" s="298" t="n">
        <x:f>AVERAGEIFS('Raw Results'!$J$2:$J$81,'Raw Results'!$A$2:$A$81,A16,'Raw Results'!$B$2:$B$81,B16)</x:f>
        <x:v>0.40861934000859035</x:v>
      </x:c>
      <x:c r="L16" s="298" t="n">
        <x:f>AVERAGEIFS('Raw Results'!$N$2:$N$81,'Raw Results'!$A$2:$A$81,A16,'Raw Results'!$B$2:$B$81,B16)</x:f>
        <x:v>0.33489822000265124</x:v>
      </x:c>
      <x:c r="M16" s="71" t="n">
        <x:f>L16/K16</x:f>
        <x:v>0.819584848812126</x:v>
      </x:c>
      <x:c r="N16" s="299" t="n">
        <x:f>COUNTIFS('Raw Results'!$A$2:$A$81,A16,'Raw Results'!$B$2:$B$81,B16,'Raw Results'!$K$2:$K$81,TRUE)/C16</x:f>
        <x:v>1</x:v>
      </x:c>
      <x:c r="O16" s="299" t="n">
        <x:f>COUNTIFS('Raw Results'!$A$2:$A$81,A16,'Raw Results'!$B$2:$B$81,B16,'Raw Results'!$O$2:$O$81,TRUE)/C16</x:f>
        <x:v>1</x:v>
      </x:c>
    </x:row>
    <x:row r="17">
      <x:c r="A17" s="66" t="n">
        <x:v>200</x:v>
      </x:c>
      <x:c r="B17" s="67" t="n">
        <x:v>0.7</x:v>
      </x:c>
      <x:c r="C17" s="66" t="n">
        <x:f>COUNTIFS('Raw Results'!$A$2:$A$81,A17,'Raw Results'!$B$2:$B$81,B17)</x:f>
        <x:v>5</x:v>
      </x:c>
      <x:c r="D17" s="66" t="n">
        <x:f>COUNTIFS('Raw Results'!$A$2:$A$81,A17,'Raw Results'!$B$2:$B$81,B17,'Analysis'!$D$2:$D$81,1)</x:f>
        <x:v>5</x:v>
      </x:c>
      <x:c r="E17" s="297" t="n">
        <x:f>IF(D17=0,"",AVERAGEIFS('Raw Results'!$I$2:$I$81,'Raw Results'!$A$2:$A$81,A17,'Raw Results'!$B$2:$B$81,B17,'Analysis'!$D$2:$D$81,1))</x:f>
        <x:v>61.2</x:v>
      </x:c>
      <x:c r="F17" s="297" t="n">
        <x:f>IF(D17=0,"",AVERAGEIFS('Raw Results'!$M$2:$M$81,'Raw Results'!$A$2:$A$81,A17,'Raw Results'!$B$2:$B$81,B17,'Analysis'!$D$2:$D$81,1))</x:f>
        <x:v>57.6</x:v>
      </x:c>
      <x:c r="G17" s="297" t="n">
        <x:f>IF(D17=0,"",F17-E17)</x:f>
        <x:v>-3.6000000000000014</x:v>
      </x:c>
      <x:c r="H17" s="66" t="n">
        <x:f>COUNTIFS('Raw Results'!$A$2:$A$81,A17,'Raw Results'!$B$2:$B$81,B17,'Analysis'!$F$2:$F$81,"Zoomed Collision")</x:f>
        <x:v>3</x:v>
      </x:c>
      <x:c r="I17" s="66" t="n">
        <x:f>COUNTIFS('Raw Results'!$A$2:$A$81,A17,'Raw Results'!$B$2:$B$81,B17,'Analysis'!$F$2:$F$81,"Zoomed Entropy")</x:f>
        <x:v>0</x:v>
      </x:c>
      <x:c r="J17" s="66" t="n">
        <x:f>COUNTIFS('Raw Results'!$A$2:$A$81,A17,'Raw Results'!$B$2:$B$81,B17,'Analysis'!$F$2:$F$81,"Tie")</x:f>
        <x:v>2</x:v>
      </x:c>
      <x:c r="K17" s="298" t="n">
        <x:f>AVERAGEIFS('Raw Results'!$J$2:$J$81,'Raw Results'!$A$2:$A$81,A17,'Raw Results'!$B$2:$B$81,B17)</x:f>
        <x:v>0.7401707399869337</x:v>
      </x:c>
      <x:c r="L17" s="298" t="n">
        <x:f>AVERAGEIFS('Raw Results'!$N$2:$N$81,'Raw Results'!$A$2:$A$81,A17,'Raw Results'!$B$2:$B$81,B17)</x:f>
        <x:v>0.6137085400056094</x:v>
      </x:c>
      <x:c r="M17" s="71" t="n">
        <x:f>L17/K17</x:f>
        <x:v>0.8291445565876371</x:v>
      </x:c>
      <x:c r="N17" s="299" t="n">
        <x:f>COUNTIFS('Raw Results'!$A$2:$A$81,A17,'Raw Results'!$B$2:$B$81,B17,'Raw Results'!$K$2:$K$81,TRUE)/C17</x:f>
        <x:v>1</x:v>
      </x:c>
      <x:c r="O17" s="299" t="n">
        <x:f>COUNTIFS('Raw Results'!$A$2:$A$81,A17,'Raw Results'!$B$2:$B$81,B17,'Raw Results'!$O$2:$O$81,TRUE)/C17</x:f>
        <x:v>1</x:v>
      </x:c>
    </x:row>
    <x:row r="18">
      <x:c r="A18" s="66" t="n">
        <x:v>500</x:v>
      </x:c>
      <x:c r="B18" s="67" t="n">
        <x:v>0.1</x:v>
      </x:c>
      <x:c r="C18" s="66" t="n">
        <x:f>COUNTIFS('Raw Results'!$A$2:$A$81,A18,'Raw Results'!$B$2:$B$81,B18)</x:f>
        <x:v>5</x:v>
      </x:c>
      <x:c r="D18" s="66" t="n">
        <x:f>COUNTIFS('Raw Results'!$A$2:$A$81,A18,'Raw Results'!$B$2:$B$81,B18,'Analysis'!$D$2:$D$81,1)</x:f>
        <x:v>5</x:v>
      </x:c>
      <x:c r="E18" s="297" t="n">
        <x:f>IF(D18=0,"",AVERAGEIFS('Raw Results'!$I$2:$I$81,'Raw Results'!$A$2:$A$81,A18,'Raw Results'!$B$2:$B$81,B18,'Analysis'!$D$2:$D$81,1))</x:f>
        <x:v>60</x:v>
      </x:c>
      <x:c r="F18" s="297" t="n">
        <x:f>IF(D18=0,"",AVERAGEIFS('Raw Results'!$M$2:$M$81,'Raw Results'!$A$2:$A$81,A18,'Raw Results'!$B$2:$B$81,B18,'Analysis'!$D$2:$D$81,1))</x:f>
        <x:v>60.4</x:v>
      </x:c>
      <x:c r="G18" s="297" t="n">
        <x:f>IF(D18=0,"",F18-E18)</x:f>
        <x:v>0.3999999999999986</x:v>
      </x:c>
      <x:c r="H18" s="66" t="n">
        <x:f>COUNTIFS('Raw Results'!$A$2:$A$81,A18,'Raw Results'!$B$2:$B$81,B18,'Analysis'!$F$2:$F$81,"Zoomed Collision")</x:f>
        <x:v>2</x:v>
      </x:c>
      <x:c r="I18" s="66" t="n">
        <x:f>COUNTIFS('Raw Results'!$A$2:$A$81,A18,'Raw Results'!$B$2:$B$81,B18,'Analysis'!$F$2:$F$81,"Zoomed Entropy")</x:f>
        <x:v>2</x:v>
      </x:c>
      <x:c r="J18" s="66" t="n">
        <x:f>COUNTIFS('Raw Results'!$A$2:$A$81,A18,'Raw Results'!$B$2:$B$81,B18,'Analysis'!$F$2:$F$81,"Tie")</x:f>
        <x:v>1</x:v>
      </x:c>
      <x:c r="K18" s="298" t="n">
        <x:f>AVERAGEIFS('Raw Results'!$J$2:$J$81,'Raw Results'!$A$2:$A$81,A18,'Raw Results'!$B$2:$B$81,B18)</x:f>
        <x:v>1.3850467600044793</x:v>
      </x:c>
      <x:c r="L18" s="298" t="n">
        <x:f>AVERAGEIFS('Raw Results'!$N$2:$N$81,'Raw Results'!$A$2:$A$81,A18,'Raw Results'!$B$2:$B$81,B18)</x:f>
        <x:v>1.048551479994785</x:v>
      </x:c>
      <x:c r="M18" s="71" t="n">
        <x:f>L18/K18</x:f>
        <x:v>0.7570513214957406</x:v>
      </x:c>
      <x:c r="N18" s="299" t="n">
        <x:f>COUNTIFS('Raw Results'!$A$2:$A$81,A18,'Raw Results'!$B$2:$B$81,B18,'Raw Results'!$K$2:$K$81,TRUE)/C18</x:f>
        <x:v>1</x:v>
      </x:c>
      <x:c r="O18" s="299" t="n">
        <x:f>COUNTIFS('Raw Results'!$A$2:$A$81,A18,'Raw Results'!$B$2:$B$81,B18,'Raw Results'!$O$2:$O$81,TRUE)/C18</x:f>
        <x:v>1</x:v>
      </x:c>
    </x:row>
    <x:row r="19">
      <x:c r="A19" s="66" t="n">
        <x:v>500</x:v>
      </x:c>
      <x:c r="B19" s="67" t="n">
        <x:v>0.3</x:v>
      </x:c>
      <x:c r="C19" s="66" t="n">
        <x:f>COUNTIFS('Raw Results'!$A$2:$A$81,A19,'Raw Results'!$B$2:$B$81,B19)</x:f>
        <x:v>5</x:v>
      </x:c>
      <x:c r="D19" s="66" t="n">
        <x:f>COUNTIFS('Raw Results'!$A$2:$A$81,A19,'Raw Results'!$B$2:$B$81,B19,'Analysis'!$D$2:$D$81,1)</x:f>
        <x:v>5</x:v>
      </x:c>
      <x:c r="E19" s="297" t="n">
        <x:f>IF(D19=0,"",AVERAGEIFS('Raw Results'!$I$2:$I$81,'Raw Results'!$A$2:$A$81,A19,'Raw Results'!$B$2:$B$81,B19,'Analysis'!$D$2:$D$81,1))</x:f>
        <x:v>62</x:v>
      </x:c>
      <x:c r="F19" s="297" t="n">
        <x:f>IF(D19=0,"",AVERAGEIFS('Raw Results'!$M$2:$M$81,'Raw Results'!$A$2:$A$81,A19,'Raw Results'!$B$2:$B$81,B19,'Analysis'!$D$2:$D$81,1))</x:f>
        <x:v>59.8</x:v>
      </x:c>
      <x:c r="G19" s="297" t="n">
        <x:f>IF(D19=0,"",F19-E19)</x:f>
        <x:v>-2.200000000000003</x:v>
      </x:c>
      <x:c r="H19" s="66" t="n">
        <x:f>COUNTIFS('Raw Results'!$A$2:$A$81,A19,'Raw Results'!$B$2:$B$81,B19,'Analysis'!$F$2:$F$81,"Zoomed Collision")</x:f>
        <x:v>3</x:v>
      </x:c>
      <x:c r="I19" s="66" t="n">
        <x:f>COUNTIFS('Raw Results'!$A$2:$A$81,A19,'Raw Results'!$B$2:$B$81,B19,'Analysis'!$F$2:$F$81,"Zoomed Entropy")</x:f>
        <x:v>2</x:v>
      </x:c>
      <x:c r="J19" s="66" t="n">
        <x:f>COUNTIFS('Raw Results'!$A$2:$A$81,A19,'Raw Results'!$B$2:$B$81,B19,'Analysis'!$F$2:$F$81,"Tie")</x:f>
        <x:v>0</x:v>
      </x:c>
      <x:c r="K19" s="298" t="n">
        <x:f>AVERAGEIFS('Raw Results'!$J$2:$J$81,'Raw Results'!$A$2:$A$81,A19,'Raw Results'!$B$2:$B$81,B19)</x:f>
        <x:v>1.4451515799970367</x:v>
      </x:c>
      <x:c r="L19" s="298" t="n">
        <x:f>AVERAGEIFS('Raw Results'!$N$2:$N$81,'Raw Results'!$A$2:$A$81,A19,'Raw Results'!$B$2:$B$81,B19)</x:f>
        <x:v>1.0627420599921606</x:v>
      </x:c>
      <x:c r="M19" s="71" t="n">
        <x:f>L19/K19</x:f>
        <x:v>0.7353844916353618</x:v>
      </x:c>
      <x:c r="N19" s="299" t="n">
        <x:f>COUNTIFS('Raw Results'!$A$2:$A$81,A19,'Raw Results'!$B$2:$B$81,B19,'Raw Results'!$K$2:$K$81,TRUE)/C19</x:f>
        <x:v>1</x:v>
      </x:c>
      <x:c r="O19" s="299" t="n">
        <x:f>COUNTIFS('Raw Results'!$A$2:$A$81,A19,'Raw Results'!$B$2:$B$81,B19,'Raw Results'!$O$2:$O$81,TRUE)/C19</x:f>
        <x:v>1</x:v>
      </x:c>
    </x:row>
    <x:row r="20">
      <x:c r="A20" s="66" t="n">
        <x:v>500</x:v>
      </x:c>
      <x:c r="B20" s="67" t="n">
        <x:v>0.5</x:v>
      </x:c>
      <x:c r="C20" s="66" t="n">
        <x:f>COUNTIFS('Raw Results'!$A$2:$A$81,A20,'Raw Results'!$B$2:$B$81,B20)</x:f>
        <x:v>5</x:v>
      </x:c>
      <x:c r="D20" s="66" t="n">
        <x:f>COUNTIFS('Raw Results'!$A$2:$A$81,A20,'Raw Results'!$B$2:$B$81,B20,'Analysis'!$D$2:$D$81,1)</x:f>
        <x:v>4</x:v>
      </x:c>
      <x:c r="E20" s="297" t="n">
        <x:f>IF(D20=0,"",AVERAGEIFS('Raw Results'!$I$2:$I$81,'Raw Results'!$A$2:$A$81,A20,'Raw Results'!$B$2:$B$81,B20,'Analysis'!$D$2:$D$81,1))</x:f>
        <x:v>86.5</x:v>
      </x:c>
      <x:c r="F20" s="297" t="n">
        <x:f>IF(D20=0,"",AVERAGEIFS('Raw Results'!$M$2:$M$81,'Raw Results'!$A$2:$A$81,A20,'Raw Results'!$B$2:$B$81,B20,'Analysis'!$D$2:$D$81,1))</x:f>
        <x:v>85.5</x:v>
      </x:c>
      <x:c r="G20" s="297" t="n">
        <x:f>IF(D20=0,"",F20-E20)</x:f>
        <x:v>-1</x:v>
      </x:c>
      <x:c r="H20" s="66" t="n">
        <x:f>COUNTIFS('Raw Results'!$A$2:$A$81,A20,'Raw Results'!$B$2:$B$81,B20,'Analysis'!$F$2:$F$81,"Zoomed Collision")</x:f>
        <x:v>3</x:v>
      </x:c>
      <x:c r="I20" s="66" t="n">
        <x:f>COUNTIFS('Raw Results'!$A$2:$A$81,A20,'Raw Results'!$B$2:$B$81,B20,'Analysis'!$F$2:$F$81,"Zoomed Entropy")</x:f>
        <x:v>1</x:v>
      </x:c>
      <x:c r="J20" s="66" t="n">
        <x:f>COUNTIFS('Raw Results'!$A$2:$A$81,A20,'Raw Results'!$B$2:$B$81,B20,'Analysis'!$F$2:$F$81,"Tie")</x:f>
        <x:v>0</x:v>
      </x:c>
      <x:c r="K20" s="298" t="n">
        <x:f>AVERAGEIFS('Raw Results'!$J$2:$J$81,'Raw Results'!$A$2:$A$81,A20,'Raw Results'!$B$2:$B$81,B20)</x:f>
        <x:v>4.339247720001731</x:v>
      </x:c>
      <x:c r="L20" s="298" t="n">
        <x:f>AVERAGEIFS('Raw Results'!$N$2:$N$81,'Raw Results'!$A$2:$A$81,A20,'Raw Results'!$B$2:$B$81,B20)</x:f>
        <x:v>3.464377159997821</x:v>
      </x:c>
      <x:c r="M20" s="71" t="n">
        <x:f>L20/K20</x:f>
        <x:v>0.7983819739142338</x:v>
      </x:c>
      <x:c r="N20" s="299" t="n">
        <x:f>COUNTIFS('Raw Results'!$A$2:$A$81,A20,'Raw Results'!$B$2:$B$81,B20,'Raw Results'!$K$2:$K$81,TRUE)/C20</x:f>
        <x:v>1</x:v>
      </x:c>
      <x:c r="O20" s="299" t="n">
        <x:f>COUNTIFS('Raw Results'!$A$2:$A$81,A20,'Raw Results'!$B$2:$B$81,B20,'Raw Results'!$O$2:$O$81,TRUE)/C20</x:f>
        <x:v>0.8</x:v>
      </x:c>
    </x:row>
    <x:row r="21">
      <x:c r="A21" s="72" t="n">
        <x:v>500</x:v>
      </x:c>
      <x:c r="B21" s="73" t="n">
        <x:v>0.7</x:v>
      </x:c>
      <x:c r="C21" s="72" t="n">
        <x:f>COUNTIFS('Raw Results'!$A$2:$A$81,A21,'Raw Results'!$B$2:$B$81,B21)</x:f>
        <x:v>5</x:v>
      </x:c>
      <x:c r="D21" s="72" t="n">
        <x:f>COUNTIFS('Raw Results'!$A$2:$A$81,A21,'Raw Results'!$B$2:$B$81,B21,'Analysis'!$D$2:$D$81,1)</x:f>
        <x:v>5</x:v>
      </x:c>
      <x:c r="E21" s="300" t="n">
        <x:f>IF(D21=0,"",AVERAGEIFS('Raw Results'!$I$2:$I$81,'Raw Results'!$A$2:$A$81,A21,'Raw Results'!$B$2:$B$81,B21,'Analysis'!$D$2:$D$81,1))</x:f>
        <x:v>121.6</x:v>
      </x:c>
      <x:c r="F21" s="300" t="n">
        <x:f>IF(D21=0,"",AVERAGEIFS('Raw Results'!$M$2:$M$81,'Raw Results'!$A$2:$A$81,A21,'Raw Results'!$B$2:$B$81,B21,'Analysis'!$D$2:$D$81,1))</x:f>
        <x:v>112</x:v>
      </x:c>
      <x:c r="G21" s="300" t="n">
        <x:f>IF(D21=0,"",F21-E21)</x:f>
        <x:v>-9.599999999999994</x:v>
      </x:c>
      <x:c r="H21" s="72" t="n">
        <x:f>COUNTIFS('Raw Results'!$A$2:$A$81,A21,'Raw Results'!$B$2:$B$81,B21,'Analysis'!$F$2:$F$81,"Zoomed Collision")</x:f>
        <x:v>5</x:v>
      </x:c>
      <x:c r="I21" s="72" t="n">
        <x:f>COUNTIFS('Raw Results'!$A$2:$A$81,A21,'Raw Results'!$B$2:$B$81,B21,'Analysis'!$F$2:$F$81,"Zoomed Entropy")</x:f>
        <x:v>0</x:v>
      </x:c>
      <x:c r="J21" s="72" t="n">
        <x:f>COUNTIFS('Raw Results'!$A$2:$A$81,A21,'Raw Results'!$B$2:$B$81,B21,'Analysis'!$F$2:$F$81,"Tie")</x:f>
        <x:v>0</x:v>
      </x:c>
      <x:c r="K21" s="301" t="n">
        <x:f>AVERAGEIFS('Raw Results'!$J$2:$J$81,'Raw Results'!$A$2:$A$81,A21,'Raw Results'!$B$2:$B$81,B21)</x:f>
        <x:v>12.426108579989522</x:v>
      </x:c>
      <x:c r="L21" s="301" t="n">
        <x:f>AVERAGEIFS('Raw Results'!$N$2:$N$81,'Raw Results'!$A$2:$A$81,A21,'Raw Results'!$B$2:$B$81,B21)</x:f>
        <x:v>9.402045699988957</x:v>
      </x:c>
      <x:c r="M21" s="77" t="n">
        <x:f>L21/K21</x:f>
        <x:v>0.756636370869124</x:v>
      </x:c>
      <x:c r="N21" s="302" t="n">
        <x:f>COUNTIFS('Raw Results'!$A$2:$A$81,A21,'Raw Results'!$B$2:$B$81,B21,'Raw Results'!$K$2:$K$81,TRUE)/C21</x:f>
        <x:v>1</x:v>
      </x:c>
      <x:c r="O21" s="302" t="n">
        <x:f>COUNTIFS('Raw Results'!$A$2:$A$81,A21,'Raw Results'!$B$2:$B$81,B21,'Raw Results'!$O$2:$O$81,TRUE)/C21</x:f>
        <x:v>1</x:v>
      </x:c>
    </x:row>
  </x:sheetData>
  <x:mergeCells>
    <x:mergeCell ref="A1:O1"/>
    <x:mergeCell ref="A2:O2"/>
  </x:mergeCells>
  <x:conditionalFormatting sqref="G6:G21">
    <x:cfRule type="cellIs" dxfId="3" priority="1" operator="lessThan">
      <x:formula>0</x:formula>
    </x:cfRule>
    <x:cfRule type="cellIs" dxfId="4" priority="2" operator="greaterThan">
      <x:formula>0</x:formula>
    </x:cfRule>
  </x:conditionalFormatting>
  <x:conditionalFormatting sqref="N6:O21">
    <x:cfRule type="cellIs" dxfId="5" priority="3" operator="lessThan">
      <x:formula>1</x:formula>
    </x:cfRule>
  </x:conditionalFormatting>
  <x:pageMargins left="0.7" right="0.7" top="0.75" bottom="0.75" header="0.3" footer="0.3"/>
  <x:tableParts count="1">
    <x:tablePart xmlns:r="http://schemas.openxmlformats.org/officeDocument/2006/relationships" r:id="Rff41b1f2ba9941b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9" hidden="0" customWidth="1"/>
    <x:col min="2" max="2" width="94" hidden="0" customWidth="1"/>
  </x:cols>
  <x:sheetData>
    <x:row r="1" ht="36" customHeight="1">
      <x:c r="A1" s="286" t="str">
        <x:v>Benchmark Methodology</x:v>
      </x:c>
      <x:c r="B1" s="286"/>
    </x:row>
    <x:row r="3" ht="30" customHeight="1">
      <x:c r="A3" s="322" t="str">
        <x:v>Graph generator</x:v>
      </x:c>
      <x:c r="B3" s="323" t="str">
        <x:v>networkx.random_geometric_graph</x:v>
      </x:c>
    </x:row>
    <x:row r="4" ht="30" customHeight="1">
      <x:c r="A4" s="324" t="str">
        <x:v>Graph sizes (n)</x:v>
      </x:c>
      <x:c r="B4" s="325" t="str">
        <x:v>50, 100, 200, 500</x:v>
      </x:c>
    </x:row>
    <x:row r="5" ht="30" customHeight="1">
      <x:c r="A5" s="324" t="str">
        <x:v>Connection radii</x:v>
      </x:c>
      <x:c r="B5" s="325" t="str">
        <x:v>0.1, 0.3, 0.5, 0.7</x:v>
      </x:c>
    </x:row>
    <x:row r="6" ht="30" customHeight="1">
      <x:c r="A6" s="324" t="str">
        <x:v>Repeats per (n, radius)</x:v>
      </x:c>
      <x:c r="B6" s="325" t="n">
        <x:v>5</x:v>
      </x:c>
    </x:row>
    <x:row r="7" ht="30" customHeight="1">
      <x:c r="A7" s="324" t="str">
        <x:v>Paired graph instances</x:v>
      </x:c>
      <x:c r="B7" s="325" t="n">
        <x:v>80</x:v>
      </x:c>
    </x:row>
    <x:row r="8" ht="30" customHeight="1">
      <x:c r="A8" s="324" t="str">
        <x:v>Candidate pool</x:v>
      </x:c>
      <x:c r="B8" s="325" t="str">
        <x:v>5 nodes nearest each Zoomed probe (k_nearest=5)</x:v>
      </x:c>
    </x:row>
    <x:row r="9" ht="30" customHeight="1">
      <x:c r="A9" s="324" t="str">
        <x:v>Base seed</x:v>
      </x:c>
      <x:c r="B9" s="325" t="n">
        <x:v>20260807</x:v>
      </x:c>
    </x:row>
    <x:row r="10" ht="30" customHeight="1">
      <x:c r="A10" s="324" t="str">
        <x:v>Outer traversal</x:v>
      </x:c>
      <x:c r="B10" s="325" t="str">
        <x:v>Degree-weighted center followed by its unprocessed one-hop neighborhood</x:v>
      </x:c>
    </x:row>
    <x:row r="11" ht="30" customHeight="1">
      <x:c r="A11" s="324" t="str">
        <x:v>Entropy score</x:v>
      </x:c>
      <x:c r="B11" s="325" t="str">
        <x:v>Maximizes Shannon entropy of candidate distances</x:v>
      </x:c>
    </x:row>
    <x:row r="12" ht="30" customHeight="1">
      <x:c r="A12" s="324" t="str">
        <x:v>Collision score</x:v>
      </x:c>
      <x:c r="B12" s="325" t="str">
        <x:v>Minimizes unresolved node pairs retaining an equal local distance-signature class</x:v>
      </x:c>
    </x:row>
    <x:row r="13" ht="30" customHeight="1">
      <x:c r="A13" s="324" t="str">
        <x:v>Controlled randomness</x:v>
      </x:c>
      <x:c r="B13" s="325" t="str">
        <x:v>Both methods receive the same graph seed and method seed on each paired row</x:v>
      </x:c>
    </x:row>
    <x:row r="14" ht="30" customHeight="1">
      <x:c r="A14" s="324" t="str">
        <x:v>Execution-order control</x:v>
      </x:c>
      <x:c r="B14" s="325" t="str">
        <x:v>Method order alternates by repeat to reduce systematic first-run timing bias</x:v>
      </x:c>
    </x:row>
    <x:row r="15" ht="30" customHeight="1">
      <x:c r="A15" s="324" t="str">
        <x:v>Timed region</x:v>
      </x:c>
      <x:c r="B15" s="325" t="str">
        <x:v>Zoomed selection plus shared pruning; graph construction and independent validation are excluded</x:v>
      </x:c>
    </x:row>
    <x:row r="16" ht="30" customHeight="1">
      <x:c r="A16" s="324" t="str">
        <x:v>Validity check</x:v>
      </x:c>
      <x:c r="B16" s="325" t="str">
        <x:v>Each final set is independently tested using the full igraph distance matrix</x:v>
      </x:c>
    </x:row>
    <x:row r="17" ht="30" customHeight="1">
      <x:c r="A17" s="324" t="str">
        <x:v>Size winner rule</x:v>
      </x:c>
      <x:c r="B17" s="325" t="str">
        <x:v>Compare final sizes only when both methods are valid; otherwise mark the row Excluded</x:v>
      </x:c>
    </x:row>
    <x:row r="18" ht="30" customHeight="1">
      <x:c r="A18" s="326" t="str">
        <x:v>Observed exceptions</x:v>
      </x:c>
      <x:c r="B18" s="327" t="str">
        <x:v>Two runs invalid for both; Collision additionally failed at (100, 0.3, repeat 2) and (500, 0.5, repeat 3)</x:v>
      </x:c>
    </x:row>
  </x:sheetData>
  <x:mergeCells>
    <x:mergeCell ref="A1:B1"/>
  </x:mergeCells>
  <x:pageMargins left="0.7" right="0.7" top="0.75" bottom="0.75" header="0.3" footer="0.3"/>
</x:worksheet>
</file>