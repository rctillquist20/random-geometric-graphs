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d9047b49c24e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Results" sheetId="1" r:id="R536d965c2dcd4ce7"/>
    <x:sheet xmlns:r="http://schemas.openxmlformats.org/officeDocument/2006/relationships" name="Dashboard" sheetId="2" r:id="R87b1c1709d284260"/>
    <x:sheet xmlns:r="http://schemas.openxmlformats.org/officeDocument/2006/relationships" name="By Configuration" sheetId="3" r:id="Rebfb9734091443af"/>
    <x:sheet xmlns:r="http://schemas.openxmlformats.org/officeDocument/2006/relationships" name="Methodology" sheetId="4" r:id="Rff53310faab24a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"/>
    <x:numFmt numFmtId="201" formatCode="0"/>
    <x:numFmt numFmtId="202" formatCode="0.0%"/>
    <x:numFmt numFmtId="203" formatCode="0.00"/>
    <x:numFmt numFmtId="204" formatCode="0.000"/>
    <x:numFmt numFmtId="205" formatCode="0.0"/>
  </x:numFmts>
  <x:fonts count="9">
    <x:font>
      <x:sz val="11"/>
      <x:name val="Carlito"/>
    </x:font>
    <x:font>
      <x:sz val="9"/>
      <x:color rgb="FF263746"/>
      <x:name val="Aptos"/>
    </x:font>
    <x:font>
      <x:b/>
      <x:sz val="9"/>
      <x:color rgb="FFFFFFFF"/>
      <x:name val="Aptos"/>
    </x:font>
    <x:font>
      <x:b/>
      <x:sz val="18"/>
      <x:color rgb="FFFFFFFF"/>
      <x:name val="Aptos Display"/>
    </x:font>
    <x:font>
      <x:i/>
      <x:sz val="10"/>
      <x:color rgb="FF263746"/>
      <x:name val="Aptos"/>
    </x:font>
    <x:font>
      <x:b/>
      <x:sz val="16"/>
      <x:color rgb="FF17324D"/>
      <x:name val="Aptos Display"/>
    </x:font>
    <x:font>
      <x:b/>
      <x:sz val="17"/>
      <x:color rgb="FFFFFFFF"/>
      <x:name val="Aptos Display"/>
    </x:font>
    <x:font>
      <x:b/>
      <x:sz val="10"/>
      <x:color rgb="FFFFFFFF"/>
      <x:name val="Aptos"/>
    </x:font>
    <x:font>
      <x:sz val="10"/>
      <x:color rgb="FF263746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177D7A"/>
      </x:patternFill>
    </x:fill>
    <x:fill>
      <x:patternFill patternType="solid">
        <x:fgColor rgb="FFE8F5F3"/>
      </x:patternFill>
    </x:fill>
    <x:fill>
      <x:patternFill patternType="solid">
        <x:fgColor rgb="FFFFF5D6"/>
      </x:patternFill>
    </x:fill>
  </x:fills>
  <x:borders count="21">
    <x:border/>
    <x:border/>
    <x:border>
      <x:bottom style="thin">
        <x:color rgb="FFE6EBF0"/>
      </x:bottom>
    </x:border>
    <x:border>
      <x:top style="thin">
        <x:color rgb="FFE6EBF0"/>
      </x:top>
      <x:bottom style="thin">
        <x:color rgb="FFE6EBF0"/>
      </x:bottom>
    </x:border>
    <x:border>
      <x:top style="thin">
        <x:color rgb="FFE6EBF0"/>
      </x:top>
    </x:border>
    <x:border>
      <x:bottom style="thin">
        <x:color rgb="FFE6EBF0"/>
      </x:bottom>
    </x:border>
    <x:border>
      <x:top style="thin">
        <x:color rgb="FFE6EBF0"/>
      </x:top>
      <x:bottom style="thin">
        <x:color rgb="FFE6EBF0"/>
      </x:bottom>
    </x:border>
    <x:border>
      <x:top style="thin">
        <x:color rgb="FFE6EBF0"/>
      </x:top>
    </x:border>
    <x:border>
      <x:left style="thin">
        <x:color rgb="FFCDD8E2"/>
      </x:left>
      <x:top style="thin">
        <x:color rgb="FFCDD8E2"/>
      </x:top>
      <x:bottom style="thin">
        <x:color rgb="FFCDD8E2"/>
      </x:bottom>
    </x:border>
    <x:border>
      <x:right style="thin">
        <x:color rgb="FFCDD8E2"/>
      </x:right>
      <x:top style="thin">
        <x:color rgb="FFCDD8E2"/>
      </x:top>
      <x:bottom style="thin">
        <x:color rgb="FFCDD8E2"/>
      </x:bottom>
    </x:border>
    <x:border>
      <x:left style="thin">
        <x:color rgb="FFCDD8E2"/>
      </x:left>
      <x:top style="thin">
        <x:color rgb="FFCDD8E2"/>
      </x:top>
      <x:bottom style="thin">
        <x:color rgb="FFCDD8E2"/>
      </x:bottom>
    </x:border>
    <x:border>
      <x:right style="thin">
        <x:color rgb="FFCDD8E2"/>
      </x:right>
      <x:top style="thin">
        <x:color rgb="FFCDD8E2"/>
      </x:top>
      <x:bottom style="thin">
        <x:color rgb="FFCDD8E2"/>
      </x:bottom>
    </x:border>
    <x:border>
      <x:left style="thin">
        <x:color rgb="FFE7CE75"/>
      </x:left>
      <x:top style="thin">
        <x:color rgb="FFE7CE75"/>
      </x:top>
      <x:bottom style="thin">
        <x:color rgb="FFE7CE75"/>
      </x:bottom>
    </x:border>
    <x:border>
      <x:top style="thin">
        <x:color rgb="FFE7CE75"/>
      </x:top>
      <x:bottom style="thin">
        <x:color rgb="FFE7CE75"/>
      </x:bottom>
    </x:border>
    <x:border>
      <x:right style="thin">
        <x:color rgb="FFE7CE75"/>
      </x:right>
      <x:top style="thin">
        <x:color rgb="FFE7CE75"/>
      </x:top>
      <x:bottom style="thin">
        <x:color rgb="FFE7CE75"/>
      </x:bottom>
    </x:border>
    <x:border>
      <x:left style="thin">
        <x:color rgb="FFE7CE75"/>
      </x:left>
      <x:top style="thin">
        <x:color rgb="FFE7CE75"/>
      </x:top>
      <x:bottom style="thin">
        <x:color rgb="FFE7CE75"/>
      </x:bottom>
    </x:border>
    <x:border>
      <x:top style="thin">
        <x:color rgb="FFE7CE75"/>
      </x:top>
      <x:bottom style="thin">
        <x:color rgb="FFE7CE75"/>
      </x:bottom>
    </x:border>
    <x:border>
      <x:right style="thin">
        <x:color rgb="FFE7CE75"/>
      </x:right>
      <x:top style="thin">
        <x:color rgb="FFE7CE75"/>
      </x:top>
      <x:bottom style="thin">
        <x:color rgb="FFE7CE75"/>
      </x:bottom>
    </x:border>
    <x:border>
      <x:bottom style="thin">
        <x:color rgb="FFCDD8E2"/>
      </x:bottom>
    </x:border>
    <x:border>
      <x:top style="thin">
        <x:color rgb="FFCDD8E2"/>
      </x:top>
      <x:bottom style="thin">
        <x:color rgb="FFCDD8E2"/>
      </x:bottom>
    </x:border>
    <x:border>
      <x:top style="thin">
        <x:color rgb="FFCDD8E2"/>
      </x:top>
    </x:border>
  </x:borders>
  <x:cellStyleXfs count="1">
    <x:xf numFmtId="0" fontId="0" fillId="0" borderId="0"/>
  </x:cellStyleXfs>
  <x:cellXfs count="1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0" fontId="1" fillId="0" borderId="4" xfId="0" applyNumberFormat="1" applyFont="1" applyFill="1" applyBorder="1"/>
    <x:xf numFmtId="200" fontId="1" fillId="0" borderId="5" xfId="0" applyNumberFormat="1" applyFont="1" applyFill="1" applyBorder="1"/>
    <x:xf numFmtId="200" fontId="1" fillId="0" borderId="6" xfId="0" applyNumberFormat="1" applyFont="1" applyFill="1" applyBorder="1"/>
    <x:xf numFmtId="200" fontId="1" fillId="0" borderId="7" xfId="0" applyNumberFormat="1" applyFont="1" applyFill="1" applyBorder="1"/>
    <x:xf numFmtId="201" fontId="1" fillId="0" borderId="2" xfId="0" applyNumberFormat="1" applyFont="1" applyFill="1" applyBorder="1"/>
    <x:xf numFmtId="201" fontId="1" fillId="0" borderId="3" xfId="0" applyNumberFormat="1" applyFont="1" applyFill="1" applyBorder="1"/>
    <x:xf numFmtId="201" fontId="1" fillId="0" borderId="4" xfId="0" applyNumberFormat="1" applyFont="1" applyFill="1" applyBorder="1"/>
    <x:xf numFmtId="201" fontId="1" fillId="0" borderId="5" xfId="0" applyNumberFormat="1" applyFont="1" applyFill="1" applyBorder="1"/>
    <x:xf numFmtId="201" fontId="1" fillId="0" borderId="6" xfId="0" applyNumberFormat="1" applyFont="1" applyFill="1" applyBorder="1"/>
    <x:xf numFmtId="201" fontId="1" fillId="0" borderId="7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8" xfId="0" applyNumberFormat="1" applyFont="1" applyFill="1" applyBorder="1" applyAlignment="1">
      <x:alignment horizontal="center"/>
    </x:xf>
    <x:xf numFmtId="0" fontId="5" fillId="5" borderId="9" xfId="0" applyNumberFormat="1" applyFont="1" applyFill="1" applyBorder="1" applyAlignment="1">
      <x:alignment horizontal="center"/>
    </x:xf>
    <x:xf numFmtId="0" fontId="5" fillId="5" borderId="10" xfId="0" applyNumberFormat="1" applyFont="1" applyFill="1" applyBorder="1" applyAlignment="1">
      <x:alignment horizontal="center"/>
    </x:xf>
    <x:xf numFmtId="0" fontId="5" fillId="5" borderId="11" xfId="0" applyNumberFormat="1" applyFont="1" applyFill="1" applyBorder="1" applyAlignment="1">
      <x:alignment horizontal="center"/>
    </x:xf>
    <x:xf numFmtId="0" fontId="5" fillId="5" borderId="8" xfId="0" applyNumberFormat="1" applyFont="1" applyFill="1" applyBorder="1" applyAlignment="1">
      <x:alignment horizontal="center" vertical="center"/>
    </x:xf>
    <x:xf numFmtId="0" fontId="5" fillId="5" borderId="9" xfId="0" applyNumberFormat="1" applyFont="1" applyFill="1" applyBorder="1" applyAlignment="1">
      <x:alignment horizontal="center" vertical="center"/>
    </x:xf>
    <x:xf numFmtId="0" fontId="5" fillId="5" borderId="10" xfId="0" applyNumberFormat="1" applyFont="1" applyFill="1" applyBorder="1" applyAlignment="1">
      <x:alignment horizontal="center" vertical="center"/>
    </x:xf>
    <x:xf numFmtId="0" fontId="5" fillId="5" borderId="1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6" xfId="0" applyNumberFormat="1" applyFont="1" applyFill="1" applyBorder="1"/>
    <x:xf numFmtId="0" fontId="4" fillId="6" borderId="17" xfId="0" applyNumberFormat="1" applyFont="1" applyFill="1" applyBorder="1"/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6" xfId="0" applyNumberFormat="1" applyFont="1" applyFill="1" applyBorder="1" applyAlignment="1">
      <x:alignment wrapText="1"/>
    </x:xf>
    <x:xf numFmtId="0" fontId="4" fillId="6" borderId="17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horizontal="left" wrapText="1"/>
    </x:xf>
    <x:xf numFmtId="0" fontId="8" fillId="3" borderId="1" xfId="0" applyNumberFormat="1" applyFont="1" applyFill="1" applyBorder="1" applyAlignment="1">
      <x:alignment horizontal="left" wrapText="1"/>
    </x:xf>
    <x:xf numFmtId="0" fontId="8" fillId="3" borderId="0" xfId="0" applyNumberFormat="1" applyFont="1" applyFill="1" applyBorder="1" applyAlignment="1">
      <x:alignment horizontal="left" vertical="center" wrapText="1"/>
    </x:xf>
    <x:xf numFmtId="0" fontId="8" fillId="3" borderId="1" xfId="0" applyNumberFormat="1" applyFont="1" applyFill="1" applyBorder="1" applyAlignment="1">
      <x:alignment horizontal="left" vertical="center" wrapText="1"/>
    </x:xf>
    <x:xf numFmtId="0" fontId="7" fillId="4" borderId="18" xfId="0" applyNumberFormat="1" applyFont="1" applyFill="1" applyBorder="1" applyAlignment="1">
      <x:alignment vertical="center"/>
    </x:xf>
    <x:xf numFmtId="0" fontId="8" fillId="3" borderId="18" xfId="0" applyNumberFormat="1" applyFont="1" applyFill="1" applyBorder="1" applyAlignment="1">
      <x:alignment horizontal="left" vertical="center" wrapText="1"/>
    </x:xf>
    <x:xf numFmtId="0" fontId="7" fillId="4" borderId="19" xfId="0" applyNumberFormat="1" applyFont="1" applyFill="1" applyBorder="1" applyAlignment="1">
      <x:alignment vertical="center"/>
    </x:xf>
    <x:xf numFmtId="0" fontId="8" fillId="3" borderId="19" xfId="0" applyNumberFormat="1" applyFont="1" applyFill="1" applyBorder="1" applyAlignment="1">
      <x:alignment horizontal="left" vertical="center" wrapText="1"/>
    </x:xf>
    <x:xf numFmtId="0" fontId="7" fillId="4" borderId="20" xfId="0" applyNumberFormat="1" applyFont="1" applyFill="1" applyBorder="1" applyAlignment="1">
      <x:alignment vertical="center"/>
    </x:xf>
    <x:xf numFmtId="0" fontId="8" fillId="3" borderId="2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6">
    <x:dxf>
      <x:font>
        <x:b/>
        <x:color rgb="FFA52A2A"/>
      </x:font>
      <x:fill>
        <x:patternFill patternType="solid">
          <x:bgColor rgb="FFFBE3E3"/>
        </x:patternFill>
      </x:fill>
    </x:dxf>
    <x:dxf>
      <x:font>
        <x:color rgb="FFA52A2A"/>
      </x:font>
      <x:fill>
        <x:patternFill patternType="solid">
          <x:bgColor rgb="FFFBE3E3"/>
        </x:patternFill>
      </x:fill>
    </x:dxf>
    <x:dxf>
      <x:font>
        <x:color rgb="FFA52A2A"/>
      </x:font>
      <x:fill>
        <x:patternFill patternType="solid">
          <x:bgColor rgb="FFFBE3E3"/>
        </x:patternFill>
      </x:fill>
    </x:dxf>
    <x:dxf>
      <x:font>
        <x:color rgb="FFA52A2A"/>
      </x:font>
      <x:fill>
        <x:patternFill patternType="solid">
          <x:bgColor rgb="FFFBE3E3"/>
        </x:patternFill>
      </x:fill>
    </x:dxf>
    <x:dxf>
      <x:font>
        <x:color rgb="FFA52A2A"/>
      </x:font>
      <x:fill>
        <x:patternFill patternType="solid">
          <x:bgColor rgb="FFFBE3E3"/>
        </x:patternFill>
      </x:fill>
    </x:dxf>
    <x:dxf>
      <x:font>
        <x:color rgb="FFA52A2A"/>
      </x:font>
      <x:fill>
        <x:patternFill patternType="solid">
          <x:bgColor rgb="FFFBE3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e90ce517c84496" /><Relationship Type="http://schemas.openxmlformats.org/officeDocument/2006/relationships/theme" Target="/xl/theme/theme1.xml" Id="R34a1e205a6864352" /><Relationship Type="http://schemas.openxmlformats.org/officeDocument/2006/relationships/sharedStrings" Target="/xl/sharedStrings.xml" Id="R9aaf4225a6bf4700" /><Relationship Type="http://schemas.openxmlformats.org/officeDocument/2006/relationships/worksheet" Target="/xl/worksheets/sheet1.xml" Id="R536d965c2dcd4ce7" /><Relationship Type="http://schemas.openxmlformats.org/officeDocument/2006/relationships/worksheet" Target="/xl/worksheets/sheet2.xml" Id="R87b1c1709d284260" /><Relationship Type="http://schemas.openxmlformats.org/officeDocument/2006/relationships/worksheet" Target="/xl/worksheets/sheet3.xml" Id="Rebfb9734091443af" /><Relationship Type="http://schemas.openxmlformats.org/officeDocument/2006/relationships/worksheet" Target="/xl/worksheets/sheet4.xml" Id="Rff53310faab24afb" /></Relationships>
</file>

<file path=xl/tables/table1.xml><?xml version="1.0" encoding="utf-8"?>
<x:table xmlns:x="http://schemas.openxmlformats.org/spreadsheetml/2006/main" id="1" name="AllMethodsRawTable" displayName="AllMethodsRawTable" ref="A1:Y49" headerRowCount="1" totalsRowCount="0" totalsRowShown="0">
  <x:tableColumns count="25">
    <x:tableColumn id="1" name="n"/>
    <x:tableColumn id="2" name="radius"/>
    <x:tableColumn id="3" name="repeat"/>
    <x:tableColumn id="4" name="graph_seed"/>
    <x:tableColumn id="5" name="edges"/>
    <x:tableColumn id="6" name="components"/>
    <x:tableColumn id="7" name="k_nearest"/>
    <x:tableColumn id="8" name="grid_size"/>
    <x:tableColumn id="9" name="grid_time_seconds"/>
    <x:tableColumn id="10" name="grid_valid"/>
    <x:tableColumn id="11" name="grid_collision_pre_prune_size"/>
    <x:tableColumn id="12" name="grid_collision_size"/>
    <x:tableColumn id="13" name="grid_collision_time_seconds"/>
    <x:tableColumn id="14" name="grid_collision_valid"/>
    <x:tableColumn id="15" name="circle_size"/>
    <x:tableColumn id="16" name="circle_time_seconds"/>
    <x:tableColumn id="17" name="circle_valid"/>
    <x:tableColumn id="18" name="zoomed_square_size"/>
    <x:tableColumn id="19" name="zoomed_square_time_seconds"/>
    <x:tableColumn id="20" name="zoomed_square_valid"/>
    <x:tableColumn id="21" name="ich_size"/>
    <x:tableColumn id="22" name="ich_time_seconds"/>
    <x:tableColumn id="23" name="ich_valid"/>
    <x:tableColumn id="24" name="smallest_valid_method"/>
    <x:tableColumn id="25" name="fastest_valid_metho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hodSummaryTable" displayName="MethodSummaryTable" ref="A7:G12" headerRowCount="1" totalsRowCount="0" totalsRowShown="0">
  <x:tableColumns count="7">
    <x:tableColumn id="1" name="method"/>
    <x:tableColumn id="2" name="valid runs"/>
    <x:tableColumn id="3" name="validity"/>
    <x:tableColumn id="4" name="avg valid size"/>
    <x:tableColumn id="5" name="avg time (s)"/>
    <x:tableColumn id="6" name="size-win appearances"/>
    <x:tableColumn id="7" name="speed-win appearanc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figurationSummaryTable" displayName="ConfigurationSummaryTable" ref="A4:R20" headerRowCount="1" totalsRowCount="0" totalsRowShown="0">
  <x:tableColumns count="18">
    <x:tableColumn id="1" name="n"/>
    <x:tableColumn id="2" name="radius"/>
    <x:tableColumn id="3" name="runs"/>
    <x:tableColumn id="4" name="Grid avg size"/>
    <x:tableColumn id="5" name="Grid avg time"/>
    <x:tableColumn id="6" name="Grid validity"/>
    <x:tableColumn id="7" name="Grid Collision avg size"/>
    <x:tableColumn id="8" name="Grid Collision avg time"/>
    <x:tableColumn id="9" name="Grid Collision validity"/>
    <x:tableColumn id="10" name="Circle avg size"/>
    <x:tableColumn id="11" name="Circle avg time"/>
    <x:tableColumn id="12" name="Circle validity"/>
    <x:tableColumn id="13" name="Zoomed Square avg size"/>
    <x:tableColumn id="14" name="Zoomed Square avg time"/>
    <x:tableColumn id="15" name="Zoomed Square validity"/>
    <x:tableColumn id="16" name="ICH avg size"/>
    <x:tableColumn id="17" name="ICH avg time"/>
    <x:tableColumn id="18" name="ICH valid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6f88df53dd42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c1a7e99d2264d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9e8cf1663b144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9" max="9" width="18" hidden="0" customWidth="1"/>
    <x:col min="13" max="13" width="18" hidden="0" customWidth="1"/>
    <x:col min="16" max="16" width="18" hidden="0" customWidth="1"/>
    <x:col min="19" max="19" width="18" hidden="0" customWidth="1"/>
    <x:col min="22" max="22" width="18" hidden="0" customWidth="1"/>
    <x:col min="8" max="8" width="18" hidden="0" customWidth="1"/>
    <x:col min="11" max="11" width="18" hidden="0" customWidth="1"/>
    <x:col min="12" max="12" width="18" hidden="0" customWidth="1"/>
    <x:col min="15" max="15" width="18" hidden="0" customWidth="1"/>
    <x:col min="18" max="18" width="18" hidden="0" customWidth="1"/>
    <x:col min="21" max="21" width="18" hidden="0" customWidth="1"/>
    <x:col min="10" max="10" width="12" hidden="0" customWidth="1"/>
    <x:col min="14" max="14" width="12" hidden="0" customWidth="1"/>
    <x:col min="17" max="17" width="12" hidden="0" customWidth="1"/>
    <x:col min="20" max="20" width="12" hidden="0" customWidth="1"/>
    <x:col min="23" max="23" width="12" hidden="0" customWidth="1"/>
    <x:col min="1" max="1" width="7" hidden="0" customWidth="1"/>
    <x:col min="2" max="2" width="9" hidden="0" customWidth="1"/>
    <x:col min="3" max="3" width="8" hidden="0" customWidth="1"/>
    <x:col min="4" max="4" width="14" hidden="0" customWidth="1"/>
    <x:col min="5" max="5" width="11" hidden="0" customWidth="1"/>
    <x:col min="6" max="6" width="11" hidden="0" customWidth="1"/>
    <x:col min="7" max="7" width="11" hidden="0" customWidth="1"/>
    <x:col min="24" max="24" width="25" hidden="0" customWidth="1"/>
    <x:col min="25" max="25" width="25" hidden="0" customWidth="1"/>
  </x:cols>
  <x:sheetData>
    <x:row r="1" ht="38" customHeight="1">
      <x:c r="A1" s="10" t="str">
        <x:v>n</x:v>
      </x:c>
      <x:c r="B1" s="10" t="str">
        <x:v>radius</x:v>
      </x:c>
      <x:c r="C1" s="10" t="str">
        <x:v>repeat</x:v>
      </x:c>
      <x:c r="D1" s="10" t="str">
        <x:v>graph_seed</x:v>
      </x:c>
      <x:c r="E1" s="10" t="str">
        <x:v>edges</x:v>
      </x:c>
      <x:c r="F1" s="10" t="str">
        <x:v>components</x:v>
      </x:c>
      <x:c r="G1" s="10" t="str">
        <x:v>k_nearest</x:v>
      </x:c>
      <x:c r="H1" s="10" t="str">
        <x:v>grid_size</x:v>
      </x:c>
      <x:c r="I1" s="10" t="str">
        <x:v>grid_time_seconds</x:v>
      </x:c>
      <x:c r="J1" s="10" t="str">
        <x:v>grid_valid</x:v>
      </x:c>
      <x:c r="K1" s="10" t="str">
        <x:v>grid_collision_pre_prune_size</x:v>
      </x:c>
      <x:c r="L1" s="10" t="str">
        <x:v>grid_collision_size</x:v>
      </x:c>
      <x:c r="M1" s="10" t="str">
        <x:v>grid_collision_time_seconds</x:v>
      </x:c>
      <x:c r="N1" s="10" t="str">
        <x:v>grid_collision_valid</x:v>
      </x:c>
      <x:c r="O1" s="10" t="str">
        <x:v>circle_size</x:v>
      </x:c>
      <x:c r="P1" s="10" t="str">
        <x:v>circle_time_seconds</x:v>
      </x:c>
      <x:c r="Q1" s="10" t="str">
        <x:v>circle_valid</x:v>
      </x:c>
      <x:c r="R1" s="10" t="str">
        <x:v>zoomed_square_size</x:v>
      </x:c>
      <x:c r="S1" s="10" t="str">
        <x:v>zoomed_square_time_seconds</x:v>
      </x:c>
      <x:c r="T1" s="10" t="str">
        <x:v>zoomed_square_valid</x:v>
      </x:c>
      <x:c r="U1" s="10" t="str">
        <x:v>ich_size</x:v>
      </x:c>
      <x:c r="V1" s="10" t="str">
        <x:v>ich_time_seconds</x:v>
      </x:c>
      <x:c r="W1" s="10" t="str">
        <x:v>ich_valid</x:v>
      </x:c>
      <x:c r="X1" s="10" t="str">
        <x:v>smallest_valid_method</x:v>
      </x:c>
      <x:c r="Y1" s="10" t="str">
        <x:v>fastest_valid_method</x:v>
      </x:c>
    </x:row>
    <x:row r="2">
      <x:c r="A2" s="12" t="str">
        <x:v>50</x:v>
      </x:c>
      <x:c r="B2" s="12" t="str">
        <x:v>0.1</x:v>
      </x:c>
      <x:c r="C2" s="12" t="str">
        <x:v>1</x:v>
      </x:c>
      <x:c r="D2" s="12" t="str">
        <x:v>3667342053</x:v>
      </x:c>
      <x:c r="E2" s="12" t="str">
        <x:v>22</x:v>
      </x:c>
      <x:c r="F2" s="12" t="str">
        <x:v>29</x:v>
      </x:c>
      <x:c r="G2" s="12" t="str">
        <x:v>5</x:v>
      </x:c>
      <x:c r="H2" s="24" t="str">
        <x:v>29</x:v>
      </x:c>
      <x:c r="I2" s="18" t="str">
        <x:v>0.0017590000061318278</x:v>
      </x:c>
      <x:c r="J2" s="12" t="str">
        <x:v>False</x:v>
      </x:c>
      <x:c r="K2" s="24" t="str">
        <x:v>28</x:v>
      </x:c>
      <x:c r="L2" s="24" t="str">
        <x:v>28</x:v>
      </x:c>
      <x:c r="M2" s="18" t="str">
        <x:v>0.001823199971113354</x:v>
      </x:c>
      <x:c r="N2" s="12" t="str">
        <x:v>False</x:v>
      </x:c>
      <x:c r="O2" s="24" t="str">
        <x:v>29</x:v>
      </x:c>
      <x:c r="P2" s="18" t="str">
        <x:v>0.0027531999512575567</x:v>
      </x:c>
      <x:c r="Q2" s="12" t="str">
        <x:v>True</x:v>
      </x:c>
      <x:c r="R2" s="24" t="str">
        <x:v>29</x:v>
      </x:c>
      <x:c r="S2" s="18" t="str">
        <x:v>0.00250840000808239</x:v>
      </x:c>
      <x:c r="T2" s="12" t="str">
        <x:v>True</x:v>
      </x:c>
      <x:c r="U2" s="24" t="str">
        <x:v>29</x:v>
      </x:c>
      <x:c r="V2" s="18" t="str">
        <x:v>0.20683729997836053</x:v>
      </x:c>
      <x:c r="W2" s="12" t="str">
        <x:v>True</x:v>
      </x:c>
      <x:c r="X2" s="12" t="str">
        <x:v>circle, zoomed_square, ich</x:v>
      </x:c>
      <x:c r="Y2" s="12" t="str">
        <x:v>zoomed_square</x:v>
      </x:c>
    </x:row>
    <x:row r="3">
      <x:c r="A3" s="13" t="str">
        <x:v>50</x:v>
      </x:c>
      <x:c r="B3" s="13" t="str">
        <x:v>0.1</x:v>
      </x:c>
      <x:c r="C3" s="13" t="str">
        <x:v>2</x:v>
      </x:c>
      <x:c r="D3" s="13" t="str">
        <x:v>3009655874</x:v>
      </x:c>
      <x:c r="E3" s="13" t="str">
        <x:v>33</x:v>
      </x:c>
      <x:c r="F3" s="13" t="str">
        <x:v>21</x:v>
      </x:c>
      <x:c r="G3" s="13" t="str">
        <x:v>5</x:v>
      </x:c>
      <x:c r="H3" s="25" t="str">
        <x:v>27</x:v>
      </x:c>
      <x:c r="I3" s="19" t="str">
        <x:v>0.001832399982959032</x:v>
      </x:c>
      <x:c r="J3" s="13" t="str">
        <x:v>False</x:v>
      </x:c>
      <x:c r="K3" s="25" t="str">
        <x:v>27</x:v>
      </x:c>
      <x:c r="L3" s="25" t="str">
        <x:v>27</x:v>
      </x:c>
      <x:c r="M3" s="19" t="str">
        <x:v>0.0018650999991223216</x:v>
      </x:c>
      <x:c r="N3" s="13" t="str">
        <x:v>False</x:v>
      </x:c>
      <x:c r="O3" s="25" t="str">
        <x:v>23</x:v>
      </x:c>
      <x:c r="P3" s="19" t="str">
        <x:v>0.0031054000137373805</x:v>
      </x:c>
      <x:c r="Q3" s="13" t="str">
        <x:v>True</x:v>
      </x:c>
      <x:c r="R3" s="25" t="str">
        <x:v>23</x:v>
      </x:c>
      <x:c r="S3" s="19" t="str">
        <x:v>0.0029958999948576093</x:v>
      </x:c>
      <x:c r="T3" s="13" t="str">
        <x:v>True</x:v>
      </x:c>
      <x:c r="U3" s="25" t="str">
        <x:v>23</x:v>
      </x:c>
      <x:c r="V3" s="19" t="str">
        <x:v>0.20002780004870147</x:v>
      </x:c>
      <x:c r="W3" s="13" t="str">
        <x:v>True</x:v>
      </x:c>
      <x:c r="X3" s="13" t="str">
        <x:v>circle, zoomed_square, ich</x:v>
      </x:c>
      <x:c r="Y3" s="13" t="str">
        <x:v>zoomed_square</x:v>
      </x:c>
    </x:row>
    <x:row r="4">
      <x:c r="A4" s="13" t="str">
        <x:v>50</x:v>
      </x:c>
      <x:c r="B4" s="13" t="str">
        <x:v>0.1</x:v>
      </x:c>
      <x:c r="C4" s="13" t="str">
        <x:v>3</x:v>
      </x:c>
      <x:c r="D4" s="13" t="str">
        <x:v>4037529636</x:v>
      </x:c>
      <x:c r="E4" s="13" t="str">
        <x:v>46</x:v>
      </x:c>
      <x:c r="F4" s="13" t="str">
        <x:v>22</x:v>
      </x:c>
      <x:c r="G4" s="13" t="str">
        <x:v>5</x:v>
      </x:c>
      <x:c r="H4" s="25" t="str">
        <x:v>29</x:v>
      </x:c>
      <x:c r="I4" s="19" t="str">
        <x:v>0.0020265999482944608</x:v>
      </x:c>
      <x:c r="J4" s="13" t="str">
        <x:v>False</x:v>
      </x:c>
      <x:c r="K4" s="25" t="str">
        <x:v>28</x:v>
      </x:c>
      <x:c r="L4" s="25" t="str">
        <x:v>28</x:v>
      </x:c>
      <x:c r="M4" s="19" t="str">
        <x:v>0.0020001999801024795</x:v>
      </x:c>
      <x:c r="N4" s="13" t="str">
        <x:v>False</x:v>
      </x:c>
      <x:c r="O4" s="25" t="str">
        <x:v>29</x:v>
      </x:c>
      <x:c r="P4" s="19" t="str">
        <x:v>0.004080599988810718</x:v>
      </x:c>
      <x:c r="Q4" s="13" t="str">
        <x:v>True</x:v>
      </x:c>
      <x:c r="R4" s="25" t="str">
        <x:v>29</x:v>
      </x:c>
      <x:c r="S4" s="19" t="str">
        <x:v>0.003502400009892881</x:v>
      </x:c>
      <x:c r="T4" s="13" t="str">
        <x:v>True</x:v>
      </x:c>
      <x:c r="U4" s="25" t="str">
        <x:v>29</x:v>
      </x:c>
      <x:c r="V4" s="19" t="str">
        <x:v>0.24200600001495332</x:v>
      </x:c>
      <x:c r="W4" s="13" t="str">
        <x:v>True</x:v>
      </x:c>
      <x:c r="X4" s="13" t="str">
        <x:v>circle, zoomed_square, ich</x:v>
      </x:c>
      <x:c r="Y4" s="13" t="str">
        <x:v>zoomed_square</x:v>
      </x:c>
    </x:row>
    <x:row r="5">
      <x:c r="A5" s="13" t="str">
        <x:v>50</x:v>
      </x:c>
      <x:c r="B5" s="13" t="str">
        <x:v>0.3</x:v>
      </x:c>
      <x:c r="C5" s="13" t="str">
        <x:v>1</x:v>
      </x:c>
      <x:c r="D5" s="13" t="str">
        <x:v>1714310218</x:v>
      </x:c>
      <x:c r="E5" s="13" t="str">
        <x:v>285</x:v>
      </x:c>
      <x:c r="F5" s="13" t="str">
        <x:v>1</x:v>
      </x:c>
      <x:c r="G5" s="13" t="str">
        <x:v>5</x:v>
      </x:c>
      <x:c r="H5" s="25" t="str">
        <x:v>12</x:v>
      </x:c>
      <x:c r="I5" s="19" t="str">
        <x:v>0.005009599961340427</x:v>
      </x:c>
      <x:c r="J5" s="13" t="str">
        <x:v>True</x:v>
      </x:c>
      <x:c r="K5" s="25" t="str">
        <x:v>25</x:v>
      </x:c>
      <x:c r="L5" s="25" t="str">
        <x:v>12</x:v>
      </x:c>
      <x:c r="M5" s="19" t="str">
        <x:v>0.0039013000205159187</x:v>
      </x:c>
      <x:c r="N5" s="13" t="str">
        <x:v>True</x:v>
      </x:c>
      <x:c r="O5" s="25" t="str">
        <x:v>12</x:v>
      </x:c>
      <x:c r="P5" s="19" t="str">
        <x:v>0.003171499993186444</x:v>
      </x:c>
      <x:c r="Q5" s="13" t="str">
        <x:v>True</x:v>
      </x:c>
      <x:c r="R5" s="25" t="str">
        <x:v>12</x:v>
      </x:c>
      <x:c r="S5" s="19" t="str">
        <x:v>0.0041606000158935785</x:v>
      </x:c>
      <x:c r="T5" s="13" t="str">
        <x:v>True</x:v>
      </x:c>
      <x:c r="U5" s="25" t="str">
        <x:v>12</x:v>
      </x:c>
      <x:c r="V5" s="19" t="str">
        <x:v>0.11517409997759387</x:v>
      </x:c>
      <x:c r="W5" s="13" t="str">
        <x:v>True</x:v>
      </x:c>
      <x:c r="X5" s="13" t="str">
        <x:v>grid, grid_collision, circle, zoomed_square, ich</x:v>
      </x:c>
      <x:c r="Y5" s="13" t="str">
        <x:v>circle</x:v>
      </x:c>
    </x:row>
    <x:row r="6">
      <x:c r="A6" s="13" t="str">
        <x:v>50</x:v>
      </x:c>
      <x:c r="B6" s="13" t="str">
        <x:v>0.3</x:v>
      </x:c>
      <x:c r="C6" s="13" t="str">
        <x:v>2</x:v>
      </x:c>
      <x:c r="D6" s="13" t="str">
        <x:v>1354643824</x:v>
      </x:c>
      <x:c r="E6" s="13" t="str">
        <x:v>257</x:v>
      </x:c>
      <x:c r="F6" s="13" t="str">
        <x:v>1</x:v>
      </x:c>
      <x:c r="G6" s="13" t="str">
        <x:v>5</x:v>
      </x:c>
      <x:c r="H6" s="25" t="str">
        <x:v>12</x:v>
      </x:c>
      <x:c r="I6" s="19" t="str">
        <x:v>0.005696700012777001</x:v>
      </x:c>
      <x:c r="J6" s="13" t="str">
        <x:v>True</x:v>
      </x:c>
      <x:c r="K6" s="25" t="str">
        <x:v>24</x:v>
      </x:c>
      <x:c r="L6" s="25" t="str">
        <x:v>13</x:v>
      </x:c>
      <x:c r="M6" s="19" t="str">
        <x:v>0.004134299990255386</x:v>
      </x:c>
      <x:c r="N6" s="13" t="str">
        <x:v>True</x:v>
      </x:c>
      <x:c r="O6" s="25" t="str">
        <x:v>35</x:v>
      </x:c>
      <x:c r="P6" s="19" t="str">
        <x:v>0.0033295000321231782</x:v>
      </x:c>
      <x:c r="Q6" s="13" t="str">
        <x:v>False</x:v>
      </x:c>
      <x:c r="R6" s="25" t="str">
        <x:v>12</x:v>
      </x:c>
      <x:c r="S6" s="19" t="str">
        <x:v>0.004421199962962419</x:v>
      </x:c>
      <x:c r="T6" s="13" t="str">
        <x:v>True</x:v>
      </x:c>
      <x:c r="U6" s="25" t="str">
        <x:v>15</x:v>
      </x:c>
      <x:c r="V6" s="19" t="str">
        <x:v>0.15544579998822883</x:v>
      </x:c>
      <x:c r="W6" s="13" t="str">
        <x:v>True</x:v>
      </x:c>
      <x:c r="X6" s="13" t="str">
        <x:v>grid, zoomed_square</x:v>
      </x:c>
      <x:c r="Y6" s="13" t="str">
        <x:v>grid_collision</x:v>
      </x:c>
    </x:row>
    <x:row r="7">
      <x:c r="A7" s="13" t="str">
        <x:v>50</x:v>
      </x:c>
      <x:c r="B7" s="13" t="str">
        <x:v>0.3</x:v>
      </x:c>
      <x:c r="C7" s="13" t="str">
        <x:v>3</x:v>
      </x:c>
      <x:c r="D7" s="13" t="str">
        <x:v>2137405190</x:v>
      </x:c>
      <x:c r="E7" s="13" t="str">
        <x:v>248</x:v>
      </x:c>
      <x:c r="F7" s="13" t="str">
        <x:v>1</x:v>
      </x:c>
      <x:c r="G7" s="13" t="str">
        <x:v>5</x:v>
      </x:c>
      <x:c r="H7" s="25" t="str">
        <x:v>14</x:v>
      </x:c>
      <x:c r="I7" s="19" t="str">
        <x:v>0.0055540999746881425</x:v>
      </x:c>
      <x:c r="J7" s="13" t="str">
        <x:v>True</x:v>
      </x:c>
      <x:c r="K7" s="25" t="str">
        <x:v>21</x:v>
      </x:c>
      <x:c r="L7" s="25" t="str">
        <x:v>14</x:v>
      </x:c>
      <x:c r="M7" s="19" t="str">
        <x:v>0.005005700048059225</x:v>
      </x:c>
      <x:c r="N7" s="13" t="str">
        <x:v>True</x:v>
      </x:c>
      <x:c r="O7" s="25" t="str">
        <x:v>15</x:v>
      </x:c>
      <x:c r="P7" s="19" t="str">
        <x:v>0.004219399997964501</x:v>
      </x:c>
      <x:c r="Q7" s="13" t="str">
        <x:v>True</x:v>
      </x:c>
      <x:c r="R7" s="25" t="str">
        <x:v>14</x:v>
      </x:c>
      <x:c r="S7" s="19" t="str">
        <x:v>0.005178100022021681</x:v>
      </x:c>
      <x:c r="T7" s="13" t="str">
        <x:v>True</x:v>
      </x:c>
      <x:c r="U7" s="25" t="str">
        <x:v>14</x:v>
      </x:c>
      <x:c r="V7" s="19" t="str">
        <x:v>0.16377380001358688</x:v>
      </x:c>
      <x:c r="W7" s="13" t="str">
        <x:v>True</x:v>
      </x:c>
      <x:c r="X7" s="13" t="str">
        <x:v>grid, grid_collision, zoomed_square, ich</x:v>
      </x:c>
      <x:c r="Y7" s="13" t="str">
        <x:v>circle</x:v>
      </x:c>
    </x:row>
    <x:row r="8">
      <x:c r="A8" s="13" t="str">
        <x:v>50</x:v>
      </x:c>
      <x:c r="B8" s="13" t="str">
        <x:v>0.5</x:v>
      </x:c>
      <x:c r="C8" s="13" t="str">
        <x:v>1</x:v>
      </x:c>
      <x:c r="D8" s="13" t="str">
        <x:v>4222534119</x:v>
      </x:c>
      <x:c r="E8" s="13" t="str">
        <x:v>601</x:v>
      </x:c>
      <x:c r="F8" s="13" t="str">
        <x:v>1</x:v>
      </x:c>
      <x:c r="G8" s="13" t="str">
        <x:v>5</x:v>
      </x:c>
      <x:c r="H8" s="25" t="str">
        <x:v>16</x:v>
      </x:c>
      <x:c r="I8" s="19" t="str">
        <x:v>0.02284029999282211</x:v>
      </x:c>
      <x:c r="J8" s="13" t="str">
        <x:v>True</x:v>
      </x:c>
      <x:c r="K8" s="25" t="str">
        <x:v>16</x:v>
      </x:c>
      <x:c r="L8" s="25" t="str">
        <x:v>16</x:v>
      </x:c>
      <x:c r="M8" s="19" t="str">
        <x:v>0.016067599994130433</x:v>
      </x:c>
      <x:c r="N8" s="13" t="str">
        <x:v>True</x:v>
      </x:c>
      <x:c r="O8" s="25" t="str">
        <x:v>18</x:v>
      </x:c>
      <x:c r="P8" s="19" t="str">
        <x:v>0.006746099970769137</x:v>
      </x:c>
      <x:c r="Q8" s="13" t="str">
        <x:v>True</x:v>
      </x:c>
      <x:c r="R8" s="25" t="str">
        <x:v>16</x:v>
      </x:c>
      <x:c r="S8" s="19" t="str">
        <x:v>0.009389199956785887</x:v>
      </x:c>
      <x:c r="T8" s="13" t="str">
        <x:v>True</x:v>
      </x:c>
      <x:c r="U8" s="25" t="str">
        <x:v>16</x:v>
      </x:c>
      <x:c r="V8" s="19" t="str">
        <x:v>0.1433565000188537</x:v>
      </x:c>
      <x:c r="W8" s="13" t="str">
        <x:v>True</x:v>
      </x:c>
      <x:c r="X8" s="13" t="str">
        <x:v>grid, grid_collision, zoomed_square, ich</x:v>
      </x:c>
      <x:c r="Y8" s="13" t="str">
        <x:v>circle</x:v>
      </x:c>
    </x:row>
    <x:row r="9">
      <x:c r="A9" s="13" t="str">
        <x:v>50</x:v>
      </x:c>
      <x:c r="B9" s="13" t="str">
        <x:v>0.5</x:v>
      </x:c>
      <x:c r="C9" s="13" t="str">
        <x:v>2</x:v>
      </x:c>
      <x:c r="D9" s="13" t="str">
        <x:v>3682163468</x:v>
      </x:c>
      <x:c r="E9" s="13" t="str">
        <x:v>598</x:v>
      </x:c>
      <x:c r="F9" s="13" t="str">
        <x:v>1</x:v>
      </x:c>
      <x:c r="G9" s="13" t="str">
        <x:v>5</x:v>
      </x:c>
      <x:c r="H9" s="25" t="str">
        <x:v>15</x:v>
      </x:c>
      <x:c r="I9" s="19" t="str">
        <x:v>0.018491399998310953</x:v>
      </x:c>
      <x:c r="J9" s="13" t="str">
        <x:v>True</x:v>
      </x:c>
      <x:c r="K9" s="25" t="str">
        <x:v>14</x:v>
      </x:c>
      <x:c r="L9" s="25" t="str">
        <x:v>14</x:v>
      </x:c>
      <x:c r="M9" s="19" t="str">
        <x:v>0.013234200014267117</x:v>
      </x:c>
      <x:c r="N9" s="13" t="str">
        <x:v>True</x:v>
      </x:c>
      <x:c r="O9" s="25" t="str">
        <x:v>17</x:v>
      </x:c>
      <x:c r="P9" s="19" t="str">
        <x:v>0.006295500032138079</x:v>
      </x:c>
      <x:c r="Q9" s="13" t="str">
        <x:v>True</x:v>
      </x:c>
      <x:c r="R9" s="25" t="str">
        <x:v>13</x:v>
      </x:c>
      <x:c r="S9" s="19" t="str">
        <x:v>0.006431799964047968</x:v>
      </x:c>
      <x:c r="T9" s="13" t="str">
        <x:v>True</x:v>
      </x:c>
      <x:c r="U9" s="25" t="str">
        <x:v>16</x:v>
      </x:c>
      <x:c r="V9" s="19" t="str">
        <x:v>0.1504974000272341</x:v>
      </x:c>
      <x:c r="W9" s="13" t="str">
        <x:v>True</x:v>
      </x:c>
      <x:c r="X9" s="13" t="str">
        <x:v>zoomed_square</x:v>
      </x:c>
      <x:c r="Y9" s="13" t="str">
        <x:v>circle</x:v>
      </x:c>
    </x:row>
    <x:row r="10">
      <x:c r="A10" s="13" t="str">
        <x:v>50</x:v>
      </x:c>
      <x:c r="B10" s="13" t="str">
        <x:v>0.5</x:v>
      </x:c>
      <x:c r="C10" s="13" t="str">
        <x:v>3</x:v>
      </x:c>
      <x:c r="D10" s="13" t="str">
        <x:v>3665541241</x:v>
      </x:c>
      <x:c r="E10" s="13" t="str">
        <x:v>504</x:v>
      </x:c>
      <x:c r="F10" s="13" t="str">
        <x:v>1</x:v>
      </x:c>
      <x:c r="G10" s="13" t="str">
        <x:v>5</x:v>
      </x:c>
      <x:c r="H10" s="25" t="str">
        <x:v>17</x:v>
      </x:c>
      <x:c r="I10" s="19" t="str">
        <x:v>0.02370150003116578</x:v>
      </x:c>
      <x:c r="J10" s="13" t="str">
        <x:v>True</x:v>
      </x:c>
      <x:c r="K10" s="25" t="str">
        <x:v>15</x:v>
      </x:c>
      <x:c r="L10" s="25" t="str">
        <x:v>15</x:v>
      </x:c>
      <x:c r="M10" s="19" t="str">
        <x:v>0.015260299958754331</x:v>
      </x:c>
      <x:c r="N10" s="13" t="str">
        <x:v>True</x:v>
      </x:c>
      <x:c r="O10" s="25" t="str">
        <x:v>17</x:v>
      </x:c>
      <x:c r="P10" s="19" t="str">
        <x:v>0.0065113999880850315</x:v>
      </x:c>
      <x:c r="Q10" s="13" t="str">
        <x:v>True</x:v>
      </x:c>
      <x:c r="R10" s="25" t="str">
        <x:v>17</x:v>
      </x:c>
      <x:c r="S10" s="19" t="str">
        <x:v>0.006016900006216019</x:v>
      </x:c>
      <x:c r="T10" s="13" t="str">
        <x:v>True</x:v>
      </x:c>
      <x:c r="U10" s="25" t="str">
        <x:v>15</x:v>
      </x:c>
      <x:c r="V10" s="19" t="str">
        <x:v>0.155957099981606</x:v>
      </x:c>
      <x:c r="W10" s="13" t="str">
        <x:v>True</x:v>
      </x:c>
      <x:c r="X10" s="13" t="str">
        <x:v>grid_collision, ich</x:v>
      </x:c>
      <x:c r="Y10" s="13" t="str">
        <x:v>zoomed_square</x:v>
      </x:c>
    </x:row>
    <x:row r="11">
      <x:c r="A11" s="13" t="str">
        <x:v>50</x:v>
      </x:c>
      <x:c r="B11" s="13" t="str">
        <x:v>0.7</x:v>
      </x:c>
      <x:c r="C11" s="13" t="str">
        <x:v>1</x:v>
      </x:c>
      <x:c r="D11" s="13" t="str">
        <x:v>3224524960</x:v>
      </x:c>
      <x:c r="E11" s="13" t="str">
        <x:v>930</x:v>
      </x:c>
      <x:c r="F11" s="13" t="str">
        <x:v>1</x:v>
      </x:c>
      <x:c r="G11" s="13" t="str">
        <x:v>5</x:v>
      </x:c>
      <x:c r="H11" s="25" t="str">
        <x:v>19</x:v>
      </x:c>
      <x:c r="I11" s="19" t="str">
        <x:v>0.020070200029294938</x:v>
      </x:c>
      <x:c r="J11" s="13" t="str">
        <x:v>True</x:v>
      </x:c>
      <x:c r="K11" s="25" t="str">
        <x:v>19</x:v>
      </x:c>
      <x:c r="L11" s="25" t="str">
        <x:v>18</x:v>
      </x:c>
      <x:c r="M11" s="19" t="str">
        <x:v>0.019089400011580437</x:v>
      </x:c>
      <x:c r="N11" s="13" t="str">
        <x:v>True</x:v>
      </x:c>
      <x:c r="O11" s="25" t="str">
        <x:v>22</x:v>
      </x:c>
      <x:c r="P11" s="19" t="str">
        <x:v>0.013130400038789958</x:v>
      </x:c>
      <x:c r="Q11" s="13" t="str">
        <x:v>True</x:v>
      </x:c>
      <x:c r="R11" s="25" t="str">
        <x:v>21</x:v>
      </x:c>
      <x:c r="S11" s="19" t="str">
        <x:v>0.015212600002996624</x:v>
      </x:c>
      <x:c r="T11" s="13" t="str">
        <x:v>True</x:v>
      </x:c>
      <x:c r="U11" s="25" t="str">
        <x:v>18</x:v>
      </x:c>
      <x:c r="V11" s="19" t="str">
        <x:v>0.2010469000088051</x:v>
      </x:c>
      <x:c r="W11" s="13" t="str">
        <x:v>True</x:v>
      </x:c>
      <x:c r="X11" s="13" t="str">
        <x:v>grid_collision, ich</x:v>
      </x:c>
      <x:c r="Y11" s="13" t="str">
        <x:v>circle</x:v>
      </x:c>
    </x:row>
    <x:row r="12">
      <x:c r="A12" s="13" t="str">
        <x:v>50</x:v>
      </x:c>
      <x:c r="B12" s="13" t="str">
        <x:v>0.7</x:v>
      </x:c>
      <x:c r="C12" s="13" t="str">
        <x:v>2</x:v>
      </x:c>
      <x:c r="D12" s="13" t="str">
        <x:v>1614528343</x:v>
      </x:c>
      <x:c r="E12" s="13" t="str">
        <x:v>902</x:v>
      </x:c>
      <x:c r="F12" s="13" t="str">
        <x:v>1</x:v>
      </x:c>
      <x:c r="G12" s="13" t="str">
        <x:v>5</x:v>
      </x:c>
      <x:c r="H12" s="25" t="str">
        <x:v>17</x:v>
      </x:c>
      <x:c r="I12" s="19" t="str">
        <x:v>0.023869699973147362</x:v>
      </x:c>
      <x:c r="J12" s="13" t="str">
        <x:v>True</x:v>
      </x:c>
      <x:c r="K12" s="25" t="str">
        <x:v>17</x:v>
      </x:c>
      <x:c r="L12" s="25" t="str">
        <x:v>17</x:v>
      </x:c>
      <x:c r="M12" s="19" t="str">
        <x:v>0.014312700019218028</x:v>
      </x:c>
      <x:c r="N12" s="13" t="str">
        <x:v>True</x:v>
      </x:c>
      <x:c r="O12" s="25" t="str">
        <x:v>19</x:v>
      </x:c>
      <x:c r="P12" s="19" t="str">
        <x:v>0.007186600007116795</x:v>
      </x:c>
      <x:c r="Q12" s="13" t="str">
        <x:v>True</x:v>
      </x:c>
      <x:c r="R12" s="25" t="str">
        <x:v>18</x:v>
      </x:c>
      <x:c r="S12" s="19" t="str">
        <x:v>0.01551529997959733</x:v>
      </x:c>
      <x:c r="T12" s="13" t="str">
        <x:v>True</x:v>
      </x:c>
      <x:c r="U12" s="25" t="str">
        <x:v>18</x:v>
      </x:c>
      <x:c r="V12" s="19" t="str">
        <x:v>0.2398916000383906</x:v>
      </x:c>
      <x:c r="W12" s="13" t="str">
        <x:v>True</x:v>
      </x:c>
      <x:c r="X12" s="13" t="str">
        <x:v>grid, grid_collision</x:v>
      </x:c>
      <x:c r="Y12" s="13" t="str">
        <x:v>circle</x:v>
      </x:c>
    </x:row>
    <x:row r="13">
      <x:c r="A13" s="13" t="str">
        <x:v>50</x:v>
      </x:c>
      <x:c r="B13" s="13" t="str">
        <x:v>0.7</x:v>
      </x:c>
      <x:c r="C13" s="13" t="str">
        <x:v>3</x:v>
      </x:c>
      <x:c r="D13" s="13" t="str">
        <x:v>2571015513</x:v>
      </x:c>
      <x:c r="E13" s="13" t="str">
        <x:v>940</x:v>
      </x:c>
      <x:c r="F13" s="13" t="str">
        <x:v>1</x:v>
      </x:c>
      <x:c r="G13" s="13" t="str">
        <x:v>5</x:v>
      </x:c>
      <x:c r="H13" s="25" t="str">
        <x:v>19</x:v>
      </x:c>
      <x:c r="I13" s="19" t="str">
        <x:v>0.019368599983863533</x:v>
      </x:c>
      <x:c r="J13" s="13" t="str">
        <x:v>True</x:v>
      </x:c>
      <x:c r="K13" s="25" t="str">
        <x:v>18</x:v>
      </x:c>
      <x:c r="L13" s="25" t="str">
        <x:v>18</x:v>
      </x:c>
      <x:c r="M13" s="19" t="str">
        <x:v>0.01451830001315102</x:v>
      </x:c>
      <x:c r="N13" s="13" t="str">
        <x:v>True</x:v>
      </x:c>
      <x:c r="O13" s="25" t="str">
        <x:v>22</x:v>
      </x:c>
      <x:c r="P13" s="19" t="str">
        <x:v>0.011703000054694712</x:v>
      </x:c>
      <x:c r="Q13" s="13" t="str">
        <x:v>True</x:v>
      </x:c>
      <x:c r="R13" s="25" t="str">
        <x:v>21</x:v>
      </x:c>
      <x:c r="S13" s="19" t="str">
        <x:v>0.01662670000223443</x:v>
      </x:c>
      <x:c r="T13" s="13" t="str">
        <x:v>True</x:v>
      </x:c>
      <x:c r="U13" s="25" t="str">
        <x:v>18</x:v>
      </x:c>
      <x:c r="V13" s="19" t="str">
        <x:v>0.1796250999905169</x:v>
      </x:c>
      <x:c r="W13" s="13" t="str">
        <x:v>True</x:v>
      </x:c>
      <x:c r="X13" s="13" t="str">
        <x:v>grid_collision, ich</x:v>
      </x:c>
      <x:c r="Y13" s="13" t="str">
        <x:v>circle</x:v>
      </x:c>
    </x:row>
    <x:row r="14">
      <x:c r="A14" s="13" t="str">
        <x:v>100</x:v>
      </x:c>
      <x:c r="B14" s="13" t="str">
        <x:v>0.1</x:v>
      </x:c>
      <x:c r="C14" s="13" t="str">
        <x:v>1</x:v>
      </x:c>
      <x:c r="D14" s="13" t="str">
        <x:v>2428230964</x:v>
      </x:c>
      <x:c r="E14" s="13" t="str">
        <x:v>139</x:v>
      </x:c>
      <x:c r="F14" s="13" t="str">
        <x:v>17</x:v>
      </x:c>
      <x:c r="G14" s="13" t="str">
        <x:v>5</x:v>
      </x:c>
      <x:c r="H14" s="25" t="str">
        <x:v>48</x:v>
      </x:c>
      <x:c r="I14" s="19" t="str">
        <x:v>0.008277199987787753</x:v>
      </x:c>
      <x:c r="J14" s="13" t="str">
        <x:v>False</x:v>
      </x:c>
      <x:c r="K14" s="25" t="str">
        <x:v>44</x:v>
      </x:c>
      <x:c r="L14" s="25" t="str">
        <x:v>44</x:v>
      </x:c>
      <x:c r="M14" s="19" t="str">
        <x:v>0.008916699967812747</x:v>
      </x:c>
      <x:c r="N14" s="13" t="str">
        <x:v>False</x:v>
      </x:c>
      <x:c r="O14" s="25" t="str">
        <x:v>29</x:v>
      </x:c>
      <x:c r="P14" s="19" t="str">
        <x:v>0.0332295999978669</x:v>
      </x:c>
      <x:c r="Q14" s="13" t="str">
        <x:v>True</x:v>
      </x:c>
      <x:c r="R14" s="25" t="str">
        <x:v>31</x:v>
      </x:c>
      <x:c r="S14" s="19" t="str">
        <x:v>0.01933069998631254</x:v>
      </x:c>
      <x:c r="T14" s="13" t="str">
        <x:v>True</x:v>
      </x:c>
      <x:c r="U14" s="25" t="str">
        <x:v>29</x:v>
      </x:c>
      <x:c r="V14" s="19" t="str">
        <x:v>0.7665131000103429</x:v>
      </x:c>
      <x:c r="W14" s="13" t="str">
        <x:v>True</x:v>
      </x:c>
      <x:c r="X14" s="13" t="str">
        <x:v>circle, ich</x:v>
      </x:c>
      <x:c r="Y14" s="13" t="str">
        <x:v>zoomed_square</x:v>
      </x:c>
    </x:row>
    <x:row r="15">
      <x:c r="A15" s="13" t="str">
        <x:v>100</x:v>
      </x:c>
      <x:c r="B15" s="13" t="str">
        <x:v>0.1</x:v>
      </x:c>
      <x:c r="C15" s="13" t="str">
        <x:v>2</x:v>
      </x:c>
      <x:c r="D15" s="13" t="str">
        <x:v>3251549681</x:v>
      </x:c>
      <x:c r="E15" s="13" t="str">
        <x:v>137</x:v>
      </x:c>
      <x:c r="F15" s="13" t="str">
        <x:v>20</x:v>
      </x:c>
      <x:c r="G15" s="13" t="str">
        <x:v>5</x:v>
      </x:c>
      <x:c r="H15" s="25" t="str">
        <x:v>55</x:v>
      </x:c>
      <x:c r="I15" s="19" t="str">
        <x:v>0.006464600039180368</x:v>
      </x:c>
      <x:c r="J15" s="13" t="str">
        <x:v>False</x:v>
      </x:c>
      <x:c r="K15" s="25" t="str">
        <x:v>49</x:v>
      </x:c>
      <x:c r="L15" s="25" t="str">
        <x:v>49</x:v>
      </x:c>
      <x:c r="M15" s="19" t="str">
        <x:v>0.00608490000013262</x:v>
      </x:c>
      <x:c r="N15" s="13" t="str">
        <x:v>False</x:v>
      </x:c>
      <x:c r="O15" s="25" t="str">
        <x:v>36</x:v>
      </x:c>
      <x:c r="P15" s="19" t="str">
        <x:v>0.019834600039757788</x:v>
      </x:c>
      <x:c r="Q15" s="13" t="str">
        <x:v>True</x:v>
      </x:c>
      <x:c r="R15" s="25" t="str">
        <x:v>36</x:v>
      </x:c>
      <x:c r="S15" s="19" t="str">
        <x:v>0.016788400011137128</x:v>
      </x:c>
      <x:c r="T15" s="13" t="str">
        <x:v>True</x:v>
      </x:c>
      <x:c r="U15" s="25" t="str">
        <x:v>36</x:v>
      </x:c>
      <x:c r="V15" s="19" t="str">
        <x:v>0.8399538000230677</x:v>
      </x:c>
      <x:c r="W15" s="13" t="str">
        <x:v>True</x:v>
      </x:c>
      <x:c r="X15" s="13" t="str">
        <x:v>circle, zoomed_square, ich</x:v>
      </x:c>
      <x:c r="Y15" s="13" t="str">
        <x:v>zoomed_square</x:v>
      </x:c>
    </x:row>
    <x:row r="16">
      <x:c r="A16" s="13" t="str">
        <x:v>100</x:v>
      </x:c>
      <x:c r="B16" s="13" t="str">
        <x:v>0.1</x:v>
      </x:c>
      <x:c r="C16" s="13" t="str">
        <x:v>3</x:v>
      </x:c>
      <x:c r="D16" s="13" t="str">
        <x:v>4169461538</x:v>
      </x:c>
      <x:c r="E16" s="13" t="str">
        <x:v>147</x:v>
      </x:c>
      <x:c r="F16" s="13" t="str">
        <x:v>19</x:v>
      </x:c>
      <x:c r="G16" s="13" t="str">
        <x:v>5</x:v>
      </x:c>
      <x:c r="H16" s="25" t="str">
        <x:v>51</x:v>
      </x:c>
      <x:c r="I16" s="19" t="str">
        <x:v>0.007523000007495284</x:v>
      </x:c>
      <x:c r="J16" s="13" t="str">
        <x:v>False</x:v>
      </x:c>
      <x:c r="K16" s="25" t="str">
        <x:v>46</x:v>
      </x:c>
      <x:c r="L16" s="25" t="str">
        <x:v>46</x:v>
      </x:c>
      <x:c r="M16" s="19" t="str">
        <x:v>0.006347599963191897</x:v>
      </x:c>
      <x:c r="N16" s="13" t="str">
        <x:v>False</x:v>
      </x:c>
      <x:c r="O16" s="25" t="str">
        <x:v>34</x:v>
      </x:c>
      <x:c r="P16" s="19" t="str">
        <x:v>0.019032999989576638</x:v>
      </x:c>
      <x:c r="Q16" s="13" t="str">
        <x:v>True</x:v>
      </x:c>
      <x:c r="R16" s="25" t="str">
        <x:v>34</x:v>
      </x:c>
      <x:c r="S16" s="19" t="str">
        <x:v>0.015215599967632443</x:v>
      </x:c>
      <x:c r="T16" s="13" t="str">
        <x:v>True</x:v>
      </x:c>
      <x:c r="U16" s="25" t="str">
        <x:v>35</x:v>
      </x:c>
      <x:c r="V16" s="19" t="str">
        <x:v>0.8724034000188112</x:v>
      </x:c>
      <x:c r="W16" s="13" t="str">
        <x:v>True</x:v>
      </x:c>
      <x:c r="X16" s="13" t="str">
        <x:v>circle, zoomed_square</x:v>
      </x:c>
      <x:c r="Y16" s="13" t="str">
        <x:v>zoomed_square</x:v>
      </x:c>
    </x:row>
    <x:row r="17">
      <x:c r="A17" s="13" t="str">
        <x:v>100</x:v>
      </x:c>
      <x:c r="B17" s="13" t="str">
        <x:v>0.3</x:v>
      </x:c>
      <x:c r="C17" s="13" t="str">
        <x:v>1</x:v>
      </x:c>
      <x:c r="D17" s="13" t="str">
        <x:v>161019025</x:v>
      </x:c>
      <x:c r="E17" s="13" t="str">
        <x:v>1004</x:v>
      </x:c>
      <x:c r="F17" s="13" t="str">
        <x:v>1</x:v>
      </x:c>
      <x:c r="G17" s="13" t="str">
        <x:v>5</x:v>
      </x:c>
      <x:c r="H17" s="25" t="str">
        <x:v>19</x:v>
      </x:c>
      <x:c r="I17" s="19" t="str">
        <x:v>0.024762400018516928</x:v>
      </x:c>
      <x:c r="J17" s="13" t="str">
        <x:v>True</x:v>
      </x:c>
      <x:c r="K17" s="25" t="str">
        <x:v>31</x:v>
      </x:c>
      <x:c r="L17" s="25" t="str">
        <x:v>19</x:v>
      </x:c>
      <x:c r="M17" s="19" t="str">
        <x:v>0.017646600026637316</x:v>
      </x:c>
      <x:c r="N17" s="13" t="str">
        <x:v>True</x:v>
      </x:c>
      <x:c r="O17" s="25" t="str">
        <x:v>19</x:v>
      </x:c>
      <x:c r="P17" s="19" t="str">
        <x:v>0.037264500046148896</x:v>
      </x:c>
      <x:c r="Q17" s="13" t="str">
        <x:v>True</x:v>
      </x:c>
      <x:c r="R17" s="25" t="str">
        <x:v>19</x:v>
      </x:c>
      <x:c r="S17" s="19" t="str">
        <x:v>0.02874040004098788</x:v>
      </x:c>
      <x:c r="T17" s="13" t="str">
        <x:v>True</x:v>
      </x:c>
      <x:c r="U17" s="25" t="str">
        <x:v>20</x:v>
      </x:c>
      <x:c r="V17" s="19" t="str">
        <x:v>0.6501424000016414</x:v>
      </x:c>
      <x:c r="W17" s="13" t="str">
        <x:v>True</x:v>
      </x:c>
      <x:c r="X17" s="13" t="str">
        <x:v>grid, grid_collision, circle, zoomed_square</x:v>
      </x:c>
      <x:c r="Y17" s="13" t="str">
        <x:v>grid_collision</x:v>
      </x:c>
    </x:row>
    <x:row r="18">
      <x:c r="A18" s="13" t="str">
        <x:v>100</x:v>
      </x:c>
      <x:c r="B18" s="13" t="str">
        <x:v>0.3</x:v>
      </x:c>
      <x:c r="C18" s="13" t="str">
        <x:v>2</x:v>
      </x:c>
      <x:c r="D18" s="13" t="str">
        <x:v>2844469440</x:v>
      </x:c>
      <x:c r="E18" s="13" t="str">
        <x:v>1095</x:v>
      </x:c>
      <x:c r="F18" s="13" t="str">
        <x:v>1</x:v>
      </x:c>
      <x:c r="G18" s="13" t="str">
        <x:v>5</x:v>
      </x:c>
      <x:c r="H18" s="25" t="str">
        <x:v>22</x:v>
      </x:c>
      <x:c r="I18" s="19" t="str">
        <x:v>0.0355557999573648</x:v>
      </x:c>
      <x:c r="J18" s="13" t="str">
        <x:v>True</x:v>
      </x:c>
      <x:c r="K18" s="25" t="str">
        <x:v>43</x:v>
      </x:c>
      <x:c r="L18" s="25" t="str">
        <x:v>22</x:v>
      </x:c>
      <x:c r="M18" s="19" t="str">
        <x:v>0.02607299998635426</x:v>
      </x:c>
      <x:c r="N18" s="13" t="str">
        <x:v>True</x:v>
      </x:c>
      <x:c r="O18" s="25" t="str">
        <x:v>21</x:v>
      </x:c>
      <x:c r="P18" s="19" t="str">
        <x:v>0.029327200027182698</x:v>
      </x:c>
      <x:c r="Q18" s="13" t="str">
        <x:v>True</x:v>
      </x:c>
      <x:c r="R18" s="25" t="str">
        <x:v>22</x:v>
      </x:c>
      <x:c r="S18" s="19" t="str">
        <x:v>0.03702839999459684</x:v>
      </x:c>
      <x:c r="T18" s="13" t="str">
        <x:v>True</x:v>
      </x:c>
      <x:c r="U18" s="25" t="str">
        <x:v>21</x:v>
      </x:c>
      <x:c r="V18" s="19" t="str">
        <x:v>0.6368165999883786</x:v>
      </x:c>
      <x:c r="W18" s="13" t="str">
        <x:v>True</x:v>
      </x:c>
      <x:c r="X18" s="13" t="str">
        <x:v>circle, ich</x:v>
      </x:c>
      <x:c r="Y18" s="13" t="str">
        <x:v>grid_collision</x:v>
      </x:c>
    </x:row>
    <x:row r="19">
      <x:c r="A19" s="13" t="str">
        <x:v>100</x:v>
      </x:c>
      <x:c r="B19" s="13" t="str">
        <x:v>0.3</x:v>
      </x:c>
      <x:c r="C19" s="13" t="str">
        <x:v>3</x:v>
      </x:c>
      <x:c r="D19" s="13" t="str">
        <x:v>200839356</x:v>
      </x:c>
      <x:c r="E19" s="13" t="str">
        <x:v>1125</x:v>
      </x:c>
      <x:c r="F19" s="13" t="str">
        <x:v>1</x:v>
      </x:c>
      <x:c r="G19" s="13" t="str">
        <x:v>5</x:v>
      </x:c>
      <x:c r="H19" s="25" t="str">
        <x:v>16</x:v>
      </x:c>
      <x:c r="I19" s="19" t="str">
        <x:v>0.025052100012544543</x:v>
      </x:c>
      <x:c r="J19" s="13" t="str">
        <x:v>True</x:v>
      </x:c>
      <x:c r="K19" s="25" t="str">
        <x:v>38</x:v>
      </x:c>
      <x:c r="L19" s="25" t="str">
        <x:v>38</x:v>
      </x:c>
      <x:c r="M19" s="19" t="str">
        <x:v>0.017302600026596338</x:v>
      </x:c>
      <x:c r="N19" s="13" t="str">
        <x:v>False</x:v>
      </x:c>
      <x:c r="O19" s="25" t="str">
        <x:v>21</x:v>
      </x:c>
      <x:c r="P19" s="19" t="str">
        <x:v>0.023059500032104552</x:v>
      </x:c>
      <x:c r="Q19" s="13" t="str">
        <x:v>True</x:v>
      </x:c>
      <x:c r="R19" s="25" t="str">
        <x:v>21</x:v>
      </x:c>
      <x:c r="S19" s="19" t="str">
        <x:v>0.026514300028793514</x:v>
      </x:c>
      <x:c r="T19" s="13" t="str">
        <x:v>True</x:v>
      </x:c>
      <x:c r="U19" s="25" t="str">
        <x:v>18</x:v>
      </x:c>
      <x:c r="V19" s="19" t="str">
        <x:v>0.5327613999834284</x:v>
      </x:c>
      <x:c r="W19" s="13" t="str">
        <x:v>True</x:v>
      </x:c>
      <x:c r="X19" s="13" t="str">
        <x:v>grid</x:v>
      </x:c>
      <x:c r="Y19" s="13" t="str">
        <x:v>circle</x:v>
      </x:c>
    </x:row>
    <x:row r="20">
      <x:c r="A20" s="13" t="str">
        <x:v>100</x:v>
      </x:c>
      <x:c r="B20" s="13" t="str">
        <x:v>0.5</x:v>
      </x:c>
      <x:c r="C20" s="13" t="str">
        <x:v>1</x:v>
      </x:c>
      <x:c r="D20" s="13" t="str">
        <x:v>3345635578</x:v>
      </x:c>
      <x:c r="E20" s="13" t="str">
        <x:v>2570</x:v>
      </x:c>
      <x:c r="F20" s="13" t="str">
        <x:v>1</x:v>
      </x:c>
      <x:c r="G20" s="13" t="str">
        <x:v>5</x:v>
      </x:c>
      <x:c r="H20" s="25" t="str">
        <x:v>25</x:v>
      </x:c>
      <x:c r="I20" s="19" t="str">
        <x:v>0.15216339996550232</x:v>
      </x:c>
      <x:c r="J20" s="13" t="str">
        <x:v>True</x:v>
      </x:c>
      <x:c r="K20" s="25" t="str">
        <x:v>24</x:v>
      </x:c>
      <x:c r="L20" s="25" t="str">
        <x:v>24</x:v>
      </x:c>
      <x:c r="M20" s="19" t="str">
        <x:v>0.09821150003699586</x:v>
      </x:c>
      <x:c r="N20" s="13" t="str">
        <x:v>True</x:v>
      </x:c>
      <x:c r="O20" s="25" t="str">
        <x:v>26</x:v>
      </x:c>
      <x:c r="P20" s="19" t="str">
        <x:v>0.032757700013462454</x:v>
      </x:c>
      <x:c r="Q20" s="13" t="str">
        <x:v>True</x:v>
      </x:c>
      <x:c r="R20" s="25" t="str">
        <x:v>25</x:v>
      </x:c>
      <x:c r="S20" s="19" t="str">
        <x:v>0.055383200000505894</x:v>
      </x:c>
      <x:c r="T20" s="13" t="str">
        <x:v>True</x:v>
      </x:c>
      <x:c r="U20" s="25" t="str">
        <x:v>24</x:v>
      </x:c>
      <x:c r="V20" s="19" t="str">
        <x:v>0.5414976000320166</x:v>
      </x:c>
      <x:c r="W20" s="13" t="str">
        <x:v>True</x:v>
      </x:c>
      <x:c r="X20" s="13" t="str">
        <x:v>grid_collision, ich</x:v>
      </x:c>
      <x:c r="Y20" s="13" t="str">
        <x:v>circle</x:v>
      </x:c>
    </x:row>
    <x:row r="21">
      <x:c r="A21" s="13" t="str">
        <x:v>100</x:v>
      </x:c>
      <x:c r="B21" s="13" t="str">
        <x:v>0.5</x:v>
      </x:c>
      <x:c r="C21" s="13" t="str">
        <x:v>2</x:v>
      </x:c>
      <x:c r="D21" s="13" t="str">
        <x:v>2906446614</x:v>
      </x:c>
      <x:c r="E21" s="13" t="str">
        <x:v>2372</x:v>
      </x:c>
      <x:c r="F21" s="13" t="str">
        <x:v>1</x:v>
      </x:c>
      <x:c r="G21" s="13" t="str">
        <x:v>5</x:v>
      </x:c>
      <x:c r="H21" s="25" t="str">
        <x:v>30</x:v>
      </x:c>
      <x:c r="I21" s="19" t="str">
        <x:v>0.14108390000183135</x:v>
      </x:c>
      <x:c r="J21" s="13" t="str">
        <x:v>True</x:v>
      </x:c>
      <x:c r="K21" s="25" t="str">
        <x:v>23</x:v>
      </x:c>
      <x:c r="L21" s="25" t="str">
        <x:v>22</x:v>
      </x:c>
      <x:c r="M21" s="19" t="str">
        <x:v>0.11663160001626238</x:v>
      </x:c>
      <x:c r="N21" s="13" t="str">
        <x:v>True</x:v>
      </x:c>
      <x:c r="O21" s="25" t="str">
        <x:v>28</x:v>
      </x:c>
      <x:c r="P21" s="19" t="str">
        <x:v>0.04987649997929111</x:v>
      </x:c>
      <x:c r="Q21" s="13" t="str">
        <x:v>True</x:v>
      </x:c>
      <x:c r="R21" s="25" t="str">
        <x:v>30</x:v>
      </x:c>
      <x:c r="S21" s="19" t="str">
        <x:v>0.04784660000586882</x:v>
      </x:c>
      <x:c r="T21" s="13" t="str">
        <x:v>True</x:v>
      </x:c>
      <x:c r="U21" s="25" t="str">
        <x:v>24</x:v>
      </x:c>
      <x:c r="V21" s="19" t="str">
        <x:v>0.5901970999548212</x:v>
      </x:c>
      <x:c r="W21" s="13" t="str">
        <x:v>True</x:v>
      </x:c>
      <x:c r="X21" s="13" t="str">
        <x:v>grid_collision</x:v>
      </x:c>
      <x:c r="Y21" s="13" t="str">
        <x:v>zoomed_square</x:v>
      </x:c>
    </x:row>
    <x:row r="22">
      <x:c r="A22" s="13" t="str">
        <x:v>100</x:v>
      </x:c>
      <x:c r="B22" s="13" t="str">
        <x:v>0.5</x:v>
      </x:c>
      <x:c r="C22" s="13" t="str">
        <x:v>3</x:v>
      </x:c>
      <x:c r="D22" s="13" t="str">
        <x:v>3751208087</x:v>
      </x:c>
      <x:c r="E22" s="13" t="str">
        <x:v>2477</x:v>
      </x:c>
      <x:c r="F22" s="13" t="str">
        <x:v>1</x:v>
      </x:c>
      <x:c r="G22" s="13" t="str">
        <x:v>5</x:v>
      </x:c>
      <x:c r="H22" s="25" t="str">
        <x:v>29</x:v>
      </x:c>
      <x:c r="I22" s="19" t="str">
        <x:v>0.13192730001173913</x:v>
      </x:c>
      <x:c r="J22" s="13" t="str">
        <x:v>True</x:v>
      </x:c>
      <x:c r="K22" s="25" t="str">
        <x:v>24</x:v>
      </x:c>
      <x:c r="L22" s="25" t="str">
        <x:v>22</x:v>
      </x:c>
      <x:c r="M22" s="19" t="str">
        <x:v>0.09234090003883466</x:v>
      </x:c>
      <x:c r="N22" s="13" t="str">
        <x:v>True</x:v>
      </x:c>
      <x:c r="O22" s="25" t="str">
        <x:v>26</x:v>
      </x:c>
      <x:c r="P22" s="19" t="str">
        <x:v>0.03217950003454462</x:v>
      </x:c>
      <x:c r="Q22" s="13" t="str">
        <x:v>True</x:v>
      </x:c>
      <x:c r="R22" s="25" t="str">
        <x:v>28</x:v>
      </x:c>
      <x:c r="S22" s="19" t="str">
        <x:v>0.0458513000048697</x:v>
      </x:c>
      <x:c r="T22" s="13" t="str">
        <x:v>True</x:v>
      </x:c>
      <x:c r="U22" s="25" t="str">
        <x:v>20</x:v>
      </x:c>
      <x:c r="V22" s="19" t="str">
        <x:v>0.5141040000016801</x:v>
      </x:c>
      <x:c r="W22" s="13" t="str">
        <x:v>True</x:v>
      </x:c>
      <x:c r="X22" s="13" t="str">
        <x:v>ich</x:v>
      </x:c>
      <x:c r="Y22" s="13" t="str">
        <x:v>circle</x:v>
      </x:c>
    </x:row>
    <x:row r="23">
      <x:c r="A23" s="13" t="str">
        <x:v>100</x:v>
      </x:c>
      <x:c r="B23" s="13" t="str">
        <x:v>0.7</x:v>
      </x:c>
      <x:c r="C23" s="13" t="str">
        <x:v>1</x:v>
      </x:c>
      <x:c r="D23" s="13" t="str">
        <x:v>1806406614</x:v>
      </x:c>
      <x:c r="E23" s="13" t="str">
        <x:v>3587</x:v>
      </x:c>
      <x:c r="F23" s="13" t="str">
        <x:v>1</x:v>
      </x:c>
      <x:c r="G23" s="13" t="str">
        <x:v>5</x:v>
      </x:c>
      <x:c r="H23" s="25" t="str">
        <x:v>37</x:v>
      </x:c>
      <x:c r="I23" s="19" t="str">
        <x:v>0.14355710003292188</x:v>
      </x:c>
      <x:c r="J23" s="13" t="str">
        <x:v>True</x:v>
      </x:c>
      <x:c r="K23" s="25" t="str">
        <x:v>33</x:v>
      </x:c>
      <x:c r="L23" s="25" t="str">
        <x:v>32</x:v>
      </x:c>
      <x:c r="M23" s="19" t="str">
        <x:v>0.10576830001082271</x:v>
      </x:c>
      <x:c r="N23" s="13" t="str">
        <x:v>True</x:v>
      </x:c>
      <x:c r="O23" s="25" t="str">
        <x:v>38</x:v>
      </x:c>
      <x:c r="P23" s="19" t="str">
        <x:v>0.04127290000906214</x:v>
      </x:c>
      <x:c r="Q23" s="13" t="str">
        <x:v>True</x:v>
      </x:c>
      <x:c r="R23" s="25" t="str">
        <x:v>37</x:v>
      </x:c>
      <x:c r="S23" s="19" t="str">
        <x:v>0.12261329998727888</x:v>
      </x:c>
      <x:c r="T23" s="13" t="str">
        <x:v>True</x:v>
      </x:c>
      <x:c r="U23" s="25" t="str">
        <x:v>32</x:v>
      </x:c>
      <x:c r="V23" s="19" t="str">
        <x:v>0.7281067000003532</x:v>
      </x:c>
      <x:c r="W23" s="13" t="str">
        <x:v>True</x:v>
      </x:c>
      <x:c r="X23" s="13" t="str">
        <x:v>grid_collision, ich</x:v>
      </x:c>
      <x:c r="Y23" s="13" t="str">
        <x:v>circle</x:v>
      </x:c>
    </x:row>
    <x:row r="24">
      <x:c r="A24" s="13" t="str">
        <x:v>100</x:v>
      </x:c>
      <x:c r="B24" s="13" t="str">
        <x:v>0.7</x:v>
      </x:c>
      <x:c r="C24" s="13" t="str">
        <x:v>2</x:v>
      </x:c>
      <x:c r="D24" s="13" t="str">
        <x:v>2434983885</x:v>
      </x:c>
      <x:c r="E24" s="13" t="str">
        <x:v>3483</x:v>
      </x:c>
      <x:c r="F24" s="13" t="str">
        <x:v>1</x:v>
      </x:c>
      <x:c r="G24" s="13" t="str">
        <x:v>5</x:v>
      </x:c>
      <x:c r="H24" s="25" t="str">
        <x:v>33</x:v>
      </x:c>
      <x:c r="I24" s="19" t="str">
        <x:v>0.1543773000012152</x:v>
      </x:c>
      <x:c r="J24" s="13" t="str">
        <x:v>True</x:v>
      </x:c>
      <x:c r="K24" s="25" t="str">
        <x:v>30</x:v>
      </x:c>
      <x:c r="L24" s="25" t="str">
        <x:v>29</x:v>
      </x:c>
      <x:c r="M24" s="19" t="str">
        <x:v>0.11906419997103512</x:v>
      </x:c>
      <x:c r="N24" s="13" t="str">
        <x:v>True</x:v>
      </x:c>
      <x:c r="O24" s="25" t="str">
        <x:v>31</x:v>
      </x:c>
      <x:c r="P24" s="19" t="str">
        <x:v>0.060374699998646975</x:v>
      </x:c>
      <x:c r="Q24" s="13" t="str">
        <x:v>True</x:v>
      </x:c>
      <x:c r="R24" s="25" t="str">
        <x:v>33</x:v>
      </x:c>
      <x:c r="S24" s="19" t="str">
        <x:v>0.16534299997147173</x:v>
      </x:c>
      <x:c r="T24" s="13" t="str">
        <x:v>True</x:v>
      </x:c>
      <x:c r="U24" s="25" t="str">
        <x:v>30</x:v>
      </x:c>
      <x:c r="V24" s="19" t="str">
        <x:v>0.8050556000089273</x:v>
      </x:c>
      <x:c r="W24" s="13" t="str">
        <x:v>True</x:v>
      </x:c>
      <x:c r="X24" s="13" t="str">
        <x:v>grid_collision</x:v>
      </x:c>
      <x:c r="Y24" s="13" t="str">
        <x:v>circle</x:v>
      </x:c>
    </x:row>
    <x:row r="25">
      <x:c r="A25" s="13" t="str">
        <x:v>100</x:v>
      </x:c>
      <x:c r="B25" s="13" t="str">
        <x:v>0.7</x:v>
      </x:c>
      <x:c r="C25" s="13" t="str">
        <x:v>3</x:v>
      </x:c>
      <x:c r="D25" s="13" t="str">
        <x:v>4148997268</x:v>
      </x:c>
      <x:c r="E25" s="13" t="str">
        <x:v>3697</x:v>
      </x:c>
      <x:c r="F25" s="13" t="str">
        <x:v>1</x:v>
      </x:c>
      <x:c r="G25" s="13" t="str">
        <x:v>5</x:v>
      </x:c>
      <x:c r="H25" s="25" t="str">
        <x:v>33</x:v>
      </x:c>
      <x:c r="I25" s="19" t="str">
        <x:v>0.1514599000220187</x:v>
      </x:c>
      <x:c r="J25" s="13" t="str">
        <x:v>True</x:v>
      </x:c>
      <x:c r="K25" s="25" t="str">
        <x:v>29</x:v>
      </x:c>
      <x:c r="L25" s="25" t="str">
        <x:v>29</x:v>
      </x:c>
      <x:c r="M25" s="19" t="str">
        <x:v>0.09123630000976846</x:v>
      </x:c>
      <x:c r="N25" s="13" t="str">
        <x:v>True</x:v>
      </x:c>
      <x:c r="O25" s="25" t="str">
        <x:v>36</x:v>
      </x:c>
      <x:c r="P25" s="19" t="str">
        <x:v>0.04357889998937026</x:v>
      </x:c>
      <x:c r="Q25" s="13" t="str">
        <x:v>True</x:v>
      </x:c>
      <x:c r="R25" s="25" t="str">
        <x:v>41</x:v>
      </x:c>
      <x:c r="S25" s="19" t="str">
        <x:v>0.06997209996916354</x:v>
      </x:c>
      <x:c r="T25" s="13" t="str">
        <x:v>True</x:v>
      </x:c>
      <x:c r="U25" s="25" t="str">
        <x:v>33</x:v>
      </x:c>
      <x:c r="V25" s="19" t="str">
        <x:v>0.8514757999801077</x:v>
      </x:c>
      <x:c r="W25" s="13" t="str">
        <x:v>True</x:v>
      </x:c>
      <x:c r="X25" s="13" t="str">
        <x:v>grid_collision</x:v>
      </x:c>
      <x:c r="Y25" s="13" t="str">
        <x:v>circle</x:v>
      </x:c>
    </x:row>
    <x:row r="26">
      <x:c r="A26" s="13" t="str">
        <x:v>200</x:v>
      </x:c>
      <x:c r="B26" s="13" t="str">
        <x:v>0.1</x:v>
      </x:c>
      <x:c r="C26" s="13" t="str">
        <x:v>1</x:v>
      </x:c>
      <x:c r="D26" s="13" t="str">
        <x:v>4251642234</x:v>
      </x:c>
      <x:c r="E26" s="13" t="str">
        <x:v>555</x:v>
      </x:c>
      <x:c r="F26" s="13" t="str">
        <x:v>4</x:v>
      </x:c>
      <x:c r="G26" s="13" t="str">
        <x:v>5</x:v>
      </x:c>
      <x:c r="H26" s="25" t="str">
        <x:v>42</x:v>
      </x:c>
      <x:c r="I26" s="19" t="str">
        <x:v>0.09073779999744147</x:v>
      </x:c>
      <x:c r="J26" s="13" t="str">
        <x:v>True</x:v>
      </x:c>
      <x:c r="K26" s="25" t="str">
        <x:v>83</x:v>
      </x:c>
      <x:c r="L26" s="25" t="str">
        <x:v>83</x:v>
      </x:c>
      <x:c r="M26" s="19" t="str">
        <x:v>0.023658599995542318</x:v>
      </x:c>
      <x:c r="N26" s="13" t="str">
        <x:v>False</x:v>
      </x:c>
      <x:c r="O26" s="25" t="str">
        <x:v>42</x:v>
      </x:c>
      <x:c r="P26" s="19" t="str">
        <x:v>0.1061100999941118</x:v>
      </x:c>
      <x:c r="Q26" s="13" t="str">
        <x:v>True</x:v>
      </x:c>
      <x:c r="R26" s="25" t="str">
        <x:v>42</x:v>
      </x:c>
      <x:c r="S26" s="19" t="str">
        <x:v>0.12356980005279183</x:v>
      </x:c>
      <x:c r="T26" s="13" t="str">
        <x:v>True</x:v>
      </x:c>
      <x:c r="U26" s="25" t="str">
        <x:v>38</x:v>
      </x:c>
      <x:c r="V26" s="19" t="str">
        <x:v>2.8273277999833226</x:v>
      </x:c>
      <x:c r="W26" s="13" t="str">
        <x:v>True</x:v>
      </x:c>
      <x:c r="X26" s="13" t="str">
        <x:v>ich</x:v>
      </x:c>
      <x:c r="Y26" s="13" t="str">
        <x:v>grid</x:v>
      </x:c>
    </x:row>
    <x:row r="27">
      <x:c r="A27" s="13" t="str">
        <x:v>200</x:v>
      </x:c>
      <x:c r="B27" s="13" t="str">
        <x:v>0.1</x:v>
      </x:c>
      <x:c r="C27" s="13" t="str">
        <x:v>2</x:v>
      </x:c>
      <x:c r="D27" s="13" t="str">
        <x:v>1610422270</x:v>
      </x:c>
      <x:c r="E27" s="13" t="str">
        <x:v>565</x:v>
      </x:c>
      <x:c r="F27" s="13" t="str">
        <x:v>3</x:v>
      </x:c>
      <x:c r="G27" s="13" t="str">
        <x:v>5</x:v>
      </x:c>
      <x:c r="H27" s="25" t="str">
        <x:v>115</x:v>
      </x:c>
      <x:c r="I27" s="19" t="str">
        <x:v>0.029842999996617436</x:v>
      </x:c>
      <x:c r="J27" s="13" t="str">
        <x:v>False</x:v>
      </x:c>
      <x:c r="K27" s="25" t="str">
        <x:v>78</x:v>
      </x:c>
      <x:c r="L27" s="25" t="str">
        <x:v>78</x:v>
      </x:c>
      <x:c r="M27" s="19" t="str">
        <x:v>0.02141049999045208</x:v>
      </x:c>
      <x:c r="N27" s="13" t="str">
        <x:v>False</x:v>
      </x:c>
      <x:c r="O27" s="25" t="str">
        <x:v>32</x:v>
      </x:c>
      <x:c r="P27" s="19" t="str">
        <x:v>0.1373973999870941</x:v>
      </x:c>
      <x:c r="Q27" s="13" t="str">
        <x:v>True</x:v>
      </x:c>
      <x:c r="R27" s="25" t="str">
        <x:v>35</x:v>
      </x:c>
      <x:c r="S27" s="19" t="str">
        <x:v>0.12857739999890327</x:v>
      </x:c>
      <x:c r="T27" s="13" t="str">
        <x:v>True</x:v>
      </x:c>
      <x:c r="U27" s="25" t="str">
        <x:v>33</x:v>
      </x:c>
      <x:c r="V27" s="19" t="str">
        <x:v>2.645123100024648</x:v>
      </x:c>
      <x:c r="W27" s="13" t="str">
        <x:v>True</x:v>
      </x:c>
      <x:c r="X27" s="13" t="str">
        <x:v>circle</x:v>
      </x:c>
      <x:c r="Y27" s="13" t="str">
        <x:v>zoomed_square</x:v>
      </x:c>
    </x:row>
    <x:row r="28">
      <x:c r="A28" s="13" t="str">
        <x:v>200</x:v>
      </x:c>
      <x:c r="B28" s="13" t="str">
        <x:v>0.1</x:v>
      </x:c>
      <x:c r="C28" s="13" t="str">
        <x:v>3</x:v>
      </x:c>
      <x:c r="D28" s="13" t="str">
        <x:v>3977683938</x:v>
      </x:c>
      <x:c r="E28" s="13" t="str">
        <x:v>620</x:v>
      </x:c>
      <x:c r="F28" s="13" t="str">
        <x:v>2</x:v>
      </x:c>
      <x:c r="G28" s="13" t="str">
        <x:v>5</x:v>
      </x:c>
      <x:c r="H28" s="25" t="str">
        <x:v>39</x:v>
      </x:c>
      <x:c r="I28" s="19" t="str">
        <x:v>0.09420460002729669</x:v>
      </x:c>
      <x:c r="J28" s="13" t="str">
        <x:v>True</x:v>
      </x:c>
      <x:c r="K28" s="25" t="str">
        <x:v>87</x:v>
      </x:c>
      <x:c r="L28" s="25" t="str">
        <x:v>87</x:v>
      </x:c>
      <x:c r="M28" s="19" t="str">
        <x:v>0.030897800053935498</x:v>
      </x:c>
      <x:c r="N28" s="13" t="str">
        <x:v>False</x:v>
      </x:c>
      <x:c r="O28" s="25" t="str">
        <x:v>39</x:v>
      </x:c>
      <x:c r="P28" s="19" t="str">
        <x:v>0.11001950001809746</x:v>
      </x:c>
      <x:c r="Q28" s="13" t="str">
        <x:v>True</x:v>
      </x:c>
      <x:c r="R28" s="25" t="str">
        <x:v>38</x:v>
      </x:c>
      <x:c r="S28" s="19" t="str">
        <x:v>0.12549349997425452</x:v>
      </x:c>
      <x:c r="T28" s="13" t="str">
        <x:v>True</x:v>
      </x:c>
      <x:c r="U28" s="25" t="str">
        <x:v>38</x:v>
      </x:c>
      <x:c r="V28" s="19" t="str">
        <x:v>2.713177199999336</x:v>
      </x:c>
      <x:c r="W28" s="13" t="str">
        <x:v>True</x:v>
      </x:c>
      <x:c r="X28" s="13" t="str">
        <x:v>zoomed_square, ich</x:v>
      </x:c>
      <x:c r="Y28" s="13" t="str">
        <x:v>grid</x:v>
      </x:c>
    </x:row>
    <x:row r="29">
      <x:c r="A29" s="13" t="str">
        <x:v>200</x:v>
      </x:c>
      <x:c r="B29" s="13" t="str">
        <x:v>0.3</x:v>
      </x:c>
      <x:c r="C29" s="13" t="str">
        <x:v>1</x:v>
      </x:c>
      <x:c r="D29" s="13" t="str">
        <x:v>4020928604</x:v>
      </x:c>
      <x:c r="E29" s="13" t="str">
        <x:v>4003</x:v>
      </x:c>
      <x:c r="F29" s="13" t="str">
        <x:v>1</x:v>
      </x:c>
      <x:c r="G29" s="13" t="str">
        <x:v>5</x:v>
      </x:c>
      <x:c r="H29" s="25" t="str">
        <x:v>35</x:v>
      </x:c>
      <x:c r="I29" s="19" t="str">
        <x:v>0.23767350002890453</x:v>
      </x:c>
      <x:c r="J29" s="13" t="str">
        <x:v>True</x:v>
      </x:c>
      <x:c r="K29" s="25" t="str">
        <x:v>75</x:v>
      </x:c>
      <x:c r="L29" s="25" t="str">
        <x:v>33</x:v>
      </x:c>
      <x:c r="M29" s="19" t="str">
        <x:v>0.20807940000668168</x:v>
      </x:c>
      <x:c r="N29" s="13" t="str">
        <x:v>True</x:v>
      </x:c>
      <x:c r="O29" s="25" t="str">
        <x:v>33</x:v>
      </x:c>
      <x:c r="P29" s="19" t="str">
        <x:v>0.1506787000107579</x:v>
      </x:c>
      <x:c r="Q29" s="13" t="str">
        <x:v>True</x:v>
      </x:c>
      <x:c r="R29" s="25" t="str">
        <x:v>33</x:v>
      </x:c>
      <x:c r="S29" s="19" t="str">
        <x:v>0.1601704999920912</x:v>
      </x:c>
      <x:c r="T29" s="13" t="str">
        <x:v>True</x:v>
      </x:c>
      <x:c r="U29" s="25" t="str">
        <x:v>35</x:v>
      </x:c>
      <x:c r="V29" s="19" t="str">
        <x:v>2.8604886999819428</x:v>
      </x:c>
      <x:c r="W29" s="13" t="str">
        <x:v>True</x:v>
      </x:c>
      <x:c r="X29" s="13" t="str">
        <x:v>grid_collision, circle, zoomed_square</x:v>
      </x:c>
      <x:c r="Y29" s="13" t="str">
        <x:v>circle</x:v>
      </x:c>
    </x:row>
    <x:row r="30">
      <x:c r="A30" s="13" t="str">
        <x:v>200</x:v>
      </x:c>
      <x:c r="B30" s="13" t="str">
        <x:v>0.3</x:v>
      </x:c>
      <x:c r="C30" s="13" t="str">
        <x:v>2</x:v>
      </x:c>
      <x:c r="D30" s="13" t="str">
        <x:v>511618896</x:v>
      </x:c>
      <x:c r="E30" s="13" t="str">
        <x:v>4277</x:v>
      </x:c>
      <x:c r="F30" s="13" t="str">
        <x:v>1</x:v>
      </x:c>
      <x:c r="G30" s="13" t="str">
        <x:v>5</x:v>
      </x:c>
      <x:c r="H30" s="25" t="str">
        <x:v>35</x:v>
      </x:c>
      <x:c r="I30" s="19" t="str">
        <x:v>0.17155520000960678</x:v>
      </x:c>
      <x:c r="J30" s="13" t="str">
        <x:v>True</x:v>
      </x:c>
      <x:c r="K30" s="25" t="str">
        <x:v>70</x:v>
      </x:c>
      <x:c r="L30" s="25" t="str">
        <x:v>33</x:v>
      </x:c>
      <x:c r="M30" s="19" t="str">
        <x:v>0.10151499998755753</x:v>
      </x:c>
      <x:c r="N30" s="13" t="str">
        <x:v>True</x:v>
      </x:c>
      <x:c r="O30" s="25" t="str">
        <x:v>36</x:v>
      </x:c>
      <x:c r="P30" s="19" t="str">
        <x:v>0.10999599995557219</x:v>
      </x:c>
      <x:c r="Q30" s="13" t="str">
        <x:v>True</x:v>
      </x:c>
      <x:c r="R30" s="25" t="str">
        <x:v>36</x:v>
      </x:c>
      <x:c r="S30" s="19" t="str">
        <x:v>0.1416680000256747</x:v>
      </x:c>
      <x:c r="T30" s="13" t="str">
        <x:v>True</x:v>
      </x:c>
      <x:c r="U30" s="25" t="str">
        <x:v>33</x:v>
      </x:c>
      <x:c r="V30" s="19" t="str">
        <x:v>2.4492636999930255</x:v>
      </x:c>
      <x:c r="W30" s="13" t="str">
        <x:v>True</x:v>
      </x:c>
      <x:c r="X30" s="13" t="str">
        <x:v>grid_collision, ich</x:v>
      </x:c>
      <x:c r="Y30" s="13" t="str">
        <x:v>grid_collision</x:v>
      </x:c>
    </x:row>
    <x:row r="31">
      <x:c r="A31" s="13" t="str">
        <x:v>200</x:v>
      </x:c>
      <x:c r="B31" s="13" t="str">
        <x:v>0.3</x:v>
      </x:c>
      <x:c r="C31" s="13" t="str">
        <x:v>3</x:v>
      </x:c>
      <x:c r="D31" s="13" t="str">
        <x:v>1063447582</x:v>
      </x:c>
      <x:c r="E31" s="13" t="str">
        <x:v>4118</x:v>
      </x:c>
      <x:c r="F31" s="13" t="str">
        <x:v>1</x:v>
      </x:c>
      <x:c r="G31" s="13" t="str">
        <x:v>5</x:v>
      </x:c>
      <x:c r="H31" s="25" t="str">
        <x:v>30</x:v>
      </x:c>
      <x:c r="I31" s="19" t="str">
        <x:v>0.15443400002550334</x:v>
      </x:c>
      <x:c r="J31" s="13" t="str">
        <x:v>True</x:v>
      </x:c>
      <x:c r="K31" s="25" t="str">
        <x:v>67</x:v>
      </x:c>
      <x:c r="L31" s="25" t="str">
        <x:v>31</x:v>
      </x:c>
      <x:c r="M31" s="19" t="str">
        <x:v>0.10630720003973693</x:v>
      </x:c>
      <x:c r="N31" s="13" t="str">
        <x:v>True</x:v>
      </x:c>
      <x:c r="O31" s="25" t="str">
        <x:v>29</x:v>
      </x:c>
      <x:c r="P31" s="19" t="str">
        <x:v>0.11191159998998046</x:v>
      </x:c>
      <x:c r="Q31" s="13" t="str">
        <x:v>True</x:v>
      </x:c>
      <x:c r="R31" s="25" t="str">
        <x:v>29</x:v>
      </x:c>
      <x:c r="S31" s="19" t="str">
        <x:v>0.13899030000902712</x:v>
      </x:c>
      <x:c r="T31" s="13" t="str">
        <x:v>True</x:v>
      </x:c>
      <x:c r="U31" s="25" t="str">
        <x:v>31</x:v>
      </x:c>
      <x:c r="V31" s="19" t="str">
        <x:v>2.6098342999466695</x:v>
      </x:c>
      <x:c r="W31" s="13" t="str">
        <x:v>True</x:v>
      </x:c>
      <x:c r="X31" s="13" t="str">
        <x:v>circle, zoomed_square</x:v>
      </x:c>
      <x:c r="Y31" s="13" t="str">
        <x:v>grid_collision</x:v>
      </x:c>
    </x:row>
    <x:row r="32">
      <x:c r="A32" s="13" t="str">
        <x:v>200</x:v>
      </x:c>
      <x:c r="B32" s="13" t="str">
        <x:v>0.5</x:v>
      </x:c>
      <x:c r="C32" s="13" t="str">
        <x:v>1</x:v>
      </x:c>
      <x:c r="D32" s="13" t="str">
        <x:v>3803886207</x:v>
      </x:c>
      <x:c r="E32" s="13" t="str">
        <x:v>9125</x:v>
      </x:c>
      <x:c r="F32" s="13" t="str">
        <x:v>1</x:v>
      </x:c>
      <x:c r="G32" s="13" t="str">
        <x:v>5</x:v>
      </x:c>
      <x:c r="H32" s="25" t="str">
        <x:v>49</x:v>
      </x:c>
      <x:c r="I32" s="19" t="str">
        <x:v>1.0870924000046216</x:v>
      </x:c>
      <x:c r="J32" s="13" t="str">
        <x:v>True</x:v>
      </x:c>
      <x:c r="K32" s="25" t="str">
        <x:v>44</x:v>
      </x:c>
      <x:c r="L32" s="25" t="str">
        <x:v>43</x:v>
      </x:c>
      <x:c r="M32" s="19" t="str">
        <x:v>0.7073954999796115</x:v>
      </x:c>
      <x:c r="N32" s="13" t="str">
        <x:v>True</x:v>
      </x:c>
      <x:c r="O32" s="25" t="str">
        <x:v>47</x:v>
      </x:c>
      <x:c r="P32" s="19" t="str">
        <x:v>0.1345953000127338</x:v>
      </x:c>
      <x:c r="Q32" s="13" t="str">
        <x:v>True</x:v>
      </x:c>
      <x:c r="R32" s="25" t="str">
        <x:v>46</x:v>
      </x:c>
      <x:c r="S32" s="19" t="str">
        <x:v>0.19660150003619492</x:v>
      </x:c>
      <x:c r="T32" s="13" t="str">
        <x:v>True</x:v>
      </x:c>
      <x:c r="U32" s="25" t="str">
        <x:v>42</x:v>
      </x:c>
      <x:c r="V32" s="19" t="str">
        <x:v>2.859128199983388</x:v>
      </x:c>
      <x:c r="W32" s="13" t="str">
        <x:v>True</x:v>
      </x:c>
      <x:c r="X32" s="13" t="str">
        <x:v>ich</x:v>
      </x:c>
      <x:c r="Y32" s="13" t="str">
        <x:v>circle</x:v>
      </x:c>
    </x:row>
    <x:row r="33">
      <x:c r="A33" s="13" t="str">
        <x:v>200</x:v>
      </x:c>
      <x:c r="B33" s="13" t="str">
        <x:v>0.5</x:v>
      </x:c>
      <x:c r="C33" s="13" t="str">
        <x:v>2</x:v>
      </x:c>
      <x:c r="D33" s="13" t="str">
        <x:v>1412176584</x:v>
      </x:c>
      <x:c r="E33" s="13" t="str">
        <x:v>9644</x:v>
      </x:c>
      <x:c r="F33" s="13" t="str">
        <x:v>1</x:v>
      </x:c>
      <x:c r="G33" s="13" t="str">
        <x:v>5</x:v>
      </x:c>
      <x:c r="H33" s="25" t="str">
        <x:v>41</x:v>
      </x:c>
      <x:c r="I33" s="19" t="str">
        <x:v>1.1527370000258088</x:v>
      </x:c>
      <x:c r="J33" s="13" t="str">
        <x:v>True</x:v>
      </x:c>
      <x:c r="K33" s="25" t="str">
        <x:v>40</x:v>
      </x:c>
      <x:c r="L33" s="25" t="str">
        <x:v>37</x:v>
      </x:c>
      <x:c r="M33" s="19" t="str">
        <x:v>0.719644500000868</x:v>
      </x:c>
      <x:c r="N33" s="13" t="str">
        <x:v>True</x:v>
      </x:c>
      <x:c r="O33" s="25" t="str">
        <x:v>42</x:v>
      </x:c>
      <x:c r="P33" s="19" t="str">
        <x:v>0.16355910000856966</x:v>
      </x:c>
      <x:c r="Q33" s="13" t="str">
        <x:v>True</x:v>
      </x:c>
      <x:c r="R33" s="25" t="str">
        <x:v>43</x:v>
      </x:c>
      <x:c r="S33" s="19" t="str">
        <x:v>0.2650397000252269</x:v>
      </x:c>
      <x:c r="T33" s="13" t="str">
        <x:v>True</x:v>
      </x:c>
      <x:c r="U33" s="25" t="str">
        <x:v>37</x:v>
      </x:c>
      <x:c r="V33" s="19" t="str">
        <x:v>2.571048100013286</x:v>
      </x:c>
      <x:c r="W33" s="13" t="str">
        <x:v>True</x:v>
      </x:c>
      <x:c r="X33" s="13" t="str">
        <x:v>grid_collision, ich</x:v>
      </x:c>
      <x:c r="Y33" s="13" t="str">
        <x:v>circle</x:v>
      </x:c>
    </x:row>
    <x:row r="34">
      <x:c r="A34" s="13" t="str">
        <x:v>200</x:v>
      </x:c>
      <x:c r="B34" s="13" t="str">
        <x:v>0.5</x:v>
      </x:c>
      <x:c r="C34" s="13" t="str">
        <x:v>3</x:v>
      </x:c>
      <x:c r="D34" s="13" t="str">
        <x:v>734362387</x:v>
      </x:c>
      <x:c r="E34" s="13" t="str">
        <x:v>9898</x:v>
      </x:c>
      <x:c r="F34" s="13" t="str">
        <x:v>1</x:v>
      </x:c>
      <x:c r="G34" s="13" t="str">
        <x:v>5</x:v>
      </x:c>
      <x:c r="H34" s="25" t="str">
        <x:v>37</x:v>
      </x:c>
      <x:c r="I34" s="19" t="str">
        <x:v>1.0261328999768011</x:v>
      </x:c>
      <x:c r="J34" s="13" t="str">
        <x:v>True</x:v>
      </x:c>
      <x:c r="K34" s="25" t="str">
        <x:v>36</x:v>
      </x:c>
      <x:c r="L34" s="25" t="str">
        <x:v>36</x:v>
      </x:c>
      <x:c r="M34" s="19" t="str">
        <x:v>0.6258850999874994</x:v>
      </x:c>
      <x:c r="N34" s="13" t="str">
        <x:v>True</x:v>
      </x:c>
      <x:c r="O34" s="25" t="str">
        <x:v>43</x:v>
      </x:c>
      <x:c r="P34" s="19" t="str">
        <x:v>0.15254959999583662</x:v>
      </x:c>
      <x:c r="Q34" s="13" t="str">
        <x:v>True</x:v>
      </x:c>
      <x:c r="R34" s="25" t="str">
        <x:v>43</x:v>
      </x:c>
      <x:c r="S34" s="19" t="str">
        <x:v>0.5410816000076011</x:v>
      </x:c>
      <x:c r="T34" s="13" t="str">
        <x:v>True</x:v>
      </x:c>
      <x:c r="U34" s="25" t="str">
        <x:v>35</x:v>
      </x:c>
      <x:c r="V34" s="19" t="str">
        <x:v>2.7058479000115767</x:v>
      </x:c>
      <x:c r="W34" s="13" t="str">
        <x:v>True</x:v>
      </x:c>
      <x:c r="X34" s="13" t="str">
        <x:v>ich</x:v>
      </x:c>
      <x:c r="Y34" s="13" t="str">
        <x:v>circle</x:v>
      </x:c>
    </x:row>
    <x:row r="35">
      <x:c r="A35" s="13" t="str">
        <x:v>200</x:v>
      </x:c>
      <x:c r="B35" s="13" t="str">
        <x:v>0.7</x:v>
      </x:c>
      <x:c r="C35" s="13" t="str">
        <x:v>1</x:v>
      </x:c>
      <x:c r="D35" s="13" t="str">
        <x:v>1964202471</x:v>
      </x:c>
      <x:c r="E35" s="13" t="str">
        <x:v>15096</x:v>
      </x:c>
      <x:c r="F35" s="13" t="str">
        <x:v>1</x:v>
      </x:c>
      <x:c r="G35" s="13" t="str">
        <x:v>5</x:v>
      </x:c>
      <x:c r="H35" s="25" t="str">
        <x:v>50</x:v>
      </x:c>
      <x:c r="I35" s="19" t="str">
        <x:v>1.256051699980162</x:v>
      </x:c>
      <x:c r="J35" s="13" t="str">
        <x:v>True</x:v>
      </x:c>
      <x:c r="K35" s="25" t="str">
        <x:v>52</x:v>
      </x:c>
      <x:c r="L35" s="25" t="str">
        <x:v>50</x:v>
      </x:c>
      <x:c r="M35" s="19" t="str">
        <x:v>0.7528807999915443</x:v>
      </x:c>
      <x:c r="N35" s="13" t="str">
        <x:v>True</x:v>
      </x:c>
      <x:c r="O35" s="25" t="str">
        <x:v>65</x:v>
      </x:c>
      <x:c r="P35" s="19" t="str">
        <x:v>0.5127052000025287</x:v>
      </x:c>
      <x:c r="Q35" s="13" t="str">
        <x:v>True</x:v>
      </x:c>
      <x:c r="R35" s="25" t="str">
        <x:v>58</x:v>
      </x:c>
      <x:c r="S35" s="19" t="str">
        <x:v>0.5453000000561588</x:v>
      </x:c>
      <x:c r="T35" s="13" t="str">
        <x:v>True</x:v>
      </x:c>
      <x:c r="U35" s="25" t="str">
        <x:v>50</x:v>
      </x:c>
      <x:c r="V35" s="19" t="str">
        <x:v>3.265153000014834</x:v>
      </x:c>
      <x:c r="W35" s="13" t="str">
        <x:v>True</x:v>
      </x:c>
      <x:c r="X35" s="13" t="str">
        <x:v>grid, grid_collision, ich</x:v>
      </x:c>
      <x:c r="Y35" s="13" t="str">
        <x:v>circle</x:v>
      </x:c>
    </x:row>
    <x:row r="36">
      <x:c r="A36" s="13" t="str">
        <x:v>200</x:v>
      </x:c>
      <x:c r="B36" s="13" t="str">
        <x:v>0.7</x:v>
      </x:c>
      <x:c r="C36" s="13" t="str">
        <x:v>2</x:v>
      </x:c>
      <x:c r="D36" s="13" t="str">
        <x:v>1528852311</x:v>
      </x:c>
      <x:c r="E36" s="13" t="str">
        <x:v>14520</x:v>
      </x:c>
      <x:c r="F36" s="13" t="str">
        <x:v>1</x:v>
      </x:c>
      <x:c r="G36" s="13" t="str">
        <x:v>5</x:v>
      </x:c>
      <x:c r="H36" s="25" t="str">
        <x:v>62</x:v>
      </x:c>
      <x:c r="I36" s="19" t="str">
        <x:v>1.1204547000234015</x:v>
      </x:c>
      <x:c r="J36" s="13" t="str">
        <x:v>True</x:v>
      </x:c>
      <x:c r="K36" s="25" t="str">
        <x:v>60</x:v>
      </x:c>
      <x:c r="L36" s="25" t="str">
        <x:v>58</x:v>
      </x:c>
      <x:c r="M36" s="19" t="str">
        <x:v>1.0111380000016652</x:v>
      </x:c>
      <x:c r="N36" s="13" t="str">
        <x:v>True</x:v>
      </x:c>
      <x:c r="O36" s="25" t="str">
        <x:v>65</x:v>
      </x:c>
      <x:c r="P36" s="19" t="str">
        <x:v>0.48388180002802983</x:v>
      </x:c>
      <x:c r="Q36" s="13" t="str">
        <x:v>True</x:v>
      </x:c>
      <x:c r="R36" s="25" t="str">
        <x:v>65</x:v>
      </x:c>
      <x:c r="S36" s="19" t="str">
        <x:v>0.4421809999621473</x:v>
      </x:c>
      <x:c r="T36" s="13" t="str">
        <x:v>True</x:v>
      </x:c>
      <x:c r="U36" s="25" t="str">
        <x:v>60</x:v>
      </x:c>
      <x:c r="V36" s="19" t="str">
        <x:v>3.6730682000052184</x:v>
      </x:c>
      <x:c r="W36" s="13" t="str">
        <x:v>True</x:v>
      </x:c>
      <x:c r="X36" s="13" t="str">
        <x:v>grid_collision</x:v>
      </x:c>
      <x:c r="Y36" s="13" t="str">
        <x:v>zoomed_square</x:v>
      </x:c>
    </x:row>
    <x:row r="37">
      <x:c r="A37" s="13" t="str">
        <x:v>200</x:v>
      </x:c>
      <x:c r="B37" s="13" t="str">
        <x:v>0.7</x:v>
      </x:c>
      <x:c r="C37" s="13" t="str">
        <x:v>3</x:v>
      </x:c>
      <x:c r="D37" s="13" t="str">
        <x:v>16461960</x:v>
      </x:c>
      <x:c r="E37" s="13" t="str">
        <x:v>15037</x:v>
      </x:c>
      <x:c r="F37" s="13" t="str">
        <x:v>1</x:v>
      </x:c>
      <x:c r="G37" s="13" t="str">
        <x:v>5</x:v>
      </x:c>
      <x:c r="H37" s="25" t="str">
        <x:v>55</x:v>
      </x:c>
      <x:c r="I37" s="19" t="str">
        <x:v>1.0944313000072725</x:v>
      </x:c>
      <x:c r="J37" s="13" t="str">
        <x:v>True</x:v>
      </x:c>
      <x:c r="K37" s="25" t="str">
        <x:v>54</x:v>
      </x:c>
      <x:c r="L37" s="25" t="str">
        <x:v>52</x:v>
      </x:c>
      <x:c r="M37" s="19" t="str">
        <x:v>0.7716469999868423</x:v>
      </x:c>
      <x:c r="N37" s="13" t="str">
        <x:v>True</x:v>
      </x:c>
      <x:c r="O37" s="25" t="str">
        <x:v>58</x:v>
      </x:c>
      <x:c r="P37" s="19" t="str">
        <x:v>0.33085239998763427</x:v>
      </x:c>
      <x:c r="Q37" s="13" t="str">
        <x:v>True</x:v>
      </x:c>
      <x:c r="R37" s="25" t="str">
        <x:v>64</x:v>
      </x:c>
      <x:c r="S37" s="19" t="str">
        <x:v>0.9608653000323102</x:v>
      </x:c>
      <x:c r="T37" s="13" t="str">
        <x:v>True</x:v>
      </x:c>
      <x:c r="U37" s="25" t="str">
        <x:v>51</x:v>
      </x:c>
      <x:c r="V37" s="19" t="str">
        <x:v>3.54357420001179</x:v>
      </x:c>
      <x:c r="W37" s="13" t="str">
        <x:v>True</x:v>
      </x:c>
      <x:c r="X37" s="13" t="str">
        <x:v>ich</x:v>
      </x:c>
      <x:c r="Y37" s="13" t="str">
        <x:v>circle</x:v>
      </x:c>
    </x:row>
    <x:row r="38">
      <x:c r="A38" s="13" t="str">
        <x:v>500</x:v>
      </x:c>
      <x:c r="B38" s="13" t="str">
        <x:v>0.1</x:v>
      </x:c>
      <x:c r="C38" s="13" t="str">
        <x:v>1</x:v>
      </x:c>
      <x:c r="D38" s="13" t="str">
        <x:v>2832482400</x:v>
      </x:c>
      <x:c r="E38" s="13" t="str">
        <x:v>3631</x:v>
      </x:c>
      <x:c r="F38" s="13" t="str">
        <x:v>1</x:v>
      </x:c>
      <x:c r="G38" s="13" t="str">
        <x:v>5</x:v>
      </x:c>
      <x:c r="H38" s="25" t="str">
        <x:v>61</x:v>
      </x:c>
      <x:c r="I38" s="19" t="str">
        <x:v>1.2860866999835707</x:v>
      </x:c>
      <x:c r="J38" s="13" t="str">
        <x:v>True</x:v>
      </x:c>
      <x:c r="K38" s="25" t="str">
        <x:v>189</x:v>
      </x:c>
      <x:c r="L38" s="25" t="str">
        <x:v>61</x:v>
      </x:c>
      <x:c r="M38" s="19" t="str">
        <x:v>0.679721700027585</x:v>
      </x:c>
      <x:c r="N38" s="13" t="str">
        <x:v>True</x:v>
      </x:c>
      <x:c r="O38" s="25" t="str">
        <x:v>62</x:v>
      </x:c>
      <x:c r="P38" s="19" t="str">
        <x:v>1.2154053000267595</x:v>
      </x:c>
      <x:c r="Q38" s="13" t="str">
        <x:v>True</x:v>
      </x:c>
      <x:c r="R38" s="25" t="str">
        <x:v>61</x:v>
      </x:c>
      <x:c r="S38" s="19" t="str">
        <x:v>1.2331440999987535</x:v>
      </x:c>
      <x:c r="T38" s="13" t="str">
        <x:v>True</x:v>
      </x:c>
      <x:c r="U38" s="25" t="str">
        <x:v>61</x:v>
      </x:c>
      <x:c r="V38" s="19" t="str">
        <x:v>27.181960500020068</x:v>
      </x:c>
      <x:c r="W38" s="13" t="str">
        <x:v>True</x:v>
      </x:c>
      <x:c r="X38" s="13" t="str">
        <x:v>grid, grid_collision, zoomed_square, ich</x:v>
      </x:c>
      <x:c r="Y38" s="13" t="str">
        <x:v>grid_collision</x:v>
      </x:c>
    </x:row>
    <x:row r="39">
      <x:c r="A39" s="13" t="str">
        <x:v>500</x:v>
      </x:c>
      <x:c r="B39" s="13" t="str">
        <x:v>0.1</x:v>
      </x:c>
      <x:c r="C39" s="13" t="str">
        <x:v>2</x:v>
      </x:c>
      <x:c r="D39" s="13" t="str">
        <x:v>1909920535</x:v>
      </x:c>
      <x:c r="E39" s="13" t="str">
        <x:v>3595</x:v>
      </x:c>
      <x:c r="F39" s="13" t="str">
        <x:v>1</x:v>
      </x:c>
      <x:c r="G39" s="13" t="str">
        <x:v>5</x:v>
      </x:c>
      <x:c r="H39" s="25" t="str">
        <x:v>64</x:v>
      </x:c>
      <x:c r="I39" s="19" t="str">
        <x:v>1.017834900005255</x:v>
      </x:c>
      <x:c r="J39" s="13" t="str">
        <x:v>True</x:v>
      </x:c>
      <x:c r="K39" s="25" t="str">
        <x:v>187</x:v>
      </x:c>
      <x:c r="L39" s="25" t="str">
        <x:v>62</x:v>
      </x:c>
      <x:c r="M39" s="19" t="str">
        <x:v>0.7846177000319585</x:v>
      </x:c>
      <x:c r="N39" s="13" t="str">
        <x:v>True</x:v>
      </x:c>
      <x:c r="O39" s="25" t="str">
        <x:v>67</x:v>
      </x:c>
      <x:c r="P39" s="19" t="str">
        <x:v>1.329286799998954</x:v>
      </x:c>
      <x:c r="Q39" s="13" t="str">
        <x:v>True</x:v>
      </x:c>
      <x:c r="R39" s="25" t="str">
        <x:v>65</x:v>
      </x:c>
      <x:c r="S39" s="19" t="str">
        <x:v>1.1097542999777943</x:v>
      </x:c>
      <x:c r="T39" s="13" t="str">
        <x:v>True</x:v>
      </x:c>
      <x:c r="U39" s="25" t="str">
        <x:v>64</x:v>
      </x:c>
      <x:c r="V39" s="19" t="str">
        <x:v>28.293827500019688</x:v>
      </x:c>
      <x:c r="W39" s="13" t="str">
        <x:v>True</x:v>
      </x:c>
      <x:c r="X39" s="13" t="str">
        <x:v>grid_collision</x:v>
      </x:c>
      <x:c r="Y39" s="13" t="str">
        <x:v>grid_collision</x:v>
      </x:c>
    </x:row>
    <x:row r="40">
      <x:c r="A40" s="13" t="str">
        <x:v>500</x:v>
      </x:c>
      <x:c r="B40" s="13" t="str">
        <x:v>0.1</x:v>
      </x:c>
      <x:c r="C40" s="13" t="str">
        <x:v>3</x:v>
      </x:c>
      <x:c r="D40" s="13" t="str">
        <x:v>3463911491</x:v>
      </x:c>
      <x:c r="E40" s="13" t="str">
        <x:v>3579</x:v>
      </x:c>
      <x:c r="F40" s="13" t="str">
        <x:v>1</x:v>
      </x:c>
      <x:c r="G40" s="13" t="str">
        <x:v>5</x:v>
      </x:c>
      <x:c r="H40" s="25" t="str">
        <x:v>60</x:v>
      </x:c>
      <x:c r="I40" s="19" t="str">
        <x:v>1.191315800009761</x:v>
      </x:c>
      <x:c r="J40" s="13" t="str">
        <x:v>True</x:v>
      </x:c>
      <x:c r="K40" s="25" t="str">
        <x:v>195</x:v>
      </x:c>
      <x:c r="L40" s="25" t="str">
        <x:v>54</x:v>
      </x:c>
      <x:c r="M40" s="19" t="str">
        <x:v>0.7771919000078924</x:v>
      </x:c>
      <x:c r="N40" s="13" t="str">
        <x:v>True</x:v>
      </x:c>
      <x:c r="O40" s="25" t="str">
        <x:v>54</x:v>
      </x:c>
      <x:c r="P40" s="19" t="str">
        <x:v>1.2946665000054054</x:v>
      </x:c>
      <x:c r="Q40" s="13" t="str">
        <x:v>True</x:v>
      </x:c>
      <x:c r="R40" s="25" t="str">
        <x:v>55</x:v>
      </x:c>
      <x:c r="S40" s="19" t="str">
        <x:v>1.223552000010386</x:v>
      </x:c>
      <x:c r="T40" s="13" t="str">
        <x:v>True</x:v>
      </x:c>
      <x:c r="U40" s="25" t="str">
        <x:v>57</x:v>
      </x:c>
      <x:c r="V40" s="19" t="str">
        <x:v>28.234556599985808</x:v>
      </x:c>
      <x:c r="W40" s="13" t="str">
        <x:v>True</x:v>
      </x:c>
      <x:c r="X40" s="13" t="str">
        <x:v>grid_collision, circle</x:v>
      </x:c>
      <x:c r="Y40" s="13" t="str">
        <x:v>grid_collision</x:v>
      </x:c>
    </x:row>
    <x:row r="41">
      <x:c r="A41" s="13" t="str">
        <x:v>500</x:v>
      </x:c>
      <x:c r="B41" s="13" t="str">
        <x:v>0.3</x:v>
      </x:c>
      <x:c r="C41" s="13" t="str">
        <x:v>1</x:v>
      </x:c>
      <x:c r="D41" s="13" t="str">
        <x:v>2856635044</x:v>
      </x:c>
      <x:c r="E41" s="13" t="str">
        <x:v>25675</x:v>
      </x:c>
      <x:c r="F41" s="13" t="str">
        <x:v>1</x:v>
      </x:c>
      <x:c r="G41" s="13" t="str">
        <x:v>5</x:v>
      </x:c>
      <x:c r="H41" s="25" t="str">
        <x:v>61</x:v>
      </x:c>
      <x:c r="I41" s="19" t="str">
        <x:v>2.098444200004451</x:v>
      </x:c>
      <x:c r="J41" s="13" t="str">
        <x:v>True</x:v>
      </x:c>
      <x:c r="K41" s="25" t="str">
        <x:v>130</x:v>
      </x:c>
      <x:c r="L41" s="25" t="str">
        <x:v>130</x:v>
      </x:c>
      <x:c r="M41" s="19" t="str">
        <x:v>1.0574278999702074</x:v>
      </x:c>
      <x:c r="N41" s="13" t="str">
        <x:v>False</x:v>
      </x:c>
      <x:c r="O41" s="25" t="str">
        <x:v>63</x:v>
      </x:c>
      <x:c r="P41" s="19" t="str">
        <x:v>1.0965920999879017</x:v>
      </x:c>
      <x:c r="Q41" s="13" t="str">
        <x:v>True</x:v>
      </x:c>
      <x:c r="R41" s="25" t="str">
        <x:v>63</x:v>
      </x:c>
      <x:c r="S41" s="19" t="str">
        <x:v>1.4799007999827154</x:v>
      </x:c>
      <x:c r="T41" s="13" t="str">
        <x:v>True</x:v>
      </x:c>
      <x:c r="U41" s="25" t="str">
        <x:v>55</x:v>
      </x:c>
      <x:c r="V41" s="19" t="str">
        <x:v>28.664034299959894</x:v>
      </x:c>
      <x:c r="W41" s="13" t="str">
        <x:v>True</x:v>
      </x:c>
      <x:c r="X41" s="13" t="str">
        <x:v>ich</x:v>
      </x:c>
      <x:c r="Y41" s="13" t="str">
        <x:v>circle</x:v>
      </x:c>
    </x:row>
    <x:row r="42">
      <x:c r="A42" s="13" t="str">
        <x:v>500</x:v>
      </x:c>
      <x:c r="B42" s="13" t="str">
        <x:v>0.3</x:v>
      </x:c>
      <x:c r="C42" s="13" t="str">
        <x:v>2</x:v>
      </x:c>
      <x:c r="D42" s="13" t="str">
        <x:v>1250530375</x:v>
      </x:c>
      <x:c r="E42" s="13" t="str">
        <x:v>27655</x:v>
      </x:c>
      <x:c r="F42" s="13" t="str">
        <x:v>1</x:v>
      </x:c>
      <x:c r="G42" s="13" t="str">
        <x:v>5</x:v>
      </x:c>
      <x:c r="H42" s="25" t="str">
        <x:v>55</x:v>
      </x:c>
      <x:c r="I42" s="19" t="str">
        <x:v>2.1405874000047334</x:v>
      </x:c>
      <x:c r="J42" s="13" t="str">
        <x:v>True</x:v>
      </x:c>
      <x:c r="K42" s="25" t="str">
        <x:v>126</x:v>
      </x:c>
      <x:c r="L42" s="25" t="str">
        <x:v>53</x:v>
      </x:c>
      <x:c r="M42" s="19" t="str">
        <x:v>1.159383499994874</x:v>
      </x:c>
      <x:c r="N42" s="13" t="str">
        <x:v>True</x:v>
      </x:c>
      <x:c r="O42" s="25" t="str">
        <x:v>53</x:v>
      </x:c>
      <x:c r="P42" s="19" t="str">
        <x:v>1.0324649999965914</x:v>
      </x:c>
      <x:c r="Q42" s="13" t="str">
        <x:v>True</x:v>
      </x:c>
      <x:c r="R42" s="25" t="str">
        <x:v>59</x:v>
      </x:c>
      <x:c r="S42" s="19" t="str">
        <x:v>1.5612006000010297</x:v>
      </x:c>
      <x:c r="T42" s="13" t="str">
        <x:v>True</x:v>
      </x:c>
      <x:c r="U42" s="25" t="str">
        <x:v>46</x:v>
      </x:c>
      <x:c r="V42" s="19" t="str">
        <x:v>25.872365700022783</x:v>
      </x:c>
      <x:c r="W42" s="13" t="str">
        <x:v>True</x:v>
      </x:c>
      <x:c r="X42" s="13" t="str">
        <x:v>ich</x:v>
      </x:c>
      <x:c r="Y42" s="13" t="str">
        <x:v>circle</x:v>
      </x:c>
    </x:row>
    <x:row r="43">
      <x:c r="A43" s="13" t="str">
        <x:v>500</x:v>
      </x:c>
      <x:c r="B43" s="13" t="str">
        <x:v>0.3</x:v>
      </x:c>
      <x:c r="C43" s="13" t="str">
        <x:v>3</x:v>
      </x:c>
      <x:c r="D43" s="13" t="str">
        <x:v>1394490069</x:v>
      </x:c>
      <x:c r="E43" s="13" t="str">
        <x:v>26028</x:v>
      </x:c>
      <x:c r="F43" s="13" t="str">
        <x:v>1</x:v>
      </x:c>
      <x:c r="G43" s="13" t="str">
        <x:v>5</x:v>
      </x:c>
      <x:c r="H43" s="25" t="str">
        <x:v>63</x:v>
      </x:c>
      <x:c r="I43" s="19" t="str">
        <x:v>2.295728600001894</x:v>
      </x:c>
      <x:c r="J43" s="13" t="str">
        <x:v>True</x:v>
      </x:c>
      <x:c r="K43" s="25" t="str">
        <x:v>138</x:v>
      </x:c>
      <x:c r="L43" s="25" t="str">
        <x:v>138</x:v>
      </x:c>
      <x:c r="M43" s="19" t="str">
        <x:v>1.0073755999910645</x:v>
      </x:c>
      <x:c r="N43" s="13" t="str">
        <x:v>False</x:v>
      </x:c>
      <x:c r="O43" s="25" t="str">
        <x:v>64</x:v>
      </x:c>
      <x:c r="P43" s="19" t="str">
        <x:v>1.8492904999875464</x:v>
      </x:c>
      <x:c r="Q43" s="13" t="str">
        <x:v>True</x:v>
      </x:c>
      <x:c r="R43" s="25" t="str">
        <x:v>64</x:v>
      </x:c>
      <x:c r="S43" s="19" t="str">
        <x:v>1.5620541999815032</x:v>
      </x:c>
      <x:c r="T43" s="13" t="str">
        <x:v>True</x:v>
      </x:c>
      <x:c r="U43" s="25" t="str">
        <x:v>61</x:v>
      </x:c>
      <x:c r="V43" s="19" t="str">
        <x:v>30.636271300027147</x:v>
      </x:c>
      <x:c r="W43" s="13" t="str">
        <x:v>True</x:v>
      </x:c>
      <x:c r="X43" s="13" t="str">
        <x:v>ich</x:v>
      </x:c>
      <x:c r="Y43" s="13" t="str">
        <x:v>zoomed_square</x:v>
      </x:c>
    </x:row>
    <x:row r="44">
      <x:c r="A44" s="13" t="str">
        <x:v>500</x:v>
      </x:c>
      <x:c r="B44" s="13" t="str">
        <x:v>0.5</x:v>
      </x:c>
      <x:c r="C44" s="13" t="str">
        <x:v>1</x:v>
      </x:c>
      <x:c r="D44" s="13" t="str">
        <x:v>1240023942</x:v>
      </x:c>
      <x:c r="E44" s="13" t="str">
        <x:v>57397</x:v>
      </x:c>
      <x:c r="F44" s="13" t="str">
        <x:v>1</x:v>
      </x:c>
      <x:c r="G44" s="13" t="str">
        <x:v>5</x:v>
      </x:c>
      <x:c r="H44" s="25" t="str">
        <x:v>92</x:v>
      </x:c>
      <x:c r="I44" s="19" t="str">
        <x:v>17.860194400011096</x:v>
      </x:c>
      <x:c r="J44" s="13" t="str">
        <x:v>True</x:v>
      </x:c>
      <x:c r="K44" s="25" t="str">
        <x:v>83</x:v>
      </x:c>
      <x:c r="L44" s="25" t="str">
        <x:v>77</x:v>
      </x:c>
      <x:c r="M44" s="19" t="str">
        <x:v>9.38947900000494</x:v>
      </x:c>
      <x:c r="N44" s="13" t="str">
        <x:v>True</x:v>
      </x:c>
      <x:c r="O44" s="25" t="str">
        <x:v>89</x:v>
      </x:c>
      <x:c r="P44" s="19" t="str">
        <x:v>2.8282049000263214</x:v>
      </x:c>
      <x:c r="Q44" s="13" t="str">
        <x:v>True</x:v>
      </x:c>
      <x:c r="R44" s="25" t="str">
        <x:v>101</x:v>
      </x:c>
      <x:c r="S44" s="19" t="str">
        <x:v>2.2504611000185832</x:v>
      </x:c>
      <x:c r="T44" s="13" t="str">
        <x:v>True</x:v>
      </x:c>
      <x:c r="U44" s="25" t="str">
        <x:v>80</x:v>
      </x:c>
      <x:c r="V44" s="19" t="str">
        <x:v>35.955922699999064</x:v>
      </x:c>
      <x:c r="W44" s="13" t="str">
        <x:v>True</x:v>
      </x:c>
      <x:c r="X44" s="13" t="str">
        <x:v>grid_collision</x:v>
      </x:c>
      <x:c r="Y44" s="13" t="str">
        <x:v>zoomed_square</x:v>
      </x:c>
    </x:row>
    <x:row r="45">
      <x:c r="A45" s="13" t="str">
        <x:v>500</x:v>
      </x:c>
      <x:c r="B45" s="13" t="str">
        <x:v>0.5</x:v>
      </x:c>
      <x:c r="C45" s="13" t="str">
        <x:v>2</x:v>
      </x:c>
      <x:c r="D45" s="13" t="str">
        <x:v>3171029819</x:v>
      </x:c>
      <x:c r="E45" s="13" t="str">
        <x:v>58357</x:v>
      </x:c>
      <x:c r="F45" s="13" t="str">
        <x:v>1</x:v>
      </x:c>
      <x:c r="G45" s="13" t="str">
        <x:v>5</x:v>
      </x:c>
      <x:c r="H45" s="25" t="str">
        <x:v>90</x:v>
      </x:c>
      <x:c r="I45" s="19" t="str">
        <x:v>18.835034899995662</x:v>
      </x:c>
      <x:c r="J45" s="13" t="str">
        <x:v>True</x:v>
      </x:c>
      <x:c r="K45" s="25" t="str">
        <x:v>79</x:v>
      </x:c>
      <x:c r="L45" s="25" t="str">
        <x:v>77</x:v>
      </x:c>
      <x:c r="M45" s="19" t="str">
        <x:v>10.393215499992948</x:v>
      </x:c>
      <x:c r="N45" s="13" t="str">
        <x:v>True</x:v>
      </x:c>
      <x:c r="O45" s="25" t="str">
        <x:v>92</x:v>
      </x:c>
      <x:c r="P45" s="19" t="str">
        <x:v>2.1753394000115804</x:v>
      </x:c>
      <x:c r="Q45" s="13" t="str">
        <x:v>True</x:v>
      </x:c>
      <x:c r="R45" s="25" t="str">
        <x:v>87</x:v>
      </x:c>
      <x:c r="S45" s="19" t="str">
        <x:v>5.390193499973975</x:v>
      </x:c>
      <x:c r="T45" s="13" t="str">
        <x:v>True</x:v>
      </x:c>
      <x:c r="U45" s="25" t="str">
        <x:v>78</x:v>
      </x:c>
      <x:c r="V45" s="19" t="str">
        <x:v>37.4042432999704</x:v>
      </x:c>
      <x:c r="W45" s="13" t="str">
        <x:v>True</x:v>
      </x:c>
      <x:c r="X45" s="13" t="str">
        <x:v>grid_collision</x:v>
      </x:c>
      <x:c r="Y45" s="13" t="str">
        <x:v>circle</x:v>
      </x:c>
    </x:row>
    <x:row r="46">
      <x:c r="A46" s="13" t="str">
        <x:v>500</x:v>
      </x:c>
      <x:c r="B46" s="13" t="str">
        <x:v>0.5</x:v>
      </x:c>
      <x:c r="C46" s="13" t="str">
        <x:v>3</x:v>
      </x:c>
      <x:c r="D46" s="13" t="str">
        <x:v>2780091675</x:v>
      </x:c>
      <x:c r="E46" s="13" t="str">
        <x:v>61318</x:v>
      </x:c>
      <x:c r="F46" s="13" t="str">
        <x:v>1</x:v>
      </x:c>
      <x:c r="G46" s="13" t="str">
        <x:v>5</x:v>
      </x:c>
      <x:c r="H46" s="25" t="str">
        <x:v>91</x:v>
      </x:c>
      <x:c r="I46" s="19" t="str">
        <x:v>25.266086800023913</x:v>
      </x:c>
      <x:c r="J46" s="13" t="str">
        <x:v>True</x:v>
      </x:c>
      <x:c r="K46" s="25" t="str">
        <x:v>74</x:v>
      </x:c>
      <x:c r="L46" s="25" t="str">
        <x:v>72</x:v>
      </x:c>
      <x:c r="M46" s="19" t="str">
        <x:v>9.574650700029451</x:v>
      </x:c>
      <x:c r="N46" s="13" t="str">
        <x:v>True</x:v>
      </x:c>
      <x:c r="O46" s="25" t="str">
        <x:v>87</x:v>
      </x:c>
      <x:c r="P46" s="19" t="str">
        <x:v>3.8322532000020146</x:v>
      </x:c>
      <x:c r="Q46" s="13" t="str">
        <x:v>True</x:v>
      </x:c>
      <x:c r="R46" s="25" t="str">
        <x:v>90</x:v>
      </x:c>
      <x:c r="S46" s="19" t="str">
        <x:v>3.58126910001738</x:v>
      </x:c>
      <x:c r="T46" s="13" t="str">
        <x:v>True</x:v>
      </x:c>
      <x:c r="U46" s="25" t="str">
        <x:v>77</x:v>
      </x:c>
      <x:c r="V46" s="19" t="str">
        <x:v>33.61429970001336</x:v>
      </x:c>
      <x:c r="W46" s="13" t="str">
        <x:v>True</x:v>
      </x:c>
      <x:c r="X46" s="13" t="str">
        <x:v>grid_collision</x:v>
      </x:c>
      <x:c r="Y46" s="13" t="str">
        <x:v>zoomed_square</x:v>
      </x:c>
    </x:row>
    <x:row r="47">
      <x:c r="A47" s="13" t="str">
        <x:v>500</x:v>
      </x:c>
      <x:c r="B47" s="13" t="str">
        <x:v>0.7</x:v>
      </x:c>
      <x:c r="C47" s="13" t="str">
        <x:v>1</x:v>
      </x:c>
      <x:c r="D47" s="13" t="str">
        <x:v>3691416773</x:v>
      </x:c>
      <x:c r="E47" s="13" t="str">
        <x:v>92257</x:v>
      </x:c>
      <x:c r="F47" s="13" t="str">
        <x:v>1</x:v>
      </x:c>
      <x:c r="G47" s="13" t="str">
        <x:v>5</x:v>
      </x:c>
      <x:c r="H47" s="25" t="str">
        <x:v>111</x:v>
      </x:c>
      <x:c r="I47" s="19" t="str">
        <x:v>20.624442400003318</x:v>
      </x:c>
      <x:c r="J47" s="13" t="str">
        <x:v>True</x:v>
      </x:c>
      <x:c r="K47" s="25" t="str">
        <x:v>101</x:v>
      </x:c>
      <x:c r="L47" s="25" t="str">
        <x:v>98</x:v>
      </x:c>
      <x:c r="M47" s="19" t="str">
        <x:v>11.153856499993708</x:v>
      </x:c>
      <x:c r="N47" s="13" t="str">
        <x:v>True</x:v>
      </x:c>
      <x:c r="O47" s="25" t="str">
        <x:v>136</x:v>
      </x:c>
      <x:c r="P47" s="19" t="str">
        <x:v>5.702614499954507</x:v>
      </x:c>
      <x:c r="Q47" s="13" t="str">
        <x:v>True</x:v>
      </x:c>
      <x:c r="R47" s="25" t="str">
        <x:v>123</x:v>
      </x:c>
      <x:c r="S47" s="19" t="str">
        <x:v>17.243084700021427</x:v>
      </x:c>
      <x:c r="T47" s="13" t="str">
        <x:v>True</x:v>
      </x:c>
      <x:c r="U47" s="25" t="str">
        <x:v>100</x:v>
      </x:c>
      <x:c r="V47" s="19" t="str">
        <x:v>34.707972200005315</x:v>
      </x:c>
      <x:c r="W47" s="13" t="str">
        <x:v>True</x:v>
      </x:c>
      <x:c r="X47" s="13" t="str">
        <x:v>grid_collision</x:v>
      </x:c>
      <x:c r="Y47" s="13" t="str">
        <x:v>circle</x:v>
      </x:c>
    </x:row>
    <x:row r="48">
      <x:c r="A48" s="13" t="str">
        <x:v>500</x:v>
      </x:c>
      <x:c r="B48" s="13" t="str">
        <x:v>0.7</x:v>
      </x:c>
      <x:c r="C48" s="13" t="str">
        <x:v>2</x:v>
      </x:c>
      <x:c r="D48" s="13" t="str">
        <x:v>2972714797</x:v>
      </x:c>
      <x:c r="E48" s="13" t="str">
        <x:v>92786</x:v>
      </x:c>
      <x:c r="F48" s="13" t="str">
        <x:v>1</x:v>
      </x:c>
      <x:c r="G48" s="13" t="str">
        <x:v>5</x:v>
      </x:c>
      <x:c r="H48" s="25" t="str">
        <x:v>114</x:v>
      </x:c>
      <x:c r="I48" s="19" t="str">
        <x:v>18.227329800021835</x:v>
      </x:c>
      <x:c r="J48" s="13" t="str">
        <x:v>True</x:v>
      </x:c>
      <x:c r="K48" s="25" t="str">
        <x:v>103</x:v>
      </x:c>
      <x:c r="L48" s="25" t="str">
        <x:v>96</x:v>
      </x:c>
      <x:c r="M48" s="19" t="str">
        <x:v>10.617433600011282</x:v>
      </x:c>
      <x:c r="N48" s="13" t="str">
        <x:v>True</x:v>
      </x:c>
      <x:c r="O48" s="25" t="str">
        <x:v>128</x:v>
      </x:c>
      <x:c r="P48" s="19" t="str">
        <x:v>5.270623299991712</x:v>
      </x:c>
      <x:c r="Q48" s="13" t="str">
        <x:v>True</x:v>
      </x:c>
      <x:c r="R48" s="25" t="str">
        <x:v>111</x:v>
      </x:c>
      <x:c r="S48" s="19" t="str">
        <x:v>10.828796999994665</x:v>
      </x:c>
      <x:c r="T48" s="13" t="str">
        <x:v>True</x:v>
      </x:c>
      <x:c r="U48" s="25" t="str">
        <x:v>103</x:v>
      </x:c>
      <x:c r="V48" s="19" t="str">
        <x:v>36.485143499972764</x:v>
      </x:c>
      <x:c r="W48" s="13" t="str">
        <x:v>True</x:v>
      </x:c>
      <x:c r="X48" s="13" t="str">
        <x:v>grid_collision</x:v>
      </x:c>
      <x:c r="Y48" s="13" t="str">
        <x:v>circle</x:v>
      </x:c>
    </x:row>
    <x:row r="49">
      <x:c r="A49" s="14" t="str">
        <x:v>500</x:v>
      </x:c>
      <x:c r="B49" s="14" t="str">
        <x:v>0.7</x:v>
      </x:c>
      <x:c r="C49" s="14" t="str">
        <x:v>3</x:v>
      </x:c>
      <x:c r="D49" s="14" t="str">
        <x:v>1866240582</x:v>
      </x:c>
      <x:c r="E49" s="14" t="str">
        <x:v>90321</x:v>
      </x:c>
      <x:c r="F49" s="14" t="str">
        <x:v>1</x:v>
      </x:c>
      <x:c r="G49" s="14" t="str">
        <x:v>5</x:v>
      </x:c>
      <x:c r="H49" s="26" t="str">
        <x:v>114</x:v>
      </x:c>
      <x:c r="I49" s="20" t="str">
        <x:v>17.4629671999719</x:v>
      </x:c>
      <x:c r="J49" s="14" t="str">
        <x:v>True</x:v>
      </x:c>
      <x:c r="K49" s="26" t="str">
        <x:v>101</x:v>
      </x:c>
      <x:c r="L49" s="26" t="str">
        <x:v>99</x:v>
      </x:c>
      <x:c r="M49" s="20" t="str">
        <x:v>9.983065100037493</x:v>
      </x:c>
      <x:c r="N49" s="14" t="str">
        <x:v>True</x:v>
      </x:c>
      <x:c r="O49" s="26" t="str">
        <x:v>129</x:v>
      </x:c>
      <x:c r="P49" s="20" t="str">
        <x:v>11.584700100007467</x:v>
      </x:c>
      <x:c r="Q49" s="14" t="str">
        <x:v>True</x:v>
      </x:c>
      <x:c r="R49" s="26" t="str">
        <x:v>122</x:v>
      </x:c>
      <x:c r="S49" s="20" t="str">
        <x:v>9.945760700036772</x:v>
      </x:c>
      <x:c r="T49" s="14" t="str">
        <x:v>True</x:v>
      </x:c>
      <x:c r="U49" s="26" t="str">
        <x:v>99</x:v>
      </x:c>
      <x:c r="V49" s="20" t="str">
        <x:v>33.66305239999201</x:v>
      </x:c>
      <x:c r="W49" s="14" t="str">
        <x:v>True</x:v>
      </x:c>
      <x:c r="X49" s="14" t="str">
        <x:v>grid_collision, ich</x:v>
      </x:c>
      <x:c r="Y49" s="14" t="str">
        <x:v>zoomed_square</x:v>
      </x:c>
    </x:row>
  </x:sheetData>
  <x:pageMargins left="0.7" right="0.7" top="0.75" bottom="0.75" header="0.3" footer="0.3"/>
  <x:tableParts count="1">
    <x:tablePart xmlns:r="http://schemas.openxmlformats.org/officeDocument/2006/relationships" r:id="R8d6f88df53dd42c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7" hidden="0" customWidth="1"/>
    <x:col min="5" max="5" width="17" hidden="0" customWidth="1"/>
    <x:col min="6" max="6" width="22" hidden="0" customWidth="1"/>
    <x:col min="7" max="7" width="22" hidden="0" customWidth="1"/>
  </x:cols>
  <x:sheetData>
    <x:row r="1" ht="35" customHeight="1">
      <x:c r="A1" s="34" t="str">
        <x:v>Random Geometric Graph Method Comparison</x:v>
      </x:c>
      <x:c r="B1" s="34"/>
      <x:c r="C1" s="34"/>
      <x:c r="D1" s="34"/>
      <x:c r="E1" s="34"/>
      <x:c r="F1" s="34"/>
      <x:c r="G1" s="34"/>
    </x:row>
    <x:row r="2">
      <x:c r="A2" s="38" t="str">
        <x:v>Grid, Grid Collision, Circle, Zoomed Square, and ICH on identical seeded graphs.</x:v>
      </x:c>
      <x:c r="B2" s="38"/>
      <x:c r="C2" s="38"/>
      <x:c r="D2" s="38"/>
      <x:c r="E2" s="38"/>
      <x:c r="F2" s="38"/>
      <x:c r="G2" s="38"/>
    </x:row>
    <x:row r="3">
      <x:c r="A3" s="44" t="str">
        <x:v>Paired runs</x:v>
      </x:c>
      <x:c r="B3" s="44" t="str"/>
      <x:c r="C3" s="44" t="str">
        <x:v>All five valid</x:v>
      </x:c>
      <x:c r="D3" s="44" t="str"/>
      <x:c r="E3" s="44" t="str">
        <x:v>Methods compared</x:v>
      </x:c>
      <x:c r="F3" s="44" t="str"/>
    </x:row>
    <x:row r="4" ht="31" customHeight="1">
      <x:c r="A4" s="58" t="n">
        <x:f>COUNTA('Raw Results'!$A$2:$A$49)</x:f>
        <x:v>48</x:v>
      </x:c>
      <x:c r="B4" s="59"/>
      <x:c r="C4" s="58" t="n">
        <x:f>COUNTIFS('Raw Results'!$J$2:$J$49,TRUE,'Raw Results'!$N$2:$N$49,TRUE,'Raw Results'!$Q$2:$Q$49,TRUE,'Raw Results'!$T$2:$T$49,TRUE,'Raw Results'!$W$2:$W$49,TRUE)</x:f>
        <x:v>35</x:v>
      </x:c>
      <x:c r="D4" s="59"/>
      <x:c r="E4" s="58" t="n">
        <x:v>5</x:v>
      </x:c>
      <x:c r="F4" s="59"/>
    </x:row>
    <x:row r="7">
      <x:c r="A7" t="str">
        <x:v>method</x:v>
      </x:c>
      <x:c r="B7" t="str">
        <x:v>valid runs</x:v>
      </x:c>
      <x:c r="C7" t="str">
        <x:v>validity</x:v>
      </x:c>
      <x:c r="D7" t="str">
        <x:v>avg valid size</x:v>
      </x:c>
      <x:c r="E7" t="str">
        <x:v>avg time (s)</x:v>
      </x:c>
      <x:c r="F7" t="str">
        <x:v>size-win appearances</x:v>
      </x:c>
      <x:c r="G7" t="str">
        <x:v>speed-win appearances</x:v>
      </x:c>
    </x:row>
    <x:row r="8">
      <x:c r="A8" t="str">
        <x:v>Grid</x:v>
      </x:c>
      <x:c r="B8" s="62" t="n">
        <x:f>COUNTIF('Raw Results'!$J$2:$J$49,TRUE)</x:f>
        <x:v>41</x:v>
      </x:c>
      <x:c r="C8" s="64" t="n">
        <x:f>B8/$A$4</x:f>
        <x:v>0.8541666666666666</x:v>
      </x:c>
      <x:c r="D8" s="66" t="n">
        <x:f>IF(B8=0,"",(IF('Raw Results'!$J$2="True",'Raw Results'!$H$2,0)+IF('Raw Results'!$J$3="True",'Raw Results'!$H$3,0)+IF('Raw Results'!$J$4="True",'Raw Results'!$H$4,0)+IF('Raw Results'!$J$5="True",'Raw Results'!$H$5,0)+IF('Raw Results'!$J$6="True",'Raw Results'!$H$6,0)+IF('Raw Results'!$J$7="True",'Raw Results'!$H$7,0)+IF('Raw Results'!$J$8="True",'Raw Results'!$H$8,0)+IF('Raw Results'!$J$9="True",'Raw Results'!$H$9,0)+IF('Raw Results'!$J$10="True",'Raw Results'!$H$10,0)+IF('Raw Results'!$J$11="True",'Raw Results'!$H$11,0)+IF('Raw Results'!$J$12="True",'Raw Results'!$H$12,0)+IF('Raw Results'!$J$13="True",'Raw Results'!$H$13,0)+IF('Raw Results'!$J$14="True",'Raw Results'!$H$14,0)+IF('Raw Results'!$J$15="True",'Raw Results'!$H$15,0)+IF('Raw Results'!$J$16="True",'Raw Results'!$H$16,0)+IF('Raw Results'!$J$17="True",'Raw Results'!$H$17,0)+IF('Raw Results'!$J$18="True",'Raw Results'!$H$18,0)+IF('Raw Results'!$J$19="True",'Raw Results'!$H$19,0)+IF('Raw Results'!$J$20="True",'Raw Results'!$H$20,0)+IF('Raw Results'!$J$21="True",'Raw Results'!$H$21,0)+IF('Raw Results'!$J$22="True",'Raw Results'!$H$22,0)+IF('Raw Results'!$J$23="True",'Raw Results'!$H$23,0)+IF('Raw Results'!$J$24="True",'Raw Results'!$H$24,0)+IF('Raw Results'!$J$25="True",'Raw Results'!$H$25,0)+IF('Raw Results'!$J$26="True",'Raw Results'!$H$26,0)+IF('Raw Results'!$J$27="True",'Raw Results'!$H$27,0)+IF('Raw Results'!$J$28="True",'Raw Results'!$H$28,0)+IF('Raw Results'!$J$29="True",'Raw Results'!$H$29,0)+IF('Raw Results'!$J$30="True",'Raw Results'!$H$30,0)+IF('Raw Results'!$J$31="True",'Raw Results'!$H$31,0)+IF('Raw Results'!$J$32="True",'Raw Results'!$H$32,0)+IF('Raw Results'!$J$33="True",'Raw Results'!$H$33,0)+IF('Raw Results'!$J$34="True",'Raw Results'!$H$34,0)+IF('Raw Results'!$J$35="True",'Raw Results'!$H$35,0)+IF('Raw Results'!$J$36="True",'Raw Results'!$H$36,0)+IF('Raw Results'!$J$37="True",'Raw Results'!$H$37,0)+IF('Raw Results'!$J$38="True",'Raw Results'!$H$38,0)+IF('Raw Results'!$J$39="True",'Raw Results'!$H$39,0)+IF('Raw Results'!$J$40="True",'Raw Results'!$H$40,0)+IF('Raw Results'!$J$41="True",'Raw Results'!$H$41,0)+IF('Raw Results'!$J$42="True",'Raw Results'!$H$42,0)+IF('Raw Results'!$J$43="True",'Raw Results'!$H$43,0)+IF('Raw Results'!$J$44="True",'Raw Results'!$H$44,0)+IF('Raw Results'!$J$45="True",'Raw Results'!$H$45,0)+IF('Raw Results'!$J$46="True",'Raw Results'!$H$46,0)+IF('Raw Results'!$J$47="True",'Raw Results'!$H$47,0)+IF('Raw Results'!$J$48="True",'Raw Results'!$H$48,0)+IF('Raw Results'!$J$49="True",'Raw Results'!$H$49,0))/B8)</x:f>
        <x:v>44.78048780487805</x:v>
      </x:c>
      <x:c r="E8" s="68" t="n">
        <x:f>AVERAGE('Raw Results'!$I$2:$I$49)</x:f>
        <x:v>2.853204693751953</x:v>
      </x:c>
      <x:c r="F8" s="62" t="n">
        <x:f>COUNTIF('Raw Results'!$X$2:$X$49,"grid")+COUNTIF('Raw Results'!$X$2:$X$49,"grid, grid_collision")+COUNTIF('Raw Results'!$X$2:$X$49,"grid, circle")+COUNTIF('Raw Results'!$X$2:$X$49,"grid, grid_collision, circle")+COUNTIF('Raw Results'!$X$2:$X$49,"grid, zoomed_square")+COUNTIF('Raw Results'!$X$2:$X$49,"grid, grid_collision, zoomed_square")+COUNTIF('Raw Results'!$X$2:$X$49,"grid, circle, zoomed_square")+COUNTIF('Raw Results'!$X$2:$X$49,"grid, grid_collision, circle, zoomed_square")+COUNTIF('Raw Results'!$X$2:$X$49,"grid, ich")+COUNTIF('Raw Results'!$X$2:$X$49,"grid, grid_collision, ich")+COUNTIF('Raw Results'!$X$2:$X$49,"grid, circle, ich")+COUNTIF('Raw Results'!$X$2:$X$49,"grid, grid_collision, circle, ich")+COUNTIF('Raw Results'!$X$2:$X$49,"grid, zoomed_square, ich")+COUNTIF('Raw Results'!$X$2:$X$49,"grid, grid_collision, zoomed_square, ich")+COUNTIF('Raw Results'!$X$2:$X$49,"grid, circle, zoomed_square, ich")+COUNTIF('Raw Results'!$X$2:$X$49,"grid, grid_collision, circle, zoomed_square, ich")</x:f>
        <x:v>9</x:v>
      </x:c>
      <x:c r="G8" s="62" t="n">
        <x:f>COUNTIF('Raw Results'!$Y$2:$Y$49,"grid")+COUNTIF('Raw Results'!$Y$2:$Y$49,"grid, grid_collision")+COUNTIF('Raw Results'!$Y$2:$Y$49,"grid, circle")+COUNTIF('Raw Results'!$Y$2:$Y$49,"grid, grid_collision, circle")+COUNTIF('Raw Results'!$Y$2:$Y$49,"grid, zoomed_square")+COUNTIF('Raw Results'!$Y$2:$Y$49,"grid, grid_collision, zoomed_square")+COUNTIF('Raw Results'!$Y$2:$Y$49,"grid, circle, zoomed_square")+COUNTIF('Raw Results'!$Y$2:$Y$49,"grid, grid_collision, circle, zoomed_square")+COUNTIF('Raw Results'!$Y$2:$Y$49,"grid, ich")+COUNTIF('Raw Results'!$Y$2:$Y$49,"grid, grid_collision, ich")+COUNTIF('Raw Results'!$Y$2:$Y$49,"grid, circle, ich")+COUNTIF('Raw Results'!$Y$2:$Y$49,"grid, grid_collision, circle, ich")+COUNTIF('Raw Results'!$Y$2:$Y$49,"grid, zoomed_square, ich")+COUNTIF('Raw Results'!$Y$2:$Y$49,"grid, grid_collision, zoomed_square, ich")+COUNTIF('Raw Results'!$Y$2:$Y$49,"grid, circle, zoomed_square, ich")+COUNTIF('Raw Results'!$Y$2:$Y$49,"grid, grid_collision, circle, zoomed_square, ich")</x:f>
        <x:v>2</x:v>
      </x:c>
    </x:row>
    <x:row r="9">
      <x:c r="A9" t="str">
        <x:v>Grid Collision</x:v>
      </x:c>
      <x:c r="B9" s="62" t="n">
        <x:f>COUNTIF('Raw Results'!$N$2:$N$49,TRUE)</x:f>
        <x:v>36</x:v>
      </x:c>
      <x:c r="C9" s="64" t="n">
        <x:f>B9/$A$4</x:f>
        <x:v>0.75</x:v>
      </x:c>
      <x:c r="D9" s="66" t="n">
        <x:f>IF(B9=0,"",(IF('Raw Results'!$N$2="True",'Raw Results'!$L$2,0)+IF('Raw Results'!$N$3="True",'Raw Results'!$L$3,0)+IF('Raw Results'!$N$4="True",'Raw Results'!$L$4,0)+IF('Raw Results'!$N$5="True",'Raw Results'!$L$5,0)+IF('Raw Results'!$N$6="True",'Raw Results'!$L$6,0)+IF('Raw Results'!$N$7="True",'Raw Results'!$L$7,0)+IF('Raw Results'!$N$8="True",'Raw Results'!$L$8,0)+IF('Raw Results'!$N$9="True",'Raw Results'!$L$9,0)+IF('Raw Results'!$N$10="True",'Raw Results'!$L$10,0)+IF('Raw Results'!$N$11="True",'Raw Results'!$L$11,0)+IF('Raw Results'!$N$12="True",'Raw Results'!$L$12,0)+IF('Raw Results'!$N$13="True",'Raw Results'!$L$13,0)+IF('Raw Results'!$N$14="True",'Raw Results'!$L$14,0)+IF('Raw Results'!$N$15="True",'Raw Results'!$L$15,0)+IF('Raw Results'!$N$16="True",'Raw Results'!$L$16,0)+IF('Raw Results'!$N$17="True",'Raw Results'!$L$17,0)+IF('Raw Results'!$N$18="True",'Raw Results'!$L$18,0)+IF('Raw Results'!$N$19="True",'Raw Results'!$L$19,0)+IF('Raw Results'!$N$20="True",'Raw Results'!$L$20,0)+IF('Raw Results'!$N$21="True",'Raw Results'!$L$21,0)+IF('Raw Results'!$N$22="True",'Raw Results'!$L$22,0)+IF('Raw Results'!$N$23="True",'Raw Results'!$L$23,0)+IF('Raw Results'!$N$24="True",'Raw Results'!$L$24,0)+IF('Raw Results'!$N$25="True",'Raw Results'!$L$25,0)+IF('Raw Results'!$N$26="True",'Raw Results'!$L$26,0)+IF('Raw Results'!$N$27="True",'Raw Results'!$L$27,0)+IF('Raw Results'!$N$28="True",'Raw Results'!$L$28,0)+IF('Raw Results'!$N$29="True",'Raw Results'!$L$29,0)+IF('Raw Results'!$N$30="True",'Raw Results'!$L$30,0)+IF('Raw Results'!$N$31="True",'Raw Results'!$L$31,0)+IF('Raw Results'!$N$32="True",'Raw Results'!$L$32,0)+IF('Raw Results'!$N$33="True",'Raw Results'!$L$33,0)+IF('Raw Results'!$N$34="True",'Raw Results'!$L$34,0)+IF('Raw Results'!$N$35="True",'Raw Results'!$L$35,0)+IF('Raw Results'!$N$36="True",'Raw Results'!$L$36,0)+IF('Raw Results'!$N$37="True",'Raw Results'!$L$37,0)+IF('Raw Results'!$N$38="True",'Raw Results'!$L$38,0)+IF('Raw Results'!$N$39="True",'Raw Results'!$L$39,0)+IF('Raw Results'!$N$40="True",'Raw Results'!$L$40,0)+IF('Raw Results'!$N$41="True",'Raw Results'!$L$41,0)+IF('Raw Results'!$N$42="True",'Raw Results'!$L$42,0)+IF('Raw Results'!$N$43="True",'Raw Results'!$L$43,0)+IF('Raw Results'!$N$44="True",'Raw Results'!$L$44,0)+IF('Raw Results'!$N$45="True",'Raw Results'!$L$45,0)+IF('Raw Results'!$N$46="True",'Raw Results'!$L$46,0)+IF('Raw Results'!$N$47="True",'Raw Results'!$L$47,0)+IF('Raw Results'!$N$48="True",'Raw Results'!$L$48,0)+IF('Raw Results'!$N$49="True",'Raw Results'!$L$49,0))/B9)</x:f>
        <x:v>40.5</x:v>
      </x:c>
      <x:c r="E9" s="68" t="n">
        <x:f>AVERAGE('Raw Results'!$M$2:$M$49)</x:f>
        <x:v>1.5098898875039595</x:v>
      </x:c>
      <x:c r="F9" s="62" t="n">
        <x:f>COUNTIF('Raw Results'!$X$2:$X$49,"grid_collision")+COUNTIF('Raw Results'!$X$2:$X$49,"grid, grid_collision")+COUNTIF('Raw Results'!$X$2:$X$49,"grid_collision, circle")+COUNTIF('Raw Results'!$X$2:$X$49,"grid, grid_collision, circle")+COUNTIF('Raw Results'!$X$2:$X$49,"grid_collision, zoomed_square")+COUNTIF('Raw Results'!$X$2:$X$49,"grid, grid_collision, zoomed_square")+COUNTIF('Raw Results'!$X$2:$X$49,"grid_collision, circle, zoomed_square")+COUNTIF('Raw Results'!$X$2:$X$49,"grid, grid_collision, circle, zoomed_square")+COUNTIF('Raw Results'!$X$2:$X$49,"grid_collision, ich")+COUNTIF('Raw Results'!$X$2:$X$49,"grid, grid_collision, ich")+COUNTIF('Raw Results'!$X$2:$X$49,"grid_collision, circle, ich")+COUNTIF('Raw Results'!$X$2:$X$49,"grid, grid_collision, circle, ich")+COUNTIF('Raw Results'!$X$2:$X$49,"grid_collision, zoomed_square, ich")+COUNTIF('Raw Results'!$X$2:$X$49,"grid, grid_collision, zoomed_square, ich")+COUNTIF('Raw Results'!$X$2:$X$49,"grid_collision, circle, zoomed_square, ich")+COUNTIF('Raw Results'!$X$2:$X$49,"grid, grid_collision, circle, zoomed_square, ich")</x:f>
        <x:v>27</x:v>
      </x:c>
      <x:c r="G9" s="62" t="n">
        <x:f>COUNTIF('Raw Results'!$Y$2:$Y$49,"grid_collision")+COUNTIF('Raw Results'!$Y$2:$Y$49,"grid, grid_collision")+COUNTIF('Raw Results'!$Y$2:$Y$49,"grid_collision, circle")+COUNTIF('Raw Results'!$Y$2:$Y$49,"grid, grid_collision, circle")+COUNTIF('Raw Results'!$Y$2:$Y$49,"grid_collision, zoomed_square")+COUNTIF('Raw Results'!$Y$2:$Y$49,"grid, grid_collision, zoomed_square")+COUNTIF('Raw Results'!$Y$2:$Y$49,"grid_collision, circle, zoomed_square")+COUNTIF('Raw Results'!$Y$2:$Y$49,"grid, grid_collision, circle, zoomed_square")+COUNTIF('Raw Results'!$Y$2:$Y$49,"grid_collision, ich")+COUNTIF('Raw Results'!$Y$2:$Y$49,"grid, grid_collision, ich")+COUNTIF('Raw Results'!$Y$2:$Y$49,"grid_collision, circle, ich")+COUNTIF('Raw Results'!$Y$2:$Y$49,"grid, grid_collision, circle, ich")+COUNTIF('Raw Results'!$Y$2:$Y$49,"grid_collision, zoomed_square, ich")+COUNTIF('Raw Results'!$Y$2:$Y$49,"grid, grid_collision, zoomed_square, ich")+COUNTIF('Raw Results'!$Y$2:$Y$49,"grid_collision, circle, zoomed_square, ich")+COUNTIF('Raw Results'!$Y$2:$Y$49,"grid, grid_collision, circle, zoomed_square, ich")</x:f>
        <x:v>8</x:v>
      </x:c>
    </x:row>
    <x:row r="10">
      <x:c r="A10" t="str">
        <x:v>Circle</x:v>
      </x:c>
      <x:c r="B10" s="62" t="n">
        <x:f>COUNTIF('Raw Results'!$Q$2:$Q$49,TRUE)</x:f>
        <x:v>47</x:v>
      </x:c>
      <x:c r="C10" s="64" t="n">
        <x:f>B10/$A$4</x:f>
        <x:v>0.9791666666666666</x:v>
      </x:c>
      <x:c r="D10" s="66" t="n">
        <x:f>IF(B10=0,"",(IF('Raw Results'!$Q$2="True",'Raw Results'!$O$2,0)+IF('Raw Results'!$Q$3="True",'Raw Results'!$O$3,0)+IF('Raw Results'!$Q$4="True",'Raw Results'!$O$4,0)+IF('Raw Results'!$Q$5="True",'Raw Results'!$O$5,0)+IF('Raw Results'!$Q$6="True",'Raw Results'!$O$6,0)+IF('Raw Results'!$Q$7="True",'Raw Results'!$O$7,0)+IF('Raw Results'!$Q$8="True",'Raw Results'!$O$8,0)+IF('Raw Results'!$Q$9="True",'Raw Results'!$O$9,0)+IF('Raw Results'!$Q$10="True",'Raw Results'!$O$10,0)+IF('Raw Results'!$Q$11="True",'Raw Results'!$O$11,0)+IF('Raw Results'!$Q$12="True",'Raw Results'!$O$12,0)+IF('Raw Results'!$Q$13="True",'Raw Results'!$O$13,0)+IF('Raw Results'!$Q$14="True",'Raw Results'!$O$14,0)+IF('Raw Results'!$Q$15="True",'Raw Results'!$O$15,0)+IF('Raw Results'!$Q$16="True",'Raw Results'!$O$16,0)+IF('Raw Results'!$Q$17="True",'Raw Results'!$O$17,0)+IF('Raw Results'!$Q$18="True",'Raw Results'!$O$18,0)+IF('Raw Results'!$Q$19="True",'Raw Results'!$O$19,0)+IF('Raw Results'!$Q$20="True",'Raw Results'!$O$20,0)+IF('Raw Results'!$Q$21="True",'Raw Results'!$O$21,0)+IF('Raw Results'!$Q$22="True",'Raw Results'!$O$22,0)+IF('Raw Results'!$Q$23="True",'Raw Results'!$O$23,0)+IF('Raw Results'!$Q$24="True",'Raw Results'!$O$24,0)+IF('Raw Results'!$Q$25="True",'Raw Results'!$O$25,0)+IF('Raw Results'!$Q$26="True",'Raw Results'!$O$26,0)+IF('Raw Results'!$Q$27="True",'Raw Results'!$O$27,0)+IF('Raw Results'!$Q$28="True",'Raw Results'!$O$28,0)+IF('Raw Results'!$Q$29="True",'Raw Results'!$O$29,0)+IF('Raw Results'!$Q$30="True",'Raw Results'!$O$30,0)+IF('Raw Results'!$Q$31="True",'Raw Results'!$O$31,0)+IF('Raw Results'!$Q$32="True",'Raw Results'!$O$32,0)+IF('Raw Results'!$Q$33="True",'Raw Results'!$O$33,0)+IF('Raw Results'!$Q$34="True",'Raw Results'!$O$34,0)+IF('Raw Results'!$Q$35="True",'Raw Results'!$O$35,0)+IF('Raw Results'!$Q$36="True",'Raw Results'!$O$36,0)+IF('Raw Results'!$Q$37="True",'Raw Results'!$O$37,0)+IF('Raw Results'!$Q$38="True",'Raw Results'!$O$38,0)+IF('Raw Results'!$Q$39="True",'Raw Results'!$O$39,0)+IF('Raw Results'!$Q$40="True",'Raw Results'!$O$40,0)+IF('Raw Results'!$Q$41="True",'Raw Results'!$O$41,0)+IF('Raw Results'!$Q$42="True",'Raw Results'!$O$42,0)+IF('Raw Results'!$Q$43="True",'Raw Results'!$O$43,0)+IF('Raw Results'!$Q$44="True",'Raw Results'!$O$44,0)+IF('Raw Results'!$Q$45="True",'Raw Results'!$O$45,0)+IF('Raw Results'!$Q$46="True",'Raw Results'!$O$46,0)+IF('Raw Results'!$Q$47="True",'Raw Results'!$O$47,0)+IF('Raw Results'!$Q$48="True",'Raw Results'!$O$48,0)+IF('Raw Results'!$Q$49="True",'Raw Results'!$O$49,0))/B10)</x:f>
        <x:v>45.170212765957444</x:v>
      </x:c>
      <x:c r="E10" s="68" t="n">
        <x:f>AVERAGE('Raw Results'!$P$2:$P$49)</x:f>
        <x:v>0.8793691562544458</x:v>
      </x:c>
      <x:c r="F10" s="62" t="n">
        <x:f>COUNTIF('Raw Results'!$X$2:$X$49,"circle")+COUNTIF('Raw Results'!$X$2:$X$49,"grid, circle")+COUNTIF('Raw Results'!$X$2:$X$49,"grid_collision, circle")+COUNTIF('Raw Results'!$X$2:$X$49,"grid, grid_collision, circle")+COUNTIF('Raw Results'!$X$2:$X$49,"circle, zoomed_square")+COUNTIF('Raw Results'!$X$2:$X$49,"grid, circle, zoomed_square")+COUNTIF('Raw Results'!$X$2:$X$49,"grid_collision, circle, zoomed_square")+COUNTIF('Raw Results'!$X$2:$X$49,"grid, grid_collision, circle, zoomed_square")+COUNTIF('Raw Results'!$X$2:$X$49,"circle, ich")+COUNTIF('Raw Results'!$X$2:$X$49,"grid, circle, ich")+COUNTIF('Raw Results'!$X$2:$X$49,"grid_collision, circle, ich")+COUNTIF('Raw Results'!$X$2:$X$49,"grid, grid_collision, circle, ich")+COUNTIF('Raw Results'!$X$2:$X$49,"circle, zoomed_square, ich")+COUNTIF('Raw Results'!$X$2:$X$49,"grid, circle, zoomed_square, ich")+COUNTIF('Raw Results'!$X$2:$X$49,"grid_collision, circle, zoomed_square, ich")+COUNTIF('Raw Results'!$X$2:$X$49,"grid, grid_collision, circle, zoomed_square, ich")</x:f>
        <x:v>13</x:v>
      </x:c>
      <x:c r="G10" s="62" t="n">
        <x:f>COUNTIF('Raw Results'!$Y$2:$Y$49,"circle")+COUNTIF('Raw Results'!$Y$2:$Y$49,"grid, circle")+COUNTIF('Raw Results'!$Y$2:$Y$49,"grid_collision, circle")+COUNTIF('Raw Results'!$Y$2:$Y$49,"grid, grid_collision, circle")+COUNTIF('Raw Results'!$Y$2:$Y$49,"circle, zoomed_square")+COUNTIF('Raw Results'!$Y$2:$Y$49,"grid, circle, zoomed_square")+COUNTIF('Raw Results'!$Y$2:$Y$49,"grid_collision, circle, zoomed_square")+COUNTIF('Raw Results'!$Y$2:$Y$49,"grid, grid_collision, circle, zoomed_square")+COUNTIF('Raw Results'!$Y$2:$Y$49,"circle, ich")+COUNTIF('Raw Results'!$Y$2:$Y$49,"grid, circle, ich")+COUNTIF('Raw Results'!$Y$2:$Y$49,"grid_collision, circle, ich")+COUNTIF('Raw Results'!$Y$2:$Y$49,"grid, grid_collision, circle, ich")+COUNTIF('Raw Results'!$Y$2:$Y$49,"circle, zoomed_square, ich")+COUNTIF('Raw Results'!$Y$2:$Y$49,"grid, circle, zoomed_square, ich")+COUNTIF('Raw Results'!$Y$2:$Y$49,"grid_collision, circle, zoomed_square, ich")+COUNTIF('Raw Results'!$Y$2:$Y$49,"grid, grid_collision, circle, zoomed_square, ich")</x:f>
        <x:v>24</x:v>
      </x:c>
    </x:row>
    <x:row r="11">
      <x:c r="A11" t="str">
        <x:v>Zoomed Square</x:v>
      </x:c>
      <x:c r="B11" s="62" t="n">
        <x:f>COUNTIF('Raw Results'!$T$2:$T$49,TRUE)</x:f>
        <x:v>48</x:v>
      </x:c>
      <x:c r="C11" s="64" t="n">
        <x:f>B11/$A$4</x:f>
        <x:v>1</x:v>
      </x:c>
      <x:c r="D11" s="66" t="n">
        <x:f>IF(B11=0,"",(IF('Raw Results'!$T$2="True",'Raw Results'!$R$2,0)+IF('Raw Results'!$T$3="True",'Raw Results'!$R$3,0)+IF('Raw Results'!$T$4="True",'Raw Results'!$R$4,0)+IF('Raw Results'!$T$5="True",'Raw Results'!$R$5,0)+IF('Raw Results'!$T$6="True",'Raw Results'!$R$6,0)+IF('Raw Results'!$T$7="True",'Raw Results'!$R$7,0)+IF('Raw Results'!$T$8="True",'Raw Results'!$R$8,0)+IF('Raw Results'!$T$9="True",'Raw Results'!$R$9,0)+IF('Raw Results'!$T$10="True",'Raw Results'!$R$10,0)+IF('Raw Results'!$T$11="True",'Raw Results'!$R$11,0)+IF('Raw Results'!$T$12="True",'Raw Results'!$R$12,0)+IF('Raw Results'!$T$13="True",'Raw Results'!$R$13,0)+IF('Raw Results'!$T$14="True",'Raw Results'!$R$14,0)+IF('Raw Results'!$T$15="True",'Raw Results'!$R$15,0)+IF('Raw Results'!$T$16="True",'Raw Results'!$R$16,0)+IF('Raw Results'!$T$17="True",'Raw Results'!$R$17,0)+IF('Raw Results'!$T$18="True",'Raw Results'!$R$18,0)+IF('Raw Results'!$T$19="True",'Raw Results'!$R$19,0)+IF('Raw Results'!$T$20="True",'Raw Results'!$R$20,0)+IF('Raw Results'!$T$21="True",'Raw Results'!$R$21,0)+IF('Raw Results'!$T$22="True",'Raw Results'!$R$22,0)+IF('Raw Results'!$T$23="True",'Raw Results'!$R$23,0)+IF('Raw Results'!$T$24="True",'Raw Results'!$R$24,0)+IF('Raw Results'!$T$25="True",'Raw Results'!$R$25,0)+IF('Raw Results'!$T$26="True",'Raw Results'!$R$26,0)+IF('Raw Results'!$T$27="True",'Raw Results'!$R$27,0)+IF('Raw Results'!$T$28="True",'Raw Results'!$R$28,0)+IF('Raw Results'!$T$29="True",'Raw Results'!$R$29,0)+IF('Raw Results'!$T$30="True",'Raw Results'!$R$30,0)+IF('Raw Results'!$T$31="True",'Raw Results'!$R$31,0)+IF('Raw Results'!$T$32="True",'Raw Results'!$R$32,0)+IF('Raw Results'!$T$33="True",'Raw Results'!$R$33,0)+IF('Raw Results'!$T$34="True",'Raw Results'!$R$34,0)+IF('Raw Results'!$T$35="True",'Raw Results'!$R$35,0)+IF('Raw Results'!$T$36="True",'Raw Results'!$R$36,0)+IF('Raw Results'!$T$37="True",'Raw Results'!$R$37,0)+IF('Raw Results'!$T$38="True",'Raw Results'!$R$38,0)+IF('Raw Results'!$T$39="True",'Raw Results'!$R$39,0)+IF('Raw Results'!$T$40="True",'Raw Results'!$R$40,0)+IF('Raw Results'!$T$41="True",'Raw Results'!$R$41,0)+IF('Raw Results'!$T$42="True",'Raw Results'!$R$42,0)+IF('Raw Results'!$T$43="True",'Raw Results'!$R$43,0)+IF('Raw Results'!$T$44="True",'Raw Results'!$R$44,0)+IF('Raw Results'!$T$45="True",'Raw Results'!$R$45,0)+IF('Raw Results'!$T$46="True",'Raw Results'!$R$46,0)+IF('Raw Results'!$T$47="True",'Raw Results'!$R$47,0)+IF('Raw Results'!$T$48="True",'Raw Results'!$R$48,0)+IF('Raw Results'!$T$49="True",'Raw Results'!$R$49,0))/B11)</x:f>
        <x:v>44.0625</x:v>
      </x:c>
      <x:c r="E11" s="68" t="n">
        <x:f>AVERAGE('Raw Results'!$S$2:$S$49)</x:f>
        <x:v>1.2900270229183661</x:v>
      </x:c>
      <x:c r="F11" s="62" t="n">
        <x:f>COUNTIF('Raw Results'!$X$2:$X$49,"zoomed_square")+COUNTIF('Raw Results'!$X$2:$X$49,"grid, zoomed_square")+COUNTIF('Raw Results'!$X$2:$X$49,"grid_collision, zoomed_square")+COUNTIF('Raw Results'!$X$2:$X$49,"grid, grid_collision, zoomed_square")+COUNTIF('Raw Results'!$X$2:$X$49,"circle, zoomed_square")+COUNTIF('Raw Results'!$X$2:$X$49,"grid, circle, zoomed_square")+COUNTIF('Raw Results'!$X$2:$X$49,"grid_collision, circle, zoomed_square")+COUNTIF('Raw Results'!$X$2:$X$49,"grid, grid_collision, circle, zoomed_square")+COUNTIF('Raw Results'!$X$2:$X$49,"zoomed_square, ich")+COUNTIF('Raw Results'!$X$2:$X$49,"grid, zoomed_square, ich")+COUNTIF('Raw Results'!$X$2:$X$49,"grid_collision, zoomed_square, ich")+COUNTIF('Raw Results'!$X$2:$X$49,"grid, grid_collision, zoomed_square, ich")+COUNTIF('Raw Results'!$X$2:$X$49,"circle, zoomed_square, ich")+COUNTIF('Raw Results'!$X$2:$X$49,"grid, circle, zoomed_square, ich")+COUNTIF('Raw Results'!$X$2:$X$49,"grid_collision, circle, zoomed_square, ich")+COUNTIF('Raw Results'!$X$2:$X$49,"grid, grid_collision, circle, zoomed_square, ich")</x:f>
        <x:v>15</x:v>
      </x:c>
      <x:c r="G11" s="62" t="n">
        <x:f>COUNTIF('Raw Results'!$Y$2:$Y$49,"zoomed_square")+COUNTIF('Raw Results'!$Y$2:$Y$49,"grid, zoomed_square")+COUNTIF('Raw Results'!$Y$2:$Y$49,"grid_collision, zoomed_square")+COUNTIF('Raw Results'!$Y$2:$Y$49,"grid, grid_collision, zoomed_square")+COUNTIF('Raw Results'!$Y$2:$Y$49,"circle, zoomed_square")+COUNTIF('Raw Results'!$Y$2:$Y$49,"grid, circle, zoomed_square")+COUNTIF('Raw Results'!$Y$2:$Y$49,"grid_collision, circle, zoomed_square")+COUNTIF('Raw Results'!$Y$2:$Y$49,"grid, grid_collision, circle, zoomed_square")+COUNTIF('Raw Results'!$Y$2:$Y$49,"zoomed_square, ich")+COUNTIF('Raw Results'!$Y$2:$Y$49,"grid, zoomed_square, ich")+COUNTIF('Raw Results'!$Y$2:$Y$49,"grid_collision, zoomed_square, ich")+COUNTIF('Raw Results'!$Y$2:$Y$49,"grid, grid_collision, zoomed_square, ich")+COUNTIF('Raw Results'!$Y$2:$Y$49,"circle, zoomed_square, ich")+COUNTIF('Raw Results'!$Y$2:$Y$49,"grid, circle, zoomed_square, ich")+COUNTIF('Raw Results'!$Y$2:$Y$49,"grid_collision, circle, zoomed_square, ich")+COUNTIF('Raw Results'!$Y$2:$Y$49,"grid, grid_collision, circle, zoomed_square, ich")</x:f>
        <x:v>14</x:v>
      </x:c>
    </x:row>
    <x:row r="12">
      <x:c r="A12" t="str">
        <x:v>ICH</x:v>
      </x:c>
      <x:c r="B12" s="62" t="n">
        <x:f>COUNTIF('Raw Results'!$W$2:$W$49,TRUE)</x:f>
        <x:v>48</x:v>
      </x:c>
      <x:c r="C12" s="64" t="n">
        <x:f>B12/$A$4</x:f>
        <x:v>1</x:v>
      </x:c>
      <x:c r="D12" s="66" t="n">
        <x:f>IF(B12=0,"",(IF('Raw Results'!$W$2="True",'Raw Results'!$U$2,0)+IF('Raw Results'!$W$3="True",'Raw Results'!$U$3,0)+IF('Raw Results'!$W$4="True",'Raw Results'!$U$4,0)+IF('Raw Results'!$W$5="True",'Raw Results'!$U$5,0)+IF('Raw Results'!$W$6="True",'Raw Results'!$U$6,0)+IF('Raw Results'!$W$7="True",'Raw Results'!$U$7,0)+IF('Raw Results'!$W$8="True",'Raw Results'!$U$8,0)+IF('Raw Results'!$W$9="True",'Raw Results'!$U$9,0)+IF('Raw Results'!$W$10="True",'Raw Results'!$U$10,0)+IF('Raw Results'!$W$11="True",'Raw Results'!$U$11,0)+IF('Raw Results'!$W$12="True",'Raw Results'!$U$12,0)+IF('Raw Results'!$W$13="True",'Raw Results'!$U$13,0)+IF('Raw Results'!$W$14="True",'Raw Results'!$U$14,0)+IF('Raw Results'!$W$15="True",'Raw Results'!$U$15,0)+IF('Raw Results'!$W$16="True",'Raw Results'!$U$16,0)+IF('Raw Results'!$W$17="True",'Raw Results'!$U$17,0)+IF('Raw Results'!$W$18="True",'Raw Results'!$U$18,0)+IF('Raw Results'!$W$19="True",'Raw Results'!$U$19,0)+IF('Raw Results'!$W$20="True",'Raw Results'!$U$20,0)+IF('Raw Results'!$W$21="True",'Raw Results'!$U$21,0)+IF('Raw Results'!$W$22="True",'Raw Results'!$U$22,0)+IF('Raw Results'!$W$23="True",'Raw Results'!$U$23,0)+IF('Raw Results'!$W$24="True",'Raw Results'!$U$24,0)+IF('Raw Results'!$W$25="True",'Raw Results'!$U$25,0)+IF('Raw Results'!$W$26="True",'Raw Results'!$U$26,0)+IF('Raw Results'!$W$27="True",'Raw Results'!$U$27,0)+IF('Raw Results'!$W$28="True",'Raw Results'!$U$28,0)+IF('Raw Results'!$W$29="True",'Raw Results'!$U$29,0)+IF('Raw Results'!$W$30="True",'Raw Results'!$U$30,0)+IF('Raw Results'!$W$31="True",'Raw Results'!$U$31,0)+IF('Raw Results'!$W$32="True",'Raw Results'!$U$32,0)+IF('Raw Results'!$W$33="True",'Raw Results'!$U$33,0)+IF('Raw Results'!$W$34="True",'Raw Results'!$U$34,0)+IF('Raw Results'!$W$35="True",'Raw Results'!$U$35,0)+IF('Raw Results'!$W$36="True",'Raw Results'!$U$36,0)+IF('Raw Results'!$W$37="True",'Raw Results'!$U$37,0)+IF('Raw Results'!$W$38="True",'Raw Results'!$U$38,0)+IF('Raw Results'!$W$39="True",'Raw Results'!$U$39,0)+IF('Raw Results'!$W$40="True",'Raw Results'!$U$40,0)+IF('Raw Results'!$W$41="True",'Raw Results'!$U$41,0)+IF('Raw Results'!$W$42="True",'Raw Results'!$U$42,0)+IF('Raw Results'!$W$43="True",'Raw Results'!$U$43,0)+IF('Raw Results'!$W$44="True",'Raw Results'!$U$44,0)+IF('Raw Results'!$W$45="True",'Raw Results'!$U$45,0)+IF('Raw Results'!$W$46="True",'Raw Results'!$U$46,0)+IF('Raw Results'!$W$47="True",'Raw Results'!$U$47,0)+IF('Raw Results'!$W$48="True",'Raw Results'!$U$48,0)+IF('Raw Results'!$W$49="True",'Raw Results'!$U$49,0))/B12)</x:f>
        <x:v>39.770833333333336</x:v>
      </x:c>
      <x:c r="E12" s="68" t="n">
        <x:f>AVERAGE('Raw Results'!$V$2:$V$49)</x:f>
        <x:v>8.873319812500995</x:v>
      </x:c>
      <x:c r="F12" s="62" t="n">
        <x:f>COUNTIF('Raw Results'!$X$2:$X$49,"ich")+COUNTIF('Raw Results'!$X$2:$X$49,"grid, ich")+COUNTIF('Raw Results'!$X$2:$X$49,"grid_collision, ich")+COUNTIF('Raw Results'!$X$2:$X$49,"grid, grid_collision, ich")+COUNTIF('Raw Results'!$X$2:$X$49,"circle, ich")+COUNTIF('Raw Results'!$X$2:$X$49,"grid, circle, ich")+COUNTIF('Raw Results'!$X$2:$X$49,"grid_collision, circle, ich")+COUNTIF('Raw Results'!$X$2:$X$49,"grid, grid_collision, circle, ich")+COUNTIF('Raw Results'!$X$2:$X$49,"zoomed_square, ich")+COUNTIF('Raw Results'!$X$2:$X$49,"grid, zoomed_square, ich")+COUNTIF('Raw Results'!$X$2:$X$49,"grid_collision, zoomed_square, ich")+COUNTIF('Raw Results'!$X$2:$X$49,"grid, grid_collision, zoomed_square, ich")+COUNTIF('Raw Results'!$X$2:$X$49,"circle, zoomed_square, ich")+COUNTIF('Raw Results'!$X$2:$X$49,"grid, circle, zoomed_square, ich")+COUNTIF('Raw Results'!$X$2:$X$49,"grid_collision, circle, zoomed_square, ich")+COUNTIF('Raw Results'!$X$2:$X$49,"grid, grid_collision, circle, zoomed_square, ich")</x:f>
        <x:v>28</x:v>
      </x:c>
      <x:c r="G12" s="62" t="n">
        <x:f>COUNTIF('Raw Results'!$Y$2:$Y$49,"ich")+COUNTIF('Raw Results'!$Y$2:$Y$49,"grid, ich")+COUNTIF('Raw Results'!$Y$2:$Y$49,"grid_collision, ich")+COUNTIF('Raw Results'!$Y$2:$Y$49,"grid, grid_collision, ich")+COUNTIF('Raw Results'!$Y$2:$Y$49,"circle, ich")+COUNTIF('Raw Results'!$Y$2:$Y$49,"grid, circle, ich")+COUNTIF('Raw Results'!$Y$2:$Y$49,"grid_collision, circle, ich")+COUNTIF('Raw Results'!$Y$2:$Y$49,"grid, grid_collision, circle, ich")+COUNTIF('Raw Results'!$Y$2:$Y$49,"zoomed_square, ich")+COUNTIF('Raw Results'!$Y$2:$Y$49,"grid, zoomed_square, ich")+COUNTIF('Raw Results'!$Y$2:$Y$49,"grid_collision, zoomed_square, ich")+COUNTIF('Raw Results'!$Y$2:$Y$49,"grid, grid_collision, zoomed_square, ich")+COUNTIF('Raw Results'!$Y$2:$Y$49,"circle, zoomed_square, ich")+COUNTIF('Raw Results'!$Y$2:$Y$49,"grid, circle, zoomed_square, ich")+COUNTIF('Raw Results'!$Y$2:$Y$49,"grid_collision, circle, zoomed_square, ich")+COUNTIF('Raw Results'!$Y$2:$Y$49,"grid, grid_collision, circle, zoomed_square, ich")</x:f>
        <x:v>0</x:v>
      </x:c>
    </x:row>
    <x:row r="14">
      <x:c r="A14" s="80" t="str">
        <x:v>Win appearances include ties. Average size excludes invalid outputs; average time includes every completed run.</x:v>
      </x:c>
      <x:c r="B14" s="81"/>
      <x:c r="C14" s="81"/>
      <x:c r="D14" s="81"/>
      <x:c r="E14" s="81"/>
      <x:c r="F14" s="81"/>
      <x:c r="G14" s="82"/>
    </x:row>
  </x:sheetData>
  <x:mergeCells>
    <x:mergeCell ref="A1:G1"/>
    <x:mergeCell ref="A2:G2"/>
    <x:mergeCell ref="A4:B4"/>
    <x:mergeCell ref="C4:D4"/>
    <x:mergeCell ref="E4:F4"/>
    <x:mergeCell ref="A14:G14"/>
  </x:mergeCells>
  <x:conditionalFormatting sqref="C8:C12">
    <x:cfRule type="cellIs" dxfId="0" priority="1" operator="lessThan">
      <x:formula>1</x:formula>
    </x:cfRule>
  </x:conditionalFormatting>
  <x:conditionalFormatting sqref="F8:G12">
    <x:cfRule type="dataBar" priority="2">
      <x:dataBar>
        <x:cfvo type="min"/>
        <x:cfvo type="max"/>
        <x:color rgb="FF36A18B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c1a7e99d2264da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169BE573-5479-287D-BE93-74B15E11EBFA}">
            <x14:dataBar gradient="1">
              <x14:cfvo type="min"/>
              <x14:cfvo type="max"/>
              <x14:fillColor rgb="FF36A18B"/>
            </x14:dataBar>
          </x14:cfRule>
          <xm:sqref>F8:G12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18" hidden="0" customWidth="1"/>
    <x:col min="7" max="7" width="18" hidden="0" customWidth="1"/>
    <x:col min="10" max="10" width="18" hidden="0" customWidth="1"/>
    <x:col min="13" max="13" width="18" hidden="0" customWidth="1"/>
    <x:col min="16" max="16" width="18" hidden="0" customWidth="1"/>
    <x:col min="5" max="5" width="18" hidden="0" customWidth="1"/>
    <x:col min="8" max="8" width="18" hidden="0" customWidth="1"/>
    <x:col min="11" max="11" width="18" hidden="0" customWidth="1"/>
    <x:col min="14" max="14" width="18" hidden="0" customWidth="1"/>
    <x:col min="17" max="17" width="18" hidden="0" customWidth="1"/>
    <x:col min="6" max="6" width="17" hidden="0" customWidth="1"/>
    <x:col min="9" max="9" width="17" hidden="0" customWidth="1"/>
    <x:col min="12" max="12" width="17" hidden="0" customWidth="1"/>
    <x:col min="15" max="15" width="17" hidden="0" customWidth="1"/>
    <x:col min="18" max="18" width="17" hidden="0" customWidth="1"/>
    <x:col min="1" max="1" width="8" hidden="0" customWidth="1"/>
    <x:col min="2" max="2" width="10" hidden="0" customWidth="1"/>
    <x:col min="3" max="3" width="9" hidden="0" customWidth="1"/>
  </x:cols>
  <x:sheetData>
    <x:row r="1" ht="34" customHeight="1">
      <x:c r="A1" s="88" t="str">
        <x:v>Results by Graph Size and Radius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</x:row>
    <x:row r="2">
      <x:c r="A2" s="38" t="str">
        <x:v>Average sizes use only valid outputs. Times include all three repeats. Validity is the share of resolving outputs.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</x:row>
    <x:row r="4" ht="38" customHeight="1">
      <x:c r="A4" s="92" t="str">
        <x:v>n</x:v>
      </x:c>
      <x:c r="B4" s="92" t="str">
        <x:v>radius</x:v>
      </x:c>
      <x:c r="C4" s="92" t="str">
        <x:v>runs</x:v>
      </x:c>
      <x:c r="D4" s="92" t="str">
        <x:v>Grid avg size</x:v>
      </x:c>
      <x:c r="E4" s="92" t="str">
        <x:v>Grid avg time</x:v>
      </x:c>
      <x:c r="F4" s="92" t="str">
        <x:v>Grid validity</x:v>
      </x:c>
      <x:c r="G4" s="92" t="str">
        <x:v>Grid Collision avg size</x:v>
      </x:c>
      <x:c r="H4" s="92" t="str">
        <x:v>Grid Collision avg time</x:v>
      </x:c>
      <x:c r="I4" s="92" t="str">
        <x:v>Grid Collision validity</x:v>
      </x:c>
      <x:c r="J4" s="92" t="str">
        <x:v>Circle avg size</x:v>
      </x:c>
      <x:c r="K4" s="92" t="str">
        <x:v>Circle avg time</x:v>
      </x:c>
      <x:c r="L4" s="92" t="str">
        <x:v>Circle validity</x:v>
      </x:c>
      <x:c r="M4" s="92" t="str">
        <x:v>Zoomed Square avg size</x:v>
      </x:c>
      <x:c r="N4" s="92" t="str">
        <x:v>Zoomed Square avg time</x:v>
      </x:c>
      <x:c r="O4" s="92" t="str">
        <x:v>Zoomed Square validity</x:v>
      </x:c>
      <x:c r="P4" s="92" t="str">
        <x:v>ICH avg size</x:v>
      </x:c>
      <x:c r="Q4" s="92" t="str">
        <x:v>ICH avg time</x:v>
      </x:c>
      <x:c r="R4" s="92" t="str">
        <x:v>ICH validity</x:v>
      </x:c>
    </x:row>
    <x:row r="5">
      <x:c r="A5" s="62" t="n">
        <x:v>50</x:v>
      </x:c>
      <x:c r="B5" s="90" t="n">
        <x:v>0.1</x:v>
      </x:c>
      <x:c r="C5" s="62" t="n">
        <x:f>COUNTIFS('Raw Results'!$A$2:$A$49,A5,'Raw Results'!$B$2:$B$49,B5)</x:f>
        <x:v>3</x:v>
      </x:c>
      <x:c r="D5" s="66" t="str">
        <x:f>IF(COUNTIFS('Raw Results'!$A$2:$A$49,A5,'Raw Results'!$B$2:$B$49,B5,'Raw Results'!$J$2:$J$49,TRUE)=0,"",(IF('Raw Results'!$J$2="True",'Raw Results'!$H$2,0)+IF('Raw Results'!$J$3="True",'Raw Results'!$H$3,0)+IF('Raw Results'!$J$4="True",'Raw Results'!$H$4,0))/COUNTIFS('Raw Results'!$A$2:$A$49,A5,'Raw Results'!$B$2:$B$49,B5,'Raw Results'!$J$2:$J$49,TRUE))</x:f>
      </x:c>
      <x:c r="E5" s="68" t="n">
        <x:f>AVERAGEIFS('Raw Results'!$I$2:$I$49,'Raw Results'!$A$2:$A$49,A5,'Raw Results'!$B$2:$B$49,B5)</x:f>
        <x:v>0.0018726666457951069</x:v>
      </x:c>
      <x:c r="F5" s="64" t="n">
        <x:f>COUNTIFS('Raw Results'!$A$2:$A$49,A5,'Raw Results'!$B$2:$B$49,B5,'Raw Results'!$J$2:$J$49,TRUE)/C5</x:f>
        <x:v>0</x:v>
      </x:c>
      <x:c r="G5" s="66" t="str">
        <x:f>IF(COUNTIFS('Raw Results'!$A$2:$A$49,A5,'Raw Results'!$B$2:$B$49,B5,'Raw Results'!$N$2:$N$49,TRUE)=0,"",(IF('Raw Results'!$N$2="True",'Raw Results'!$L$2,0)+IF('Raw Results'!$N$3="True",'Raw Results'!$L$3,0)+IF('Raw Results'!$N$4="True",'Raw Results'!$L$4,0))/COUNTIFS('Raw Results'!$A$2:$A$49,A5,'Raw Results'!$B$2:$B$49,B5,'Raw Results'!$N$2:$N$49,TRUE))</x:f>
      </x:c>
      <x:c r="H5" s="68" t="n">
        <x:f>AVERAGEIFS('Raw Results'!$M$2:$M$49,'Raw Results'!$A$2:$A$49,A5,'Raw Results'!$B$2:$B$49,B5)</x:f>
        <x:v>0.0018961666501127183</x:v>
      </x:c>
      <x:c r="I5" s="64" t="n">
        <x:f>COUNTIFS('Raw Results'!$A$2:$A$49,A5,'Raw Results'!$B$2:$B$49,B5,'Raw Results'!$N$2:$N$49,TRUE)/C5</x:f>
        <x:v>0</x:v>
      </x:c>
      <x:c r="J5" s="66" t="n">
        <x:f>IF(COUNTIFS('Raw Results'!$A$2:$A$49,A5,'Raw Results'!$B$2:$B$49,B5,'Raw Results'!$Q$2:$Q$49,TRUE)=0,"",(IF('Raw Results'!$Q$2="True",'Raw Results'!$O$2,0)+IF('Raw Results'!$Q$3="True",'Raw Results'!$O$3,0)+IF('Raw Results'!$Q$4="True",'Raw Results'!$O$4,0))/COUNTIFS('Raw Results'!$A$2:$A$49,A5,'Raw Results'!$B$2:$B$49,B5,'Raw Results'!$Q$2:$Q$49,TRUE))</x:f>
        <x:v>27</x:v>
      </x:c>
      <x:c r="K5" s="68" t="n">
        <x:f>AVERAGEIFS('Raw Results'!$P$2:$P$49,'Raw Results'!$A$2:$A$49,A5,'Raw Results'!$B$2:$B$49,B5)</x:f>
        <x:v>0.0033130666512685516</x:v>
      </x:c>
      <x:c r="L5" s="64" t="n">
        <x:f>COUNTIFS('Raw Results'!$A$2:$A$49,A5,'Raw Results'!$B$2:$B$49,B5,'Raw Results'!$Q$2:$Q$49,TRUE)/C5</x:f>
        <x:v>1</x:v>
      </x:c>
      <x:c r="M5" s="66" t="n">
        <x:f>IF(COUNTIFS('Raw Results'!$A$2:$A$49,A5,'Raw Results'!$B$2:$B$49,B5,'Raw Results'!$T$2:$T$49,TRUE)=0,"",(IF('Raw Results'!$T$2="True",'Raw Results'!$R$2,0)+IF('Raw Results'!$T$3="True",'Raw Results'!$R$3,0)+IF('Raw Results'!$T$4="True",'Raw Results'!$R$4,0))/COUNTIFS('Raw Results'!$A$2:$A$49,A5,'Raw Results'!$B$2:$B$49,B5,'Raw Results'!$T$2:$T$49,TRUE))</x:f>
        <x:v>27</x:v>
      </x:c>
      <x:c r="N5" s="68" t="n">
        <x:f>AVERAGEIFS('Raw Results'!$S$2:$S$49,'Raw Results'!$A$2:$A$49,A5,'Raw Results'!$B$2:$B$49,B5)</x:f>
        <x:v>0.00300223333761096</x:v>
      </x:c>
      <x:c r="O5" s="64" t="n">
        <x:f>COUNTIFS('Raw Results'!$A$2:$A$49,A5,'Raw Results'!$B$2:$B$49,B5,'Raw Results'!$T$2:$T$49,TRUE)/C5</x:f>
        <x:v>1</x:v>
      </x:c>
      <x:c r="P5" s="66" t="n">
        <x:f>IF(COUNTIFS('Raw Results'!$A$2:$A$49,A5,'Raw Results'!$B$2:$B$49,B5,'Raw Results'!$W$2:$W$49,TRUE)=0,"",(IF('Raw Results'!$W$2="True",'Raw Results'!$U$2,0)+IF('Raw Results'!$W$3="True",'Raw Results'!$U$3,0)+IF('Raw Results'!$W$4="True",'Raw Results'!$U$4,0))/COUNTIFS('Raw Results'!$A$2:$A$49,A5,'Raw Results'!$B$2:$B$49,B5,'Raw Results'!$W$2:$W$49,TRUE))</x:f>
        <x:v>27</x:v>
      </x:c>
      <x:c r="Q5" s="68" t="n">
        <x:f>AVERAGEIFS('Raw Results'!$V$2:$V$49,'Raw Results'!$A$2:$A$49,A5,'Raw Results'!$B$2:$B$49,B5)</x:f>
        <x:v>0.21629036668067178</x:v>
      </x:c>
      <x:c r="R5" s="64" t="n">
        <x:f>COUNTIFS('Raw Results'!$A$2:$A$49,A5,'Raw Results'!$B$2:$B$49,B5,'Raw Results'!$W$2:$W$49,TRUE)/C5</x:f>
        <x:v>1</x:v>
      </x:c>
    </x:row>
    <x:row r="6">
      <x:c r="A6" s="62" t="n">
        <x:v>50</x:v>
      </x:c>
      <x:c r="B6" s="90" t="n">
        <x:v>0.3</x:v>
      </x:c>
      <x:c r="C6" s="62" t="n">
        <x:f>COUNTIFS('Raw Results'!$A$2:$A$49,A6,'Raw Results'!$B$2:$B$49,B6)</x:f>
        <x:v>3</x:v>
      </x:c>
      <x:c r="D6" s="66" t="n">
        <x:f>IF(COUNTIFS('Raw Results'!$A$2:$A$49,A6,'Raw Results'!$B$2:$B$49,B6,'Raw Results'!$J$2:$J$49,TRUE)=0,"",(IF('Raw Results'!$J$5="True",'Raw Results'!$H$5,0)+IF('Raw Results'!$J$6="True",'Raw Results'!$H$6,0)+IF('Raw Results'!$J$7="True",'Raw Results'!$H$7,0))/COUNTIFS('Raw Results'!$A$2:$A$49,A6,'Raw Results'!$B$2:$B$49,B6,'Raw Results'!$J$2:$J$49,TRUE))</x:f>
        <x:v>12.666666666666666</x:v>
      </x:c>
      <x:c r="E6" s="68" t="n">
        <x:f>AVERAGEIFS('Raw Results'!$I$2:$I$49,'Raw Results'!$A$2:$A$49,A6,'Raw Results'!$B$2:$B$49,B6)</x:f>
        <x:v>0.005420133316268523</x:v>
      </x:c>
      <x:c r="F6" s="64" t="n">
        <x:f>COUNTIFS('Raw Results'!$A$2:$A$49,A6,'Raw Results'!$B$2:$B$49,B6,'Raw Results'!$J$2:$J$49,TRUE)/C6</x:f>
        <x:v>1</x:v>
      </x:c>
      <x:c r="G6" s="66" t="n">
        <x:f>IF(COUNTIFS('Raw Results'!$A$2:$A$49,A6,'Raw Results'!$B$2:$B$49,B6,'Raw Results'!$N$2:$N$49,TRUE)=0,"",(IF('Raw Results'!$N$5="True",'Raw Results'!$L$5,0)+IF('Raw Results'!$N$6="True",'Raw Results'!$L$6,0)+IF('Raw Results'!$N$7="True",'Raw Results'!$L$7,0))/COUNTIFS('Raw Results'!$A$2:$A$49,A6,'Raw Results'!$B$2:$B$49,B6,'Raw Results'!$N$2:$N$49,TRUE))</x:f>
        <x:v>13</x:v>
      </x:c>
      <x:c r="H6" s="68" t="n">
        <x:f>AVERAGEIFS('Raw Results'!$M$2:$M$49,'Raw Results'!$A$2:$A$49,A6,'Raw Results'!$B$2:$B$49,B6)</x:f>
        <x:v>0.004347100019610177</x:v>
      </x:c>
      <x:c r="I6" s="64" t="n">
        <x:f>COUNTIFS('Raw Results'!$A$2:$A$49,A6,'Raw Results'!$B$2:$B$49,B6,'Raw Results'!$N$2:$N$49,TRUE)/C6</x:f>
        <x:v>1</x:v>
      </x:c>
      <x:c r="J6" s="66" t="n">
        <x:f>IF(COUNTIFS('Raw Results'!$A$2:$A$49,A6,'Raw Results'!$B$2:$B$49,B6,'Raw Results'!$Q$2:$Q$49,TRUE)=0,"",(IF('Raw Results'!$Q$5="True",'Raw Results'!$O$5,0)+IF('Raw Results'!$Q$6="True",'Raw Results'!$O$6,0)+IF('Raw Results'!$Q$7="True",'Raw Results'!$O$7,0))/COUNTIFS('Raw Results'!$A$2:$A$49,A6,'Raw Results'!$B$2:$B$49,B6,'Raw Results'!$Q$2:$Q$49,TRUE))</x:f>
        <x:v>13.5</x:v>
      </x:c>
      <x:c r="K6" s="68" t="n">
        <x:f>AVERAGEIFS('Raw Results'!$P$2:$P$49,'Raw Results'!$A$2:$A$49,A6,'Raw Results'!$B$2:$B$49,B6)</x:f>
        <x:v>0.003573466674424708</x:v>
      </x:c>
      <x:c r="L6" s="64" t="n">
        <x:f>COUNTIFS('Raw Results'!$A$2:$A$49,A6,'Raw Results'!$B$2:$B$49,B6,'Raw Results'!$Q$2:$Q$49,TRUE)/C6</x:f>
        <x:v>0.6666666666666666</x:v>
      </x:c>
      <x:c r="M6" s="66" t="n">
        <x:f>IF(COUNTIFS('Raw Results'!$A$2:$A$49,A6,'Raw Results'!$B$2:$B$49,B6,'Raw Results'!$T$2:$T$49,TRUE)=0,"",(IF('Raw Results'!$T$5="True",'Raw Results'!$R$5,0)+IF('Raw Results'!$T$6="True",'Raw Results'!$R$6,0)+IF('Raw Results'!$T$7="True",'Raw Results'!$R$7,0))/COUNTIFS('Raw Results'!$A$2:$A$49,A6,'Raw Results'!$B$2:$B$49,B6,'Raw Results'!$T$2:$T$49,TRUE))</x:f>
        <x:v>12.666666666666666</x:v>
      </x:c>
      <x:c r="N6" s="68" t="n">
        <x:f>AVERAGEIFS('Raw Results'!$S$2:$S$49,'Raw Results'!$A$2:$A$49,A6,'Raw Results'!$B$2:$B$49,B6)</x:f>
        <x:v>0.004586633333625893</x:v>
      </x:c>
      <x:c r="O6" s="64" t="n">
        <x:f>COUNTIFS('Raw Results'!$A$2:$A$49,A6,'Raw Results'!$B$2:$B$49,B6,'Raw Results'!$T$2:$T$49,TRUE)/C6</x:f>
        <x:v>1</x:v>
      </x:c>
      <x:c r="P6" s="66" t="n">
        <x:f>IF(COUNTIFS('Raw Results'!$A$2:$A$49,A6,'Raw Results'!$B$2:$B$49,B6,'Raw Results'!$W$2:$W$49,TRUE)=0,"",(IF('Raw Results'!$W$5="True",'Raw Results'!$U$5,0)+IF('Raw Results'!$W$6="True",'Raw Results'!$U$6,0)+IF('Raw Results'!$W$7="True",'Raw Results'!$U$7,0))/COUNTIFS('Raw Results'!$A$2:$A$49,A6,'Raw Results'!$B$2:$B$49,B6,'Raw Results'!$W$2:$W$49,TRUE))</x:f>
        <x:v>13.666666666666666</x:v>
      </x:c>
      <x:c r="Q6" s="68" t="n">
        <x:f>AVERAGEIFS('Raw Results'!$V$2:$V$49,'Raw Results'!$A$2:$A$49,A6,'Raw Results'!$B$2:$B$49,B6)</x:f>
        <x:v>0.14479789999313653</x:v>
      </x:c>
      <x:c r="R6" s="64" t="n">
        <x:f>COUNTIFS('Raw Results'!$A$2:$A$49,A6,'Raw Results'!$B$2:$B$49,B6,'Raw Results'!$W$2:$W$49,TRUE)/C6</x:f>
        <x:v>1</x:v>
      </x:c>
    </x:row>
    <x:row r="7">
      <x:c r="A7" s="62" t="n">
        <x:v>50</x:v>
      </x:c>
      <x:c r="B7" s="90" t="n">
        <x:v>0.5</x:v>
      </x:c>
      <x:c r="C7" s="62" t="n">
        <x:f>COUNTIFS('Raw Results'!$A$2:$A$49,A7,'Raw Results'!$B$2:$B$49,B7)</x:f>
        <x:v>3</x:v>
      </x:c>
      <x:c r="D7" s="66" t="n">
        <x:f>IF(COUNTIFS('Raw Results'!$A$2:$A$49,A7,'Raw Results'!$B$2:$B$49,B7,'Raw Results'!$J$2:$J$49,TRUE)=0,"",(IF('Raw Results'!$J$8="True",'Raw Results'!$H$8,0)+IF('Raw Results'!$J$9="True",'Raw Results'!$H$9,0)+IF('Raw Results'!$J$10="True",'Raw Results'!$H$10,0))/COUNTIFS('Raw Results'!$A$2:$A$49,A7,'Raw Results'!$B$2:$B$49,B7,'Raw Results'!$J$2:$J$49,TRUE))</x:f>
        <x:v>16</x:v>
      </x:c>
      <x:c r="E7" s="68" t="n">
        <x:f>AVERAGEIFS('Raw Results'!$I$2:$I$49,'Raw Results'!$A$2:$A$49,A7,'Raw Results'!$B$2:$B$49,B7)</x:f>
        <x:v>0.02167773334076628</x:v>
      </x:c>
      <x:c r="F7" s="64" t="n">
        <x:f>COUNTIFS('Raw Results'!$A$2:$A$49,A7,'Raw Results'!$B$2:$B$49,B7,'Raw Results'!$J$2:$J$49,TRUE)/C7</x:f>
        <x:v>1</x:v>
      </x:c>
      <x:c r="G7" s="66" t="n">
        <x:f>IF(COUNTIFS('Raw Results'!$A$2:$A$49,A7,'Raw Results'!$B$2:$B$49,B7,'Raw Results'!$N$2:$N$49,TRUE)=0,"",(IF('Raw Results'!$N$8="True",'Raw Results'!$L$8,0)+IF('Raw Results'!$N$9="True",'Raw Results'!$L$9,0)+IF('Raw Results'!$N$10="True",'Raw Results'!$L$10,0))/COUNTIFS('Raw Results'!$A$2:$A$49,A7,'Raw Results'!$B$2:$B$49,B7,'Raw Results'!$N$2:$N$49,TRUE))</x:f>
        <x:v>15</x:v>
      </x:c>
      <x:c r="H7" s="68" t="n">
        <x:f>AVERAGEIFS('Raw Results'!$M$2:$M$49,'Raw Results'!$A$2:$A$49,A7,'Raw Results'!$B$2:$B$49,B7)</x:f>
        <x:v>0.01485403332238396</x:v>
      </x:c>
      <x:c r="I7" s="64" t="n">
        <x:f>COUNTIFS('Raw Results'!$A$2:$A$49,A7,'Raw Results'!$B$2:$B$49,B7,'Raw Results'!$N$2:$N$49,TRUE)/C7</x:f>
        <x:v>1</x:v>
      </x:c>
      <x:c r="J7" s="66" t="n">
        <x:f>IF(COUNTIFS('Raw Results'!$A$2:$A$49,A7,'Raw Results'!$B$2:$B$49,B7,'Raw Results'!$Q$2:$Q$49,TRUE)=0,"",(IF('Raw Results'!$Q$8="True",'Raw Results'!$O$8,0)+IF('Raw Results'!$Q$9="True",'Raw Results'!$O$9,0)+IF('Raw Results'!$Q$10="True",'Raw Results'!$O$10,0))/COUNTIFS('Raw Results'!$A$2:$A$49,A7,'Raw Results'!$B$2:$B$49,B7,'Raw Results'!$Q$2:$Q$49,TRUE))</x:f>
        <x:v>17.333333333333332</x:v>
      </x:c>
      <x:c r="K7" s="68" t="n">
        <x:f>AVERAGEIFS('Raw Results'!$P$2:$P$49,'Raw Results'!$A$2:$A$49,A7,'Raw Results'!$B$2:$B$49,B7)</x:f>
        <x:v>0.006517666663664083</x:v>
      </x:c>
      <x:c r="L7" s="64" t="n">
        <x:f>COUNTIFS('Raw Results'!$A$2:$A$49,A7,'Raw Results'!$B$2:$B$49,B7,'Raw Results'!$Q$2:$Q$49,TRUE)/C7</x:f>
        <x:v>1</x:v>
      </x:c>
      <x:c r="M7" s="66" t="n">
        <x:f>IF(COUNTIFS('Raw Results'!$A$2:$A$49,A7,'Raw Results'!$B$2:$B$49,B7,'Raw Results'!$T$2:$T$49,TRUE)=0,"",(IF('Raw Results'!$T$8="True",'Raw Results'!$R$8,0)+IF('Raw Results'!$T$9="True",'Raw Results'!$R$9,0)+IF('Raw Results'!$T$10="True",'Raw Results'!$R$10,0))/COUNTIFS('Raw Results'!$A$2:$A$49,A7,'Raw Results'!$B$2:$B$49,B7,'Raw Results'!$T$2:$T$49,TRUE))</x:f>
        <x:v>15.333333333333334</x:v>
      </x:c>
      <x:c r="N7" s="68" t="n">
        <x:f>AVERAGEIFS('Raw Results'!$S$2:$S$49,'Raw Results'!$A$2:$A$49,A7,'Raw Results'!$B$2:$B$49,B7)</x:f>
        <x:v>0.0072792999756832915</x:v>
      </x:c>
      <x:c r="O7" s="64" t="n">
        <x:f>COUNTIFS('Raw Results'!$A$2:$A$49,A7,'Raw Results'!$B$2:$B$49,B7,'Raw Results'!$T$2:$T$49,TRUE)/C7</x:f>
        <x:v>1</x:v>
      </x:c>
      <x:c r="P7" s="66" t="n">
        <x:f>IF(COUNTIFS('Raw Results'!$A$2:$A$49,A7,'Raw Results'!$B$2:$B$49,B7,'Raw Results'!$W$2:$W$49,TRUE)=0,"",(IF('Raw Results'!$W$8="True",'Raw Results'!$U$8,0)+IF('Raw Results'!$W$9="True",'Raw Results'!$U$9,0)+IF('Raw Results'!$W$10="True",'Raw Results'!$U$10,0))/COUNTIFS('Raw Results'!$A$2:$A$49,A7,'Raw Results'!$B$2:$B$49,B7,'Raw Results'!$W$2:$W$49,TRUE))</x:f>
        <x:v>15.666666666666666</x:v>
      </x:c>
      <x:c r="Q7" s="68" t="n">
        <x:f>AVERAGEIFS('Raw Results'!$V$2:$V$49,'Raw Results'!$A$2:$A$49,A7,'Raw Results'!$B$2:$B$49,B7)</x:f>
        <x:v>0.14993700000923127</x:v>
      </x:c>
      <x:c r="R7" s="64" t="n">
        <x:f>COUNTIFS('Raw Results'!$A$2:$A$49,A7,'Raw Results'!$B$2:$B$49,B7,'Raw Results'!$W$2:$W$49,TRUE)/C7</x:f>
        <x:v>1</x:v>
      </x:c>
    </x:row>
    <x:row r="8">
      <x:c r="A8" s="62" t="n">
        <x:v>50</x:v>
      </x:c>
      <x:c r="B8" s="90" t="n">
        <x:v>0.7</x:v>
      </x:c>
      <x:c r="C8" s="62" t="n">
        <x:f>COUNTIFS('Raw Results'!$A$2:$A$49,A8,'Raw Results'!$B$2:$B$49,B8)</x:f>
        <x:v>3</x:v>
      </x:c>
      <x:c r="D8" s="66" t="n">
        <x:f>IF(COUNTIFS('Raw Results'!$A$2:$A$49,A8,'Raw Results'!$B$2:$B$49,B8,'Raw Results'!$J$2:$J$49,TRUE)=0,"",(IF('Raw Results'!$J$11="True",'Raw Results'!$H$11,0)+IF('Raw Results'!$J$12="True",'Raw Results'!$H$12,0)+IF('Raw Results'!$J$13="True",'Raw Results'!$H$13,0))/COUNTIFS('Raw Results'!$A$2:$A$49,A8,'Raw Results'!$B$2:$B$49,B8,'Raw Results'!$J$2:$J$49,TRUE))</x:f>
        <x:v>18.333333333333332</x:v>
      </x:c>
      <x:c r="E8" s="68" t="n">
        <x:f>AVERAGEIFS('Raw Results'!$I$2:$I$49,'Raw Results'!$A$2:$A$49,A8,'Raw Results'!$B$2:$B$49,B8)</x:f>
        <x:v>0.02110283332876861</x:v>
      </x:c>
      <x:c r="F8" s="64" t="n">
        <x:f>COUNTIFS('Raw Results'!$A$2:$A$49,A8,'Raw Results'!$B$2:$B$49,B8,'Raw Results'!$J$2:$J$49,TRUE)/C8</x:f>
        <x:v>1</x:v>
      </x:c>
      <x:c r="G8" s="66" t="n">
        <x:f>IF(COUNTIFS('Raw Results'!$A$2:$A$49,A8,'Raw Results'!$B$2:$B$49,B8,'Raw Results'!$N$2:$N$49,TRUE)=0,"",(IF('Raw Results'!$N$11="True",'Raw Results'!$L$11,0)+IF('Raw Results'!$N$12="True",'Raw Results'!$L$12,0)+IF('Raw Results'!$N$13="True",'Raw Results'!$L$13,0))/COUNTIFS('Raw Results'!$A$2:$A$49,A8,'Raw Results'!$B$2:$B$49,B8,'Raw Results'!$N$2:$N$49,TRUE))</x:f>
        <x:v>17.666666666666668</x:v>
      </x:c>
      <x:c r="H8" s="68" t="n">
        <x:f>AVERAGEIFS('Raw Results'!$M$2:$M$49,'Raw Results'!$A$2:$A$49,A8,'Raw Results'!$B$2:$B$49,B8)</x:f>
        <x:v>0.015973466681316495</x:v>
      </x:c>
      <x:c r="I8" s="64" t="n">
        <x:f>COUNTIFS('Raw Results'!$A$2:$A$49,A8,'Raw Results'!$B$2:$B$49,B8,'Raw Results'!$N$2:$N$49,TRUE)/C8</x:f>
        <x:v>1</x:v>
      </x:c>
      <x:c r="J8" s="66" t="n">
        <x:f>IF(COUNTIFS('Raw Results'!$A$2:$A$49,A8,'Raw Results'!$B$2:$B$49,B8,'Raw Results'!$Q$2:$Q$49,TRUE)=0,"",(IF('Raw Results'!$Q$11="True",'Raw Results'!$O$11,0)+IF('Raw Results'!$Q$12="True",'Raw Results'!$O$12,0)+IF('Raw Results'!$Q$13="True",'Raw Results'!$O$13,0))/COUNTIFS('Raw Results'!$A$2:$A$49,A8,'Raw Results'!$B$2:$B$49,B8,'Raw Results'!$Q$2:$Q$49,TRUE))</x:f>
        <x:v>21</x:v>
      </x:c>
      <x:c r="K8" s="68" t="n">
        <x:f>AVERAGEIFS('Raw Results'!$P$2:$P$49,'Raw Results'!$A$2:$A$49,A8,'Raw Results'!$B$2:$B$49,B8)</x:f>
        <x:v>0.010673333366867155</x:v>
      </x:c>
      <x:c r="L8" s="64" t="n">
        <x:f>COUNTIFS('Raw Results'!$A$2:$A$49,A8,'Raw Results'!$B$2:$B$49,B8,'Raw Results'!$Q$2:$Q$49,TRUE)/C8</x:f>
        <x:v>1</x:v>
      </x:c>
      <x:c r="M8" s="66" t="n">
        <x:f>IF(COUNTIFS('Raw Results'!$A$2:$A$49,A8,'Raw Results'!$B$2:$B$49,B8,'Raw Results'!$T$2:$T$49,TRUE)=0,"",(IF('Raw Results'!$T$11="True",'Raw Results'!$R$11,0)+IF('Raw Results'!$T$12="True",'Raw Results'!$R$12,0)+IF('Raw Results'!$T$13="True",'Raw Results'!$R$13,0))/COUNTIFS('Raw Results'!$A$2:$A$49,A8,'Raw Results'!$B$2:$B$49,B8,'Raw Results'!$T$2:$T$49,TRUE))</x:f>
        <x:v>20</x:v>
      </x:c>
      <x:c r="N8" s="68" t="n">
        <x:f>AVERAGEIFS('Raw Results'!$S$2:$S$49,'Raw Results'!$A$2:$A$49,A8,'Raw Results'!$B$2:$B$49,B8)</x:f>
        <x:v>0.01578486666160946</x:v>
      </x:c>
      <x:c r="O8" s="64" t="n">
        <x:f>COUNTIFS('Raw Results'!$A$2:$A$49,A8,'Raw Results'!$B$2:$B$49,B8,'Raw Results'!$T$2:$T$49,TRUE)/C8</x:f>
        <x:v>1</x:v>
      </x:c>
      <x:c r="P8" s="66" t="n">
        <x:f>IF(COUNTIFS('Raw Results'!$A$2:$A$49,A8,'Raw Results'!$B$2:$B$49,B8,'Raw Results'!$W$2:$W$49,TRUE)=0,"",(IF('Raw Results'!$W$11="True",'Raw Results'!$U$11,0)+IF('Raw Results'!$W$12="True",'Raw Results'!$U$12,0)+IF('Raw Results'!$W$13="True",'Raw Results'!$U$13,0))/COUNTIFS('Raw Results'!$A$2:$A$49,A8,'Raw Results'!$B$2:$B$49,B8,'Raw Results'!$W$2:$W$49,TRUE))</x:f>
        <x:v>18</x:v>
      </x:c>
      <x:c r="Q8" s="68" t="n">
        <x:f>AVERAGEIFS('Raw Results'!$V$2:$V$49,'Raw Results'!$A$2:$A$49,A8,'Raw Results'!$B$2:$B$49,B8)</x:f>
        <x:v>0.2068545333459042</x:v>
      </x:c>
      <x:c r="R8" s="64" t="n">
        <x:f>COUNTIFS('Raw Results'!$A$2:$A$49,A8,'Raw Results'!$B$2:$B$49,B8,'Raw Results'!$W$2:$W$49,TRUE)/C8</x:f>
        <x:v>1</x:v>
      </x:c>
    </x:row>
    <x:row r="9">
      <x:c r="A9" s="62" t="n">
        <x:v>100</x:v>
      </x:c>
      <x:c r="B9" s="90" t="n">
        <x:v>0.1</x:v>
      </x:c>
      <x:c r="C9" s="62" t="n">
        <x:f>COUNTIFS('Raw Results'!$A$2:$A$49,A9,'Raw Results'!$B$2:$B$49,B9)</x:f>
        <x:v>3</x:v>
      </x:c>
      <x:c r="D9" s="66" t="str">
        <x:f>IF(COUNTIFS('Raw Results'!$A$2:$A$49,A9,'Raw Results'!$B$2:$B$49,B9,'Raw Results'!$J$2:$J$49,TRUE)=0,"",(IF('Raw Results'!$J$14="True",'Raw Results'!$H$14,0)+IF('Raw Results'!$J$15="True",'Raw Results'!$H$15,0)+IF('Raw Results'!$J$16="True",'Raw Results'!$H$16,0))/COUNTIFS('Raw Results'!$A$2:$A$49,A9,'Raw Results'!$B$2:$B$49,B9,'Raw Results'!$J$2:$J$49,TRUE))</x:f>
      </x:c>
      <x:c r="E9" s="68" t="n">
        <x:f>AVERAGEIFS('Raw Results'!$I$2:$I$49,'Raw Results'!$A$2:$A$49,A9,'Raw Results'!$B$2:$B$49,B9)</x:f>
        <x:v>0.007421600011487802</x:v>
      </x:c>
      <x:c r="F9" s="64" t="n">
        <x:f>COUNTIFS('Raw Results'!$A$2:$A$49,A9,'Raw Results'!$B$2:$B$49,B9,'Raw Results'!$J$2:$J$49,TRUE)/C9</x:f>
        <x:v>0</x:v>
      </x:c>
      <x:c r="G9" s="66" t="str">
        <x:f>IF(COUNTIFS('Raw Results'!$A$2:$A$49,A9,'Raw Results'!$B$2:$B$49,B9,'Raw Results'!$N$2:$N$49,TRUE)=0,"",(IF('Raw Results'!$N$14="True",'Raw Results'!$L$14,0)+IF('Raw Results'!$N$15="True",'Raw Results'!$L$15,0)+IF('Raw Results'!$N$16="True",'Raw Results'!$L$16,0))/COUNTIFS('Raw Results'!$A$2:$A$49,A9,'Raw Results'!$B$2:$B$49,B9,'Raw Results'!$N$2:$N$49,TRUE))</x:f>
      </x:c>
      <x:c r="H9" s="68" t="n">
        <x:f>AVERAGEIFS('Raw Results'!$M$2:$M$49,'Raw Results'!$A$2:$A$49,A9,'Raw Results'!$B$2:$B$49,B9)</x:f>
        <x:v>0.007116399977045755</x:v>
      </x:c>
      <x:c r="I9" s="64" t="n">
        <x:f>COUNTIFS('Raw Results'!$A$2:$A$49,A9,'Raw Results'!$B$2:$B$49,B9,'Raw Results'!$N$2:$N$49,TRUE)/C9</x:f>
        <x:v>0</x:v>
      </x:c>
      <x:c r="J9" s="66" t="n">
        <x:f>IF(COUNTIFS('Raw Results'!$A$2:$A$49,A9,'Raw Results'!$B$2:$B$49,B9,'Raw Results'!$Q$2:$Q$49,TRUE)=0,"",(IF('Raw Results'!$Q$14="True",'Raw Results'!$O$14,0)+IF('Raw Results'!$Q$15="True",'Raw Results'!$O$15,0)+IF('Raw Results'!$Q$16="True",'Raw Results'!$O$16,0))/COUNTIFS('Raw Results'!$A$2:$A$49,A9,'Raw Results'!$B$2:$B$49,B9,'Raw Results'!$Q$2:$Q$49,TRUE))</x:f>
        <x:v>33</x:v>
      </x:c>
      <x:c r="K9" s="68" t="n">
        <x:f>AVERAGEIFS('Raw Results'!$P$2:$P$49,'Raw Results'!$A$2:$A$49,A9,'Raw Results'!$B$2:$B$49,B9)</x:f>
        <x:v>0.024032400009067107</x:v>
      </x:c>
      <x:c r="L9" s="64" t="n">
        <x:f>COUNTIFS('Raw Results'!$A$2:$A$49,A9,'Raw Results'!$B$2:$B$49,B9,'Raw Results'!$Q$2:$Q$49,TRUE)/C9</x:f>
        <x:v>1</x:v>
      </x:c>
      <x:c r="M9" s="66" t="n">
        <x:f>IF(COUNTIFS('Raw Results'!$A$2:$A$49,A9,'Raw Results'!$B$2:$B$49,B9,'Raw Results'!$T$2:$T$49,TRUE)=0,"",(IF('Raw Results'!$T$14="True",'Raw Results'!$R$14,0)+IF('Raw Results'!$T$15="True",'Raw Results'!$R$15,0)+IF('Raw Results'!$T$16="True",'Raw Results'!$R$16,0))/COUNTIFS('Raw Results'!$A$2:$A$49,A9,'Raw Results'!$B$2:$B$49,B9,'Raw Results'!$T$2:$T$49,TRUE))</x:f>
        <x:v>33.666666666666664</x:v>
      </x:c>
      <x:c r="N9" s="68" t="n">
        <x:f>AVERAGEIFS('Raw Results'!$S$2:$S$49,'Raw Results'!$A$2:$A$49,A9,'Raw Results'!$B$2:$B$49,B9)</x:f>
        <x:v>0.01711156665502737</x:v>
      </x:c>
      <x:c r="O9" s="64" t="n">
        <x:f>COUNTIFS('Raw Results'!$A$2:$A$49,A9,'Raw Results'!$B$2:$B$49,B9,'Raw Results'!$T$2:$T$49,TRUE)/C9</x:f>
        <x:v>1</x:v>
      </x:c>
      <x:c r="P9" s="66" t="n">
        <x:f>IF(COUNTIFS('Raw Results'!$A$2:$A$49,A9,'Raw Results'!$B$2:$B$49,B9,'Raw Results'!$W$2:$W$49,TRUE)=0,"",(IF('Raw Results'!$W$14="True",'Raw Results'!$U$14,0)+IF('Raw Results'!$W$15="True",'Raw Results'!$U$15,0)+IF('Raw Results'!$W$16="True",'Raw Results'!$U$16,0))/COUNTIFS('Raw Results'!$A$2:$A$49,A9,'Raw Results'!$B$2:$B$49,B9,'Raw Results'!$W$2:$W$49,TRUE))</x:f>
        <x:v>33.333333333333336</x:v>
      </x:c>
      <x:c r="Q9" s="68" t="n">
        <x:f>AVERAGEIFS('Raw Results'!$V$2:$V$49,'Raw Results'!$A$2:$A$49,A9,'Raw Results'!$B$2:$B$49,B9)</x:f>
        <x:v>0.8262901000174073</x:v>
      </x:c>
      <x:c r="R9" s="64" t="n">
        <x:f>COUNTIFS('Raw Results'!$A$2:$A$49,A9,'Raw Results'!$B$2:$B$49,B9,'Raw Results'!$W$2:$W$49,TRUE)/C9</x:f>
        <x:v>1</x:v>
      </x:c>
    </x:row>
    <x:row r="10">
      <x:c r="A10" s="62" t="n">
        <x:v>100</x:v>
      </x:c>
      <x:c r="B10" s="90" t="n">
        <x:v>0.3</x:v>
      </x:c>
      <x:c r="C10" s="62" t="n">
        <x:f>COUNTIFS('Raw Results'!$A$2:$A$49,A10,'Raw Results'!$B$2:$B$49,B10)</x:f>
        <x:v>3</x:v>
      </x:c>
      <x:c r="D10" s="66" t="n">
        <x:f>IF(COUNTIFS('Raw Results'!$A$2:$A$49,A10,'Raw Results'!$B$2:$B$49,B10,'Raw Results'!$J$2:$J$49,TRUE)=0,"",(IF('Raw Results'!$J$17="True",'Raw Results'!$H$17,0)+IF('Raw Results'!$J$18="True",'Raw Results'!$H$18,0)+IF('Raw Results'!$J$19="True",'Raw Results'!$H$19,0))/COUNTIFS('Raw Results'!$A$2:$A$49,A10,'Raw Results'!$B$2:$B$49,B10,'Raw Results'!$J$2:$J$49,TRUE))</x:f>
        <x:v>19</x:v>
      </x:c>
      <x:c r="E10" s="68" t="n">
        <x:f>AVERAGEIFS('Raw Results'!$I$2:$I$49,'Raw Results'!$A$2:$A$49,A10,'Raw Results'!$B$2:$B$49,B10)</x:f>
        <x:v>0.028456766662808757</x:v>
      </x:c>
      <x:c r="F10" s="64" t="n">
        <x:f>COUNTIFS('Raw Results'!$A$2:$A$49,A10,'Raw Results'!$B$2:$B$49,B10,'Raw Results'!$J$2:$J$49,TRUE)/C10</x:f>
        <x:v>1</x:v>
      </x:c>
      <x:c r="G10" s="66" t="n">
        <x:f>IF(COUNTIFS('Raw Results'!$A$2:$A$49,A10,'Raw Results'!$B$2:$B$49,B10,'Raw Results'!$N$2:$N$49,TRUE)=0,"",(IF('Raw Results'!$N$17="True",'Raw Results'!$L$17,0)+IF('Raw Results'!$N$18="True",'Raw Results'!$L$18,0)+IF('Raw Results'!$N$19="True",'Raw Results'!$L$19,0))/COUNTIFS('Raw Results'!$A$2:$A$49,A10,'Raw Results'!$B$2:$B$49,B10,'Raw Results'!$N$2:$N$49,TRUE))</x:f>
        <x:v>20.5</x:v>
      </x:c>
      <x:c r="H10" s="68" t="n">
        <x:f>AVERAGEIFS('Raw Results'!$M$2:$M$49,'Raw Results'!$A$2:$A$49,A10,'Raw Results'!$B$2:$B$49,B10)</x:f>
        <x:v>0.020340733346529305</x:v>
      </x:c>
      <x:c r="I10" s="64" t="n">
        <x:f>COUNTIFS('Raw Results'!$A$2:$A$49,A10,'Raw Results'!$B$2:$B$49,B10,'Raw Results'!$N$2:$N$49,TRUE)/C10</x:f>
        <x:v>0.6666666666666666</x:v>
      </x:c>
      <x:c r="J10" s="66" t="n">
        <x:f>IF(COUNTIFS('Raw Results'!$A$2:$A$49,A10,'Raw Results'!$B$2:$B$49,B10,'Raw Results'!$Q$2:$Q$49,TRUE)=0,"",(IF('Raw Results'!$Q$17="True",'Raw Results'!$O$17,0)+IF('Raw Results'!$Q$18="True",'Raw Results'!$O$18,0)+IF('Raw Results'!$Q$19="True",'Raw Results'!$O$19,0))/COUNTIFS('Raw Results'!$A$2:$A$49,A10,'Raw Results'!$B$2:$B$49,B10,'Raw Results'!$Q$2:$Q$49,TRUE))</x:f>
        <x:v>20.333333333333332</x:v>
      </x:c>
      <x:c r="K10" s="68" t="n">
        <x:f>AVERAGEIFS('Raw Results'!$P$2:$P$49,'Raw Results'!$A$2:$A$49,A10,'Raw Results'!$B$2:$B$49,B10)</x:f>
        <x:v>0.029883733368478715</x:v>
      </x:c>
      <x:c r="L10" s="64" t="n">
        <x:f>COUNTIFS('Raw Results'!$A$2:$A$49,A10,'Raw Results'!$B$2:$B$49,B10,'Raw Results'!$Q$2:$Q$49,TRUE)/C10</x:f>
        <x:v>1</x:v>
      </x:c>
      <x:c r="M10" s="66" t="n">
        <x:f>IF(COUNTIFS('Raw Results'!$A$2:$A$49,A10,'Raw Results'!$B$2:$B$49,B10,'Raw Results'!$T$2:$T$49,TRUE)=0,"",(IF('Raw Results'!$T$17="True",'Raw Results'!$R$17,0)+IF('Raw Results'!$T$18="True",'Raw Results'!$R$18,0)+IF('Raw Results'!$T$19="True",'Raw Results'!$R$19,0))/COUNTIFS('Raw Results'!$A$2:$A$49,A10,'Raw Results'!$B$2:$B$49,B10,'Raw Results'!$T$2:$T$49,TRUE))</x:f>
        <x:v>20.666666666666668</x:v>
      </x:c>
      <x:c r="N10" s="68" t="n">
        <x:f>AVERAGEIFS('Raw Results'!$S$2:$S$49,'Raw Results'!$A$2:$A$49,A10,'Raw Results'!$B$2:$B$49,B10)</x:f>
        <x:v>0.030761033354792744</x:v>
      </x:c>
      <x:c r="O10" s="64" t="n">
        <x:f>COUNTIFS('Raw Results'!$A$2:$A$49,A10,'Raw Results'!$B$2:$B$49,B10,'Raw Results'!$T$2:$T$49,TRUE)/C10</x:f>
        <x:v>1</x:v>
      </x:c>
      <x:c r="P10" s="66" t="n">
        <x:f>IF(COUNTIFS('Raw Results'!$A$2:$A$49,A10,'Raw Results'!$B$2:$B$49,B10,'Raw Results'!$W$2:$W$49,TRUE)=0,"",(IF('Raw Results'!$W$17="True",'Raw Results'!$U$17,0)+IF('Raw Results'!$W$18="True",'Raw Results'!$U$18,0)+IF('Raw Results'!$W$19="True",'Raw Results'!$U$19,0))/COUNTIFS('Raw Results'!$A$2:$A$49,A10,'Raw Results'!$B$2:$B$49,B10,'Raw Results'!$W$2:$W$49,TRUE))</x:f>
        <x:v>19.666666666666668</x:v>
      </x:c>
      <x:c r="Q10" s="68" t="n">
        <x:f>AVERAGEIFS('Raw Results'!$V$2:$V$49,'Raw Results'!$A$2:$A$49,A10,'Raw Results'!$B$2:$B$49,B10)</x:f>
        <x:v>0.6065734666578161</x:v>
      </x:c>
      <x:c r="R10" s="64" t="n">
        <x:f>COUNTIFS('Raw Results'!$A$2:$A$49,A10,'Raw Results'!$B$2:$B$49,B10,'Raw Results'!$W$2:$W$49,TRUE)/C10</x:f>
        <x:v>1</x:v>
      </x:c>
    </x:row>
    <x:row r="11">
      <x:c r="A11" s="62" t="n">
        <x:v>100</x:v>
      </x:c>
      <x:c r="B11" s="90" t="n">
        <x:v>0.5</x:v>
      </x:c>
      <x:c r="C11" s="62" t="n">
        <x:f>COUNTIFS('Raw Results'!$A$2:$A$49,A11,'Raw Results'!$B$2:$B$49,B11)</x:f>
        <x:v>3</x:v>
      </x:c>
      <x:c r="D11" s="66" t="n">
        <x:f>IF(COUNTIFS('Raw Results'!$A$2:$A$49,A11,'Raw Results'!$B$2:$B$49,B11,'Raw Results'!$J$2:$J$49,TRUE)=0,"",(IF('Raw Results'!$J$20="True",'Raw Results'!$H$20,0)+IF('Raw Results'!$J$21="True",'Raw Results'!$H$21,0)+IF('Raw Results'!$J$22="True",'Raw Results'!$H$22,0))/COUNTIFS('Raw Results'!$A$2:$A$49,A11,'Raw Results'!$B$2:$B$49,B11,'Raw Results'!$J$2:$J$49,TRUE))</x:f>
        <x:v>28</x:v>
      </x:c>
      <x:c r="E11" s="68" t="n">
        <x:f>AVERAGEIFS('Raw Results'!$I$2:$I$49,'Raw Results'!$A$2:$A$49,A11,'Raw Results'!$B$2:$B$49,B11)</x:f>
        <x:v>0.14172486665969095</x:v>
      </x:c>
      <x:c r="F11" s="64" t="n">
        <x:f>COUNTIFS('Raw Results'!$A$2:$A$49,A11,'Raw Results'!$B$2:$B$49,B11,'Raw Results'!$J$2:$J$49,TRUE)/C11</x:f>
        <x:v>1</x:v>
      </x:c>
      <x:c r="G11" s="66" t="n">
        <x:f>IF(COUNTIFS('Raw Results'!$A$2:$A$49,A11,'Raw Results'!$B$2:$B$49,B11,'Raw Results'!$N$2:$N$49,TRUE)=0,"",(IF('Raw Results'!$N$20="True",'Raw Results'!$L$20,0)+IF('Raw Results'!$N$21="True",'Raw Results'!$L$21,0)+IF('Raw Results'!$N$22="True",'Raw Results'!$L$22,0))/COUNTIFS('Raw Results'!$A$2:$A$49,A11,'Raw Results'!$B$2:$B$49,B11,'Raw Results'!$N$2:$N$49,TRUE))</x:f>
        <x:v>22.666666666666668</x:v>
      </x:c>
      <x:c r="H11" s="68" t="n">
        <x:f>AVERAGEIFS('Raw Results'!$M$2:$M$49,'Raw Results'!$A$2:$A$49,A11,'Raw Results'!$B$2:$B$49,B11)</x:f>
        <x:v>0.1023946666973643</x:v>
      </x:c>
      <x:c r="I11" s="64" t="n">
        <x:f>COUNTIFS('Raw Results'!$A$2:$A$49,A11,'Raw Results'!$B$2:$B$49,B11,'Raw Results'!$N$2:$N$49,TRUE)/C11</x:f>
        <x:v>1</x:v>
      </x:c>
      <x:c r="J11" s="66" t="n">
        <x:f>IF(COUNTIFS('Raw Results'!$A$2:$A$49,A11,'Raw Results'!$B$2:$B$49,B11,'Raw Results'!$Q$2:$Q$49,TRUE)=0,"",(IF('Raw Results'!$Q$20="True",'Raw Results'!$O$20,0)+IF('Raw Results'!$Q$21="True",'Raw Results'!$O$21,0)+IF('Raw Results'!$Q$22="True",'Raw Results'!$O$22,0))/COUNTIFS('Raw Results'!$A$2:$A$49,A11,'Raw Results'!$B$2:$B$49,B11,'Raw Results'!$Q$2:$Q$49,TRUE))</x:f>
        <x:v>26.666666666666668</x:v>
      </x:c>
      <x:c r="K11" s="68" t="n">
        <x:f>AVERAGEIFS('Raw Results'!$P$2:$P$49,'Raw Results'!$A$2:$A$49,A11,'Raw Results'!$B$2:$B$49,B11)</x:f>
        <x:v>0.03827123334243273</x:v>
      </x:c>
      <x:c r="L11" s="64" t="n">
        <x:f>COUNTIFS('Raw Results'!$A$2:$A$49,A11,'Raw Results'!$B$2:$B$49,B11,'Raw Results'!$Q$2:$Q$49,TRUE)/C11</x:f>
        <x:v>1</x:v>
      </x:c>
      <x:c r="M11" s="66" t="n">
        <x:f>IF(COUNTIFS('Raw Results'!$A$2:$A$49,A11,'Raw Results'!$B$2:$B$49,B11,'Raw Results'!$T$2:$T$49,TRUE)=0,"",(IF('Raw Results'!$T$20="True",'Raw Results'!$R$20,0)+IF('Raw Results'!$T$21="True",'Raw Results'!$R$21,0)+IF('Raw Results'!$T$22="True",'Raw Results'!$R$22,0))/COUNTIFS('Raw Results'!$A$2:$A$49,A11,'Raw Results'!$B$2:$B$49,B11,'Raw Results'!$T$2:$T$49,TRUE))</x:f>
        <x:v>27.666666666666668</x:v>
      </x:c>
      <x:c r="N11" s="68" t="n">
        <x:f>AVERAGEIFS('Raw Results'!$S$2:$S$49,'Raw Results'!$A$2:$A$49,A11,'Raw Results'!$B$2:$B$49,B11)</x:f>
        <x:v>0.04969370000374814</x:v>
      </x:c>
      <x:c r="O11" s="64" t="n">
        <x:f>COUNTIFS('Raw Results'!$A$2:$A$49,A11,'Raw Results'!$B$2:$B$49,B11,'Raw Results'!$T$2:$T$49,TRUE)/C11</x:f>
        <x:v>1</x:v>
      </x:c>
      <x:c r="P11" s="66" t="n">
        <x:f>IF(COUNTIFS('Raw Results'!$A$2:$A$49,A11,'Raw Results'!$B$2:$B$49,B11,'Raw Results'!$W$2:$W$49,TRUE)=0,"",(IF('Raw Results'!$W$20="True",'Raw Results'!$U$20,0)+IF('Raw Results'!$W$21="True",'Raw Results'!$U$21,0)+IF('Raw Results'!$W$22="True",'Raw Results'!$U$22,0))/COUNTIFS('Raw Results'!$A$2:$A$49,A11,'Raw Results'!$B$2:$B$49,B11,'Raw Results'!$W$2:$W$49,TRUE))</x:f>
        <x:v>22.666666666666668</x:v>
      </x:c>
      <x:c r="Q11" s="68" t="n">
        <x:f>AVERAGEIFS('Raw Results'!$V$2:$V$49,'Raw Results'!$A$2:$A$49,A11,'Raw Results'!$B$2:$B$49,B11)</x:f>
        <x:v>0.5485995666628393</x:v>
      </x:c>
      <x:c r="R11" s="64" t="n">
        <x:f>COUNTIFS('Raw Results'!$A$2:$A$49,A11,'Raw Results'!$B$2:$B$49,B11,'Raw Results'!$W$2:$W$49,TRUE)/C11</x:f>
        <x:v>1</x:v>
      </x:c>
    </x:row>
    <x:row r="12">
      <x:c r="A12" s="62" t="n">
        <x:v>100</x:v>
      </x:c>
      <x:c r="B12" s="90" t="n">
        <x:v>0.7</x:v>
      </x:c>
      <x:c r="C12" s="62" t="n">
        <x:f>COUNTIFS('Raw Results'!$A$2:$A$49,A12,'Raw Results'!$B$2:$B$49,B12)</x:f>
        <x:v>3</x:v>
      </x:c>
      <x:c r="D12" s="66" t="n">
        <x:f>IF(COUNTIFS('Raw Results'!$A$2:$A$49,A12,'Raw Results'!$B$2:$B$49,B12,'Raw Results'!$J$2:$J$49,TRUE)=0,"",(IF('Raw Results'!$J$23="True",'Raw Results'!$H$23,0)+IF('Raw Results'!$J$24="True",'Raw Results'!$H$24,0)+IF('Raw Results'!$J$25="True",'Raw Results'!$H$25,0))/COUNTIFS('Raw Results'!$A$2:$A$49,A12,'Raw Results'!$B$2:$B$49,B12,'Raw Results'!$J$2:$J$49,TRUE))</x:f>
        <x:v>34.333333333333336</x:v>
      </x:c>
      <x:c r="E12" s="68" t="n">
        <x:f>AVERAGEIFS('Raw Results'!$I$2:$I$49,'Raw Results'!$A$2:$A$49,A12,'Raw Results'!$B$2:$B$49,B12)</x:f>
        <x:v>0.1497981000187186</x:v>
      </x:c>
      <x:c r="F12" s="64" t="n">
        <x:f>COUNTIFS('Raw Results'!$A$2:$A$49,A12,'Raw Results'!$B$2:$B$49,B12,'Raw Results'!$J$2:$J$49,TRUE)/C12</x:f>
        <x:v>1</x:v>
      </x:c>
      <x:c r="G12" s="66" t="n">
        <x:f>IF(COUNTIFS('Raw Results'!$A$2:$A$49,A12,'Raw Results'!$B$2:$B$49,B12,'Raw Results'!$N$2:$N$49,TRUE)=0,"",(IF('Raw Results'!$N$23="True",'Raw Results'!$L$23,0)+IF('Raw Results'!$N$24="True",'Raw Results'!$L$24,0)+IF('Raw Results'!$N$25="True",'Raw Results'!$L$25,0))/COUNTIFS('Raw Results'!$A$2:$A$49,A12,'Raw Results'!$B$2:$B$49,B12,'Raw Results'!$N$2:$N$49,TRUE))</x:f>
        <x:v>30</x:v>
      </x:c>
      <x:c r="H12" s="68" t="n">
        <x:f>AVERAGEIFS('Raw Results'!$M$2:$M$49,'Raw Results'!$A$2:$A$49,A12,'Raw Results'!$B$2:$B$49,B12)</x:f>
        <x:v>0.10535626666387543</x:v>
      </x:c>
      <x:c r="I12" s="64" t="n">
        <x:f>COUNTIFS('Raw Results'!$A$2:$A$49,A12,'Raw Results'!$B$2:$B$49,B12,'Raw Results'!$N$2:$N$49,TRUE)/C12</x:f>
        <x:v>1</x:v>
      </x:c>
      <x:c r="J12" s="66" t="n">
        <x:f>IF(COUNTIFS('Raw Results'!$A$2:$A$49,A12,'Raw Results'!$B$2:$B$49,B12,'Raw Results'!$Q$2:$Q$49,TRUE)=0,"",(IF('Raw Results'!$Q$23="True",'Raw Results'!$O$23,0)+IF('Raw Results'!$Q$24="True",'Raw Results'!$O$24,0)+IF('Raw Results'!$Q$25="True",'Raw Results'!$O$25,0))/COUNTIFS('Raw Results'!$A$2:$A$49,A12,'Raw Results'!$B$2:$B$49,B12,'Raw Results'!$Q$2:$Q$49,TRUE))</x:f>
        <x:v>35</x:v>
      </x:c>
      <x:c r="K12" s="68" t="n">
        <x:f>AVERAGEIFS('Raw Results'!$P$2:$P$49,'Raw Results'!$A$2:$A$49,A12,'Raw Results'!$B$2:$B$49,B12)</x:f>
        <x:v>0.04840883333235979</x:v>
      </x:c>
      <x:c r="L12" s="64" t="n">
        <x:f>COUNTIFS('Raw Results'!$A$2:$A$49,A12,'Raw Results'!$B$2:$B$49,B12,'Raw Results'!$Q$2:$Q$49,TRUE)/C12</x:f>
        <x:v>1</x:v>
      </x:c>
      <x:c r="M12" s="66" t="n">
        <x:f>IF(COUNTIFS('Raw Results'!$A$2:$A$49,A12,'Raw Results'!$B$2:$B$49,B12,'Raw Results'!$T$2:$T$49,TRUE)=0,"",(IF('Raw Results'!$T$23="True",'Raw Results'!$R$23,0)+IF('Raw Results'!$T$24="True",'Raw Results'!$R$24,0)+IF('Raw Results'!$T$25="True",'Raw Results'!$R$25,0))/COUNTIFS('Raw Results'!$A$2:$A$49,A12,'Raw Results'!$B$2:$B$49,B12,'Raw Results'!$T$2:$T$49,TRUE))</x:f>
        <x:v>37</x:v>
      </x:c>
      <x:c r="N12" s="68" t="n">
        <x:f>AVERAGEIFS('Raw Results'!$S$2:$S$49,'Raw Results'!$A$2:$A$49,A12,'Raw Results'!$B$2:$B$49,B12)</x:f>
        <x:v>0.11930946664263804</x:v>
      </x:c>
      <x:c r="O12" s="64" t="n">
        <x:f>COUNTIFS('Raw Results'!$A$2:$A$49,A12,'Raw Results'!$B$2:$B$49,B12,'Raw Results'!$T$2:$T$49,TRUE)/C12</x:f>
        <x:v>1</x:v>
      </x:c>
      <x:c r="P12" s="66" t="n">
        <x:f>IF(COUNTIFS('Raw Results'!$A$2:$A$49,A12,'Raw Results'!$B$2:$B$49,B12,'Raw Results'!$W$2:$W$49,TRUE)=0,"",(IF('Raw Results'!$W$23="True",'Raw Results'!$U$23,0)+IF('Raw Results'!$W$24="True",'Raw Results'!$U$24,0)+IF('Raw Results'!$W$25="True",'Raw Results'!$U$25,0))/COUNTIFS('Raw Results'!$A$2:$A$49,A12,'Raw Results'!$B$2:$B$49,B12,'Raw Results'!$W$2:$W$49,TRUE))</x:f>
        <x:v>31.666666666666668</x:v>
      </x:c>
      <x:c r="Q12" s="68" t="n">
        <x:f>AVERAGEIFS('Raw Results'!$V$2:$V$49,'Raw Results'!$A$2:$A$49,A12,'Raw Results'!$B$2:$B$49,B12)</x:f>
        <x:v>0.7948793666631294</x:v>
      </x:c>
      <x:c r="R12" s="64" t="n">
        <x:f>COUNTIFS('Raw Results'!$A$2:$A$49,A12,'Raw Results'!$B$2:$B$49,B12,'Raw Results'!$W$2:$W$49,TRUE)/C12</x:f>
        <x:v>1</x:v>
      </x:c>
    </x:row>
    <x:row r="13">
      <x:c r="A13" s="62" t="n">
        <x:v>200</x:v>
      </x:c>
      <x:c r="B13" s="90" t="n">
        <x:v>0.1</x:v>
      </x:c>
      <x:c r="C13" s="62" t="n">
        <x:f>COUNTIFS('Raw Results'!$A$2:$A$49,A13,'Raw Results'!$B$2:$B$49,B13)</x:f>
        <x:v>3</x:v>
      </x:c>
      <x:c r="D13" s="66" t="n">
        <x:f>IF(COUNTIFS('Raw Results'!$A$2:$A$49,A13,'Raw Results'!$B$2:$B$49,B13,'Raw Results'!$J$2:$J$49,TRUE)=0,"",(IF('Raw Results'!$J$26="True",'Raw Results'!$H$26,0)+IF('Raw Results'!$J$27="True",'Raw Results'!$H$27,0)+IF('Raw Results'!$J$28="True",'Raw Results'!$H$28,0))/COUNTIFS('Raw Results'!$A$2:$A$49,A13,'Raw Results'!$B$2:$B$49,B13,'Raw Results'!$J$2:$J$49,TRUE))</x:f>
        <x:v>40.5</x:v>
      </x:c>
      <x:c r="E13" s="68" t="n">
        <x:f>AVERAGEIFS('Raw Results'!$I$2:$I$49,'Raw Results'!$A$2:$A$49,A13,'Raw Results'!$B$2:$B$49,B13)</x:f>
        <x:v>0.07159513334045187</x:v>
      </x:c>
      <x:c r="F13" s="64" t="n">
        <x:f>COUNTIFS('Raw Results'!$A$2:$A$49,A13,'Raw Results'!$B$2:$B$49,B13,'Raw Results'!$J$2:$J$49,TRUE)/C13</x:f>
        <x:v>0.6666666666666666</x:v>
      </x:c>
      <x:c r="G13" s="66" t="str">
        <x:f>IF(COUNTIFS('Raw Results'!$A$2:$A$49,A13,'Raw Results'!$B$2:$B$49,B13,'Raw Results'!$N$2:$N$49,TRUE)=0,"",(IF('Raw Results'!$N$26="True",'Raw Results'!$L$26,0)+IF('Raw Results'!$N$27="True",'Raw Results'!$L$27,0)+IF('Raw Results'!$N$28="True",'Raw Results'!$L$28,0))/COUNTIFS('Raw Results'!$A$2:$A$49,A13,'Raw Results'!$B$2:$B$49,B13,'Raw Results'!$N$2:$N$49,TRUE))</x:f>
      </x:c>
      <x:c r="H13" s="68" t="n">
        <x:f>AVERAGEIFS('Raw Results'!$M$2:$M$49,'Raw Results'!$A$2:$A$49,A13,'Raw Results'!$B$2:$B$49,B13)</x:f>
        <x:v>0.025322300013309967</x:v>
      </x:c>
      <x:c r="I13" s="64" t="n">
        <x:f>COUNTIFS('Raw Results'!$A$2:$A$49,A13,'Raw Results'!$B$2:$B$49,B13,'Raw Results'!$N$2:$N$49,TRUE)/C13</x:f>
        <x:v>0</x:v>
      </x:c>
      <x:c r="J13" s="66" t="n">
        <x:f>IF(COUNTIFS('Raw Results'!$A$2:$A$49,A13,'Raw Results'!$B$2:$B$49,B13,'Raw Results'!$Q$2:$Q$49,TRUE)=0,"",(IF('Raw Results'!$Q$26="True",'Raw Results'!$O$26,0)+IF('Raw Results'!$Q$27="True",'Raw Results'!$O$27,0)+IF('Raw Results'!$Q$28="True",'Raw Results'!$O$28,0))/COUNTIFS('Raw Results'!$A$2:$A$49,A13,'Raw Results'!$B$2:$B$49,B13,'Raw Results'!$Q$2:$Q$49,TRUE))</x:f>
        <x:v>37.666666666666664</x:v>
      </x:c>
      <x:c r="K13" s="68" t="n">
        <x:f>AVERAGEIFS('Raw Results'!$P$2:$P$49,'Raw Results'!$A$2:$A$49,A13,'Raw Results'!$B$2:$B$49,B13)</x:f>
        <x:v>0.11784233333310112</x:v>
      </x:c>
      <x:c r="L13" s="64" t="n">
        <x:f>COUNTIFS('Raw Results'!$A$2:$A$49,A13,'Raw Results'!$B$2:$B$49,B13,'Raw Results'!$Q$2:$Q$49,TRUE)/C13</x:f>
        <x:v>1</x:v>
      </x:c>
      <x:c r="M13" s="66" t="n">
        <x:f>IF(COUNTIFS('Raw Results'!$A$2:$A$49,A13,'Raw Results'!$B$2:$B$49,B13,'Raw Results'!$T$2:$T$49,TRUE)=0,"",(IF('Raw Results'!$T$26="True",'Raw Results'!$R$26,0)+IF('Raw Results'!$T$27="True",'Raw Results'!$R$27,0)+IF('Raw Results'!$T$28="True",'Raw Results'!$R$28,0))/COUNTIFS('Raw Results'!$A$2:$A$49,A13,'Raw Results'!$B$2:$B$49,B13,'Raw Results'!$T$2:$T$49,TRUE))</x:f>
        <x:v>38.333333333333336</x:v>
      </x:c>
      <x:c r="N13" s="68" t="n">
        <x:f>AVERAGEIFS('Raw Results'!$S$2:$S$49,'Raw Results'!$A$2:$A$49,A13,'Raw Results'!$B$2:$B$49,B13)</x:f>
        <x:v>0.1258802333419832</x:v>
      </x:c>
      <x:c r="O13" s="64" t="n">
        <x:f>COUNTIFS('Raw Results'!$A$2:$A$49,A13,'Raw Results'!$B$2:$B$49,B13,'Raw Results'!$T$2:$T$49,TRUE)/C13</x:f>
        <x:v>1</x:v>
      </x:c>
      <x:c r="P13" s="66" t="n">
        <x:f>IF(COUNTIFS('Raw Results'!$A$2:$A$49,A13,'Raw Results'!$B$2:$B$49,B13,'Raw Results'!$W$2:$W$49,TRUE)=0,"",(IF('Raw Results'!$W$26="True",'Raw Results'!$U$26,0)+IF('Raw Results'!$W$27="True",'Raw Results'!$U$27,0)+IF('Raw Results'!$W$28="True",'Raw Results'!$U$28,0))/COUNTIFS('Raw Results'!$A$2:$A$49,A13,'Raw Results'!$B$2:$B$49,B13,'Raw Results'!$W$2:$W$49,TRUE))</x:f>
        <x:v>36.333333333333336</x:v>
      </x:c>
      <x:c r="Q13" s="68" t="n">
        <x:f>AVERAGEIFS('Raw Results'!$V$2:$V$49,'Raw Results'!$A$2:$A$49,A13,'Raw Results'!$B$2:$B$49,B13)</x:f>
        <x:v>2.7285427000024356</x:v>
      </x:c>
      <x:c r="R13" s="64" t="n">
        <x:f>COUNTIFS('Raw Results'!$A$2:$A$49,A13,'Raw Results'!$B$2:$B$49,B13,'Raw Results'!$W$2:$W$49,TRUE)/C13</x:f>
        <x:v>1</x:v>
      </x:c>
    </x:row>
    <x:row r="14">
      <x:c r="A14" s="62" t="n">
        <x:v>200</x:v>
      </x:c>
      <x:c r="B14" s="90" t="n">
        <x:v>0.3</x:v>
      </x:c>
      <x:c r="C14" s="62" t="n">
        <x:f>COUNTIFS('Raw Results'!$A$2:$A$49,A14,'Raw Results'!$B$2:$B$49,B14)</x:f>
        <x:v>3</x:v>
      </x:c>
      <x:c r="D14" s="66" t="n">
        <x:f>IF(COUNTIFS('Raw Results'!$A$2:$A$49,A14,'Raw Results'!$B$2:$B$49,B14,'Raw Results'!$J$2:$J$49,TRUE)=0,"",(IF('Raw Results'!$J$29="True",'Raw Results'!$H$29,0)+IF('Raw Results'!$J$30="True",'Raw Results'!$H$30,0)+IF('Raw Results'!$J$31="True",'Raw Results'!$H$31,0))/COUNTIFS('Raw Results'!$A$2:$A$49,A14,'Raw Results'!$B$2:$B$49,B14,'Raw Results'!$J$2:$J$49,TRUE))</x:f>
        <x:v>33.333333333333336</x:v>
      </x:c>
      <x:c r="E14" s="68" t="n">
        <x:f>AVERAGEIFS('Raw Results'!$I$2:$I$49,'Raw Results'!$A$2:$A$49,A14,'Raw Results'!$B$2:$B$49,B14)</x:f>
        <x:v>0.18788756668800488</x:v>
      </x:c>
      <x:c r="F14" s="64" t="n">
        <x:f>COUNTIFS('Raw Results'!$A$2:$A$49,A14,'Raw Results'!$B$2:$B$49,B14,'Raw Results'!$J$2:$J$49,TRUE)/C14</x:f>
        <x:v>1</x:v>
      </x:c>
      <x:c r="G14" s="66" t="n">
        <x:f>IF(COUNTIFS('Raw Results'!$A$2:$A$49,A14,'Raw Results'!$B$2:$B$49,B14,'Raw Results'!$N$2:$N$49,TRUE)=0,"",(IF('Raw Results'!$N$29="True",'Raw Results'!$L$29,0)+IF('Raw Results'!$N$30="True",'Raw Results'!$L$30,0)+IF('Raw Results'!$N$31="True",'Raw Results'!$L$31,0))/COUNTIFS('Raw Results'!$A$2:$A$49,A14,'Raw Results'!$B$2:$B$49,B14,'Raw Results'!$N$2:$N$49,TRUE))</x:f>
        <x:v>32.333333333333336</x:v>
      </x:c>
      <x:c r="H14" s="68" t="n">
        <x:f>AVERAGEIFS('Raw Results'!$M$2:$M$49,'Raw Results'!$A$2:$A$49,A14,'Raw Results'!$B$2:$B$49,B14)</x:f>
        <x:v>0.13863386667799205</x:v>
      </x:c>
      <x:c r="I14" s="64" t="n">
        <x:f>COUNTIFS('Raw Results'!$A$2:$A$49,A14,'Raw Results'!$B$2:$B$49,B14,'Raw Results'!$N$2:$N$49,TRUE)/C14</x:f>
        <x:v>1</x:v>
      </x:c>
      <x:c r="J14" s="66" t="n">
        <x:f>IF(COUNTIFS('Raw Results'!$A$2:$A$49,A14,'Raw Results'!$B$2:$B$49,B14,'Raw Results'!$Q$2:$Q$49,TRUE)=0,"",(IF('Raw Results'!$Q$29="True",'Raw Results'!$O$29,0)+IF('Raw Results'!$Q$30="True",'Raw Results'!$O$30,0)+IF('Raw Results'!$Q$31="True",'Raw Results'!$O$31,0))/COUNTIFS('Raw Results'!$A$2:$A$49,A14,'Raw Results'!$B$2:$B$49,B14,'Raw Results'!$Q$2:$Q$49,TRUE))</x:f>
        <x:v>32.666666666666664</x:v>
      </x:c>
      <x:c r="K14" s="68" t="n">
        <x:f>AVERAGEIFS('Raw Results'!$P$2:$P$49,'Raw Results'!$A$2:$A$49,A14,'Raw Results'!$B$2:$B$49,B14)</x:f>
        <x:v>0.12419543331877018</x:v>
      </x:c>
      <x:c r="L14" s="64" t="n">
        <x:f>COUNTIFS('Raw Results'!$A$2:$A$49,A14,'Raw Results'!$B$2:$B$49,B14,'Raw Results'!$Q$2:$Q$49,TRUE)/C14</x:f>
        <x:v>1</x:v>
      </x:c>
      <x:c r="M14" s="66" t="n">
        <x:f>IF(COUNTIFS('Raw Results'!$A$2:$A$49,A14,'Raw Results'!$B$2:$B$49,B14,'Raw Results'!$T$2:$T$49,TRUE)=0,"",(IF('Raw Results'!$T$29="True",'Raw Results'!$R$29,0)+IF('Raw Results'!$T$30="True",'Raw Results'!$R$30,0)+IF('Raw Results'!$T$31="True",'Raw Results'!$R$31,0))/COUNTIFS('Raw Results'!$A$2:$A$49,A14,'Raw Results'!$B$2:$B$49,B14,'Raw Results'!$T$2:$T$49,TRUE))</x:f>
        <x:v>32.666666666666664</x:v>
      </x:c>
      <x:c r="N14" s="68" t="n">
        <x:f>AVERAGEIFS('Raw Results'!$S$2:$S$49,'Raw Results'!$A$2:$A$49,A14,'Raw Results'!$B$2:$B$49,B14)</x:f>
        <x:v>0.14694293334226435</x:v>
      </x:c>
      <x:c r="O14" s="64" t="n">
        <x:f>COUNTIFS('Raw Results'!$A$2:$A$49,A14,'Raw Results'!$B$2:$B$49,B14,'Raw Results'!$T$2:$T$49,TRUE)/C14</x:f>
        <x:v>1</x:v>
      </x:c>
      <x:c r="P14" s="66" t="n">
        <x:f>IF(COUNTIFS('Raw Results'!$A$2:$A$49,A14,'Raw Results'!$B$2:$B$49,B14,'Raw Results'!$W$2:$W$49,TRUE)=0,"",(IF('Raw Results'!$W$29="True",'Raw Results'!$U$29,0)+IF('Raw Results'!$W$30="True",'Raw Results'!$U$30,0)+IF('Raw Results'!$W$31="True",'Raw Results'!$U$31,0))/COUNTIFS('Raw Results'!$A$2:$A$49,A14,'Raw Results'!$B$2:$B$49,B14,'Raw Results'!$W$2:$W$49,TRUE))</x:f>
        <x:v>33</x:v>
      </x:c>
      <x:c r="Q14" s="68" t="n">
        <x:f>AVERAGEIFS('Raw Results'!$V$2:$V$49,'Raw Results'!$A$2:$A$49,A14,'Raw Results'!$B$2:$B$49,B14)</x:f>
        <x:v>2.6398622333072126</x:v>
      </x:c>
      <x:c r="R14" s="64" t="n">
        <x:f>COUNTIFS('Raw Results'!$A$2:$A$49,A14,'Raw Results'!$B$2:$B$49,B14,'Raw Results'!$W$2:$W$49,TRUE)/C14</x:f>
        <x:v>1</x:v>
      </x:c>
    </x:row>
    <x:row r="15">
      <x:c r="A15" s="62" t="n">
        <x:v>200</x:v>
      </x:c>
      <x:c r="B15" s="90" t="n">
        <x:v>0.5</x:v>
      </x:c>
      <x:c r="C15" s="62" t="n">
        <x:f>COUNTIFS('Raw Results'!$A$2:$A$49,A15,'Raw Results'!$B$2:$B$49,B15)</x:f>
        <x:v>3</x:v>
      </x:c>
      <x:c r="D15" s="66" t="n">
        <x:f>IF(COUNTIFS('Raw Results'!$A$2:$A$49,A15,'Raw Results'!$B$2:$B$49,B15,'Raw Results'!$J$2:$J$49,TRUE)=0,"",(IF('Raw Results'!$J$32="True",'Raw Results'!$H$32,0)+IF('Raw Results'!$J$33="True",'Raw Results'!$H$33,0)+IF('Raw Results'!$J$34="True",'Raw Results'!$H$34,0))/COUNTIFS('Raw Results'!$A$2:$A$49,A15,'Raw Results'!$B$2:$B$49,B15,'Raw Results'!$J$2:$J$49,TRUE))</x:f>
        <x:v>42.333333333333336</x:v>
      </x:c>
      <x:c r="E15" s="68" t="n">
        <x:f>AVERAGEIFS('Raw Results'!$I$2:$I$49,'Raw Results'!$A$2:$A$49,A15,'Raw Results'!$B$2:$B$49,B15)</x:f>
        <x:v>1.0886541000024106</x:v>
      </x:c>
      <x:c r="F15" s="64" t="n">
        <x:f>COUNTIFS('Raw Results'!$A$2:$A$49,A15,'Raw Results'!$B$2:$B$49,B15,'Raw Results'!$J$2:$J$49,TRUE)/C15</x:f>
        <x:v>1</x:v>
      </x:c>
      <x:c r="G15" s="66" t="n">
        <x:f>IF(COUNTIFS('Raw Results'!$A$2:$A$49,A15,'Raw Results'!$B$2:$B$49,B15,'Raw Results'!$N$2:$N$49,TRUE)=0,"",(IF('Raw Results'!$N$32="True",'Raw Results'!$L$32,0)+IF('Raw Results'!$N$33="True",'Raw Results'!$L$33,0)+IF('Raw Results'!$N$34="True",'Raw Results'!$L$34,0))/COUNTIFS('Raw Results'!$A$2:$A$49,A15,'Raw Results'!$B$2:$B$49,B15,'Raw Results'!$N$2:$N$49,TRUE))</x:f>
        <x:v>38.666666666666664</x:v>
      </x:c>
      <x:c r="H15" s="68" t="n">
        <x:f>AVERAGEIFS('Raw Results'!$M$2:$M$49,'Raw Results'!$A$2:$A$49,A15,'Raw Results'!$B$2:$B$49,B15)</x:f>
        <x:v>0.6843083666559929</x:v>
      </x:c>
      <x:c r="I15" s="64" t="n">
        <x:f>COUNTIFS('Raw Results'!$A$2:$A$49,A15,'Raw Results'!$B$2:$B$49,B15,'Raw Results'!$N$2:$N$49,TRUE)/C15</x:f>
        <x:v>1</x:v>
      </x:c>
      <x:c r="J15" s="66" t="n">
        <x:f>IF(COUNTIFS('Raw Results'!$A$2:$A$49,A15,'Raw Results'!$B$2:$B$49,B15,'Raw Results'!$Q$2:$Q$49,TRUE)=0,"",(IF('Raw Results'!$Q$32="True",'Raw Results'!$O$32,0)+IF('Raw Results'!$Q$33="True",'Raw Results'!$O$33,0)+IF('Raw Results'!$Q$34="True",'Raw Results'!$O$34,0))/COUNTIFS('Raw Results'!$A$2:$A$49,A15,'Raw Results'!$B$2:$B$49,B15,'Raw Results'!$Q$2:$Q$49,TRUE))</x:f>
        <x:v>44</x:v>
      </x:c>
      <x:c r="K15" s="68" t="n">
        <x:f>AVERAGEIFS('Raw Results'!$P$2:$P$49,'Raw Results'!$A$2:$A$49,A15,'Raw Results'!$B$2:$B$49,B15)</x:f>
        <x:v>0.15023466667238003</x:v>
      </x:c>
      <x:c r="L15" s="64" t="n">
        <x:f>COUNTIFS('Raw Results'!$A$2:$A$49,A15,'Raw Results'!$B$2:$B$49,B15,'Raw Results'!$Q$2:$Q$49,TRUE)/C15</x:f>
        <x:v>1</x:v>
      </x:c>
      <x:c r="M15" s="66" t="n">
        <x:f>IF(COUNTIFS('Raw Results'!$A$2:$A$49,A15,'Raw Results'!$B$2:$B$49,B15,'Raw Results'!$T$2:$T$49,TRUE)=0,"",(IF('Raw Results'!$T$32="True",'Raw Results'!$R$32,0)+IF('Raw Results'!$T$33="True",'Raw Results'!$R$33,0)+IF('Raw Results'!$T$34="True",'Raw Results'!$R$34,0))/COUNTIFS('Raw Results'!$A$2:$A$49,A15,'Raw Results'!$B$2:$B$49,B15,'Raw Results'!$T$2:$T$49,TRUE))</x:f>
        <x:v>44</x:v>
      </x:c>
      <x:c r="N15" s="68" t="n">
        <x:f>AVERAGEIFS('Raw Results'!$S$2:$S$49,'Raw Results'!$A$2:$A$49,A15,'Raw Results'!$B$2:$B$49,B15)</x:f>
        <x:v>0.334240933356341</x:v>
      </x:c>
      <x:c r="O15" s="64" t="n">
        <x:f>COUNTIFS('Raw Results'!$A$2:$A$49,A15,'Raw Results'!$B$2:$B$49,B15,'Raw Results'!$T$2:$T$49,TRUE)/C15</x:f>
        <x:v>1</x:v>
      </x:c>
      <x:c r="P15" s="66" t="n">
        <x:f>IF(COUNTIFS('Raw Results'!$A$2:$A$49,A15,'Raw Results'!$B$2:$B$49,B15,'Raw Results'!$W$2:$W$49,TRUE)=0,"",(IF('Raw Results'!$W$32="True",'Raw Results'!$U$32,0)+IF('Raw Results'!$W$33="True",'Raw Results'!$U$33,0)+IF('Raw Results'!$W$34="True",'Raw Results'!$U$34,0))/COUNTIFS('Raw Results'!$A$2:$A$49,A15,'Raw Results'!$B$2:$B$49,B15,'Raw Results'!$W$2:$W$49,TRUE))</x:f>
        <x:v>38</x:v>
      </x:c>
      <x:c r="Q15" s="68" t="n">
        <x:f>AVERAGEIFS('Raw Results'!$V$2:$V$49,'Raw Results'!$A$2:$A$49,A15,'Raw Results'!$B$2:$B$49,B15)</x:f>
        <x:v>2.712008066669417</x:v>
      </x:c>
      <x:c r="R15" s="64" t="n">
        <x:f>COUNTIFS('Raw Results'!$A$2:$A$49,A15,'Raw Results'!$B$2:$B$49,B15,'Raw Results'!$W$2:$W$49,TRUE)/C15</x:f>
        <x:v>1</x:v>
      </x:c>
    </x:row>
    <x:row r="16">
      <x:c r="A16" s="62" t="n">
        <x:v>200</x:v>
      </x:c>
      <x:c r="B16" s="90" t="n">
        <x:v>0.7</x:v>
      </x:c>
      <x:c r="C16" s="62" t="n">
        <x:f>COUNTIFS('Raw Results'!$A$2:$A$49,A16,'Raw Results'!$B$2:$B$49,B16)</x:f>
        <x:v>3</x:v>
      </x:c>
      <x:c r="D16" s="66" t="n">
        <x:f>IF(COUNTIFS('Raw Results'!$A$2:$A$49,A16,'Raw Results'!$B$2:$B$49,B16,'Raw Results'!$J$2:$J$49,TRUE)=0,"",(IF('Raw Results'!$J$35="True",'Raw Results'!$H$35,0)+IF('Raw Results'!$J$36="True",'Raw Results'!$H$36,0)+IF('Raw Results'!$J$37="True",'Raw Results'!$H$37,0))/COUNTIFS('Raw Results'!$A$2:$A$49,A16,'Raw Results'!$B$2:$B$49,B16,'Raw Results'!$J$2:$J$49,TRUE))</x:f>
        <x:v>55.666666666666664</x:v>
      </x:c>
      <x:c r="E16" s="68" t="n">
        <x:f>AVERAGEIFS('Raw Results'!$I$2:$I$49,'Raw Results'!$A$2:$A$49,A16,'Raw Results'!$B$2:$B$49,B16)</x:f>
        <x:v>1.1569792333369453</x:v>
      </x:c>
      <x:c r="F16" s="64" t="n">
        <x:f>COUNTIFS('Raw Results'!$A$2:$A$49,A16,'Raw Results'!$B$2:$B$49,B16,'Raw Results'!$J$2:$J$49,TRUE)/C16</x:f>
        <x:v>1</x:v>
      </x:c>
      <x:c r="G16" s="66" t="n">
        <x:f>IF(COUNTIFS('Raw Results'!$A$2:$A$49,A16,'Raw Results'!$B$2:$B$49,B16,'Raw Results'!$N$2:$N$49,TRUE)=0,"",(IF('Raw Results'!$N$35="True",'Raw Results'!$L$35,0)+IF('Raw Results'!$N$36="True",'Raw Results'!$L$36,0)+IF('Raw Results'!$N$37="True",'Raw Results'!$L$37,0))/COUNTIFS('Raw Results'!$A$2:$A$49,A16,'Raw Results'!$B$2:$B$49,B16,'Raw Results'!$N$2:$N$49,TRUE))</x:f>
        <x:v>53.333333333333336</x:v>
      </x:c>
      <x:c r="H16" s="68" t="n">
        <x:f>AVERAGEIFS('Raw Results'!$M$2:$M$49,'Raw Results'!$A$2:$A$49,A16,'Raw Results'!$B$2:$B$49,B16)</x:f>
        <x:v>0.8452219333266839</x:v>
      </x:c>
      <x:c r="I16" s="64" t="n">
        <x:f>COUNTIFS('Raw Results'!$A$2:$A$49,A16,'Raw Results'!$B$2:$B$49,B16,'Raw Results'!$N$2:$N$49,TRUE)/C16</x:f>
        <x:v>1</x:v>
      </x:c>
      <x:c r="J16" s="66" t="n">
        <x:f>IF(COUNTIFS('Raw Results'!$A$2:$A$49,A16,'Raw Results'!$B$2:$B$49,B16,'Raw Results'!$Q$2:$Q$49,TRUE)=0,"",(IF('Raw Results'!$Q$35="True",'Raw Results'!$O$35,0)+IF('Raw Results'!$Q$36="True",'Raw Results'!$O$36,0)+IF('Raw Results'!$Q$37="True",'Raw Results'!$O$37,0))/COUNTIFS('Raw Results'!$A$2:$A$49,A16,'Raw Results'!$B$2:$B$49,B16,'Raw Results'!$Q$2:$Q$49,TRUE))</x:f>
        <x:v>62.666666666666664</x:v>
      </x:c>
      <x:c r="K16" s="68" t="n">
        <x:f>AVERAGEIFS('Raw Results'!$P$2:$P$49,'Raw Results'!$A$2:$A$49,A16,'Raw Results'!$B$2:$B$49,B16)</x:f>
        <x:v>0.4424798000060643</x:v>
      </x:c>
      <x:c r="L16" s="64" t="n">
        <x:f>COUNTIFS('Raw Results'!$A$2:$A$49,A16,'Raw Results'!$B$2:$B$49,B16,'Raw Results'!$Q$2:$Q$49,TRUE)/C16</x:f>
        <x:v>1</x:v>
      </x:c>
      <x:c r="M16" s="66" t="n">
        <x:f>IF(COUNTIFS('Raw Results'!$A$2:$A$49,A16,'Raw Results'!$B$2:$B$49,B16,'Raw Results'!$T$2:$T$49,TRUE)=0,"",(IF('Raw Results'!$T$35="True",'Raw Results'!$R$35,0)+IF('Raw Results'!$T$36="True",'Raw Results'!$R$36,0)+IF('Raw Results'!$T$37="True",'Raw Results'!$R$37,0))/COUNTIFS('Raw Results'!$A$2:$A$49,A16,'Raw Results'!$B$2:$B$49,B16,'Raw Results'!$T$2:$T$49,TRUE))</x:f>
        <x:v>62.333333333333336</x:v>
      </x:c>
      <x:c r="N16" s="68" t="n">
        <x:f>AVERAGEIFS('Raw Results'!$S$2:$S$49,'Raw Results'!$A$2:$A$49,A16,'Raw Results'!$B$2:$B$49,B16)</x:f>
        <x:v>0.6494487666835388</x:v>
      </x:c>
      <x:c r="O16" s="64" t="n">
        <x:f>COUNTIFS('Raw Results'!$A$2:$A$49,A16,'Raw Results'!$B$2:$B$49,B16,'Raw Results'!$T$2:$T$49,TRUE)/C16</x:f>
        <x:v>1</x:v>
      </x:c>
      <x:c r="P16" s="66" t="n">
        <x:f>IF(COUNTIFS('Raw Results'!$A$2:$A$49,A16,'Raw Results'!$B$2:$B$49,B16,'Raw Results'!$W$2:$W$49,TRUE)=0,"",(IF('Raw Results'!$W$35="True",'Raw Results'!$U$35,0)+IF('Raw Results'!$W$36="True",'Raw Results'!$U$36,0)+IF('Raw Results'!$W$37="True",'Raw Results'!$U$37,0))/COUNTIFS('Raw Results'!$A$2:$A$49,A16,'Raw Results'!$B$2:$B$49,B16,'Raw Results'!$W$2:$W$49,TRUE))</x:f>
        <x:v>53.666666666666664</x:v>
      </x:c>
      <x:c r="Q16" s="68" t="n">
        <x:f>AVERAGEIFS('Raw Results'!$V$2:$V$49,'Raw Results'!$A$2:$A$49,A16,'Raw Results'!$B$2:$B$49,B16)</x:f>
        <x:v>3.493931800010614</x:v>
      </x:c>
      <x:c r="R16" s="64" t="n">
        <x:f>COUNTIFS('Raw Results'!$A$2:$A$49,A16,'Raw Results'!$B$2:$B$49,B16,'Raw Results'!$W$2:$W$49,TRUE)/C16</x:f>
        <x:v>1</x:v>
      </x:c>
    </x:row>
    <x:row r="17">
      <x:c r="A17" s="62" t="n">
        <x:v>500</x:v>
      </x:c>
      <x:c r="B17" s="90" t="n">
        <x:v>0.1</x:v>
      </x:c>
      <x:c r="C17" s="62" t="n">
        <x:f>COUNTIFS('Raw Results'!$A$2:$A$49,A17,'Raw Results'!$B$2:$B$49,B17)</x:f>
        <x:v>3</x:v>
      </x:c>
      <x:c r="D17" s="66" t="n">
        <x:f>IF(COUNTIFS('Raw Results'!$A$2:$A$49,A17,'Raw Results'!$B$2:$B$49,B17,'Raw Results'!$J$2:$J$49,TRUE)=0,"",(IF('Raw Results'!$J$38="True",'Raw Results'!$H$38,0)+IF('Raw Results'!$J$39="True",'Raw Results'!$H$39,0)+IF('Raw Results'!$J$40="True",'Raw Results'!$H$40,0))/COUNTIFS('Raw Results'!$A$2:$A$49,A17,'Raw Results'!$B$2:$B$49,B17,'Raw Results'!$J$2:$J$49,TRUE))</x:f>
        <x:v>61.666666666666664</x:v>
      </x:c>
      <x:c r="E17" s="68" t="n">
        <x:f>AVERAGEIFS('Raw Results'!$I$2:$I$49,'Raw Results'!$A$2:$A$49,A17,'Raw Results'!$B$2:$B$49,B17)</x:f>
        <x:v>1.1650791333328623</x:v>
      </x:c>
      <x:c r="F17" s="64" t="n">
        <x:f>COUNTIFS('Raw Results'!$A$2:$A$49,A17,'Raw Results'!$B$2:$B$49,B17,'Raw Results'!$J$2:$J$49,TRUE)/C17</x:f>
        <x:v>1</x:v>
      </x:c>
      <x:c r="G17" s="66" t="n">
        <x:f>IF(COUNTIFS('Raw Results'!$A$2:$A$49,A17,'Raw Results'!$B$2:$B$49,B17,'Raw Results'!$N$2:$N$49,TRUE)=0,"",(IF('Raw Results'!$N$38="True",'Raw Results'!$L$38,0)+IF('Raw Results'!$N$39="True",'Raw Results'!$L$39,0)+IF('Raw Results'!$N$40="True",'Raw Results'!$L$40,0))/COUNTIFS('Raw Results'!$A$2:$A$49,A17,'Raw Results'!$B$2:$B$49,B17,'Raw Results'!$N$2:$N$49,TRUE))</x:f>
        <x:v>59</x:v>
      </x:c>
      <x:c r="H17" s="68" t="n">
        <x:f>AVERAGEIFS('Raw Results'!$M$2:$M$49,'Raw Results'!$A$2:$A$49,A17,'Raw Results'!$B$2:$B$49,B17)</x:f>
        <x:v>0.7471771000224786</x:v>
      </x:c>
      <x:c r="I17" s="64" t="n">
        <x:f>COUNTIFS('Raw Results'!$A$2:$A$49,A17,'Raw Results'!$B$2:$B$49,B17,'Raw Results'!$N$2:$N$49,TRUE)/C17</x:f>
        <x:v>1</x:v>
      </x:c>
      <x:c r="J17" s="66" t="n">
        <x:f>IF(COUNTIFS('Raw Results'!$A$2:$A$49,A17,'Raw Results'!$B$2:$B$49,B17,'Raw Results'!$Q$2:$Q$49,TRUE)=0,"",(IF('Raw Results'!$Q$38="True",'Raw Results'!$O$38,0)+IF('Raw Results'!$Q$39="True",'Raw Results'!$O$39,0)+IF('Raw Results'!$Q$40="True",'Raw Results'!$O$40,0))/COUNTIFS('Raw Results'!$A$2:$A$49,A17,'Raw Results'!$B$2:$B$49,B17,'Raw Results'!$Q$2:$Q$49,TRUE))</x:f>
        <x:v>61</x:v>
      </x:c>
      <x:c r="K17" s="68" t="n">
        <x:f>AVERAGEIFS('Raw Results'!$P$2:$P$49,'Raw Results'!$A$2:$A$49,A17,'Raw Results'!$B$2:$B$49,B17)</x:f>
        <x:v>1.279786200010373</x:v>
      </x:c>
      <x:c r="L17" s="64" t="n">
        <x:f>COUNTIFS('Raw Results'!$A$2:$A$49,A17,'Raw Results'!$B$2:$B$49,B17,'Raw Results'!$Q$2:$Q$49,TRUE)/C17</x:f>
        <x:v>1</x:v>
      </x:c>
      <x:c r="M17" s="66" t="n">
        <x:f>IF(COUNTIFS('Raw Results'!$A$2:$A$49,A17,'Raw Results'!$B$2:$B$49,B17,'Raw Results'!$T$2:$T$49,TRUE)=0,"",(IF('Raw Results'!$T$38="True",'Raw Results'!$R$38,0)+IF('Raw Results'!$T$39="True",'Raw Results'!$R$39,0)+IF('Raw Results'!$T$40="True",'Raw Results'!$R$40,0))/COUNTIFS('Raw Results'!$A$2:$A$49,A17,'Raw Results'!$B$2:$B$49,B17,'Raw Results'!$T$2:$T$49,TRUE))</x:f>
        <x:v>60.333333333333336</x:v>
      </x:c>
      <x:c r="N17" s="68" t="n">
        <x:f>AVERAGEIFS('Raw Results'!$S$2:$S$49,'Raw Results'!$A$2:$A$49,A17,'Raw Results'!$B$2:$B$49,B17)</x:f>
        <x:v>1.1888167999956447</x:v>
      </x:c>
      <x:c r="O17" s="64" t="n">
        <x:f>COUNTIFS('Raw Results'!$A$2:$A$49,A17,'Raw Results'!$B$2:$B$49,B17,'Raw Results'!$T$2:$T$49,TRUE)/C17</x:f>
        <x:v>1</x:v>
      </x:c>
      <x:c r="P17" s="66" t="n">
        <x:f>IF(COUNTIFS('Raw Results'!$A$2:$A$49,A17,'Raw Results'!$B$2:$B$49,B17,'Raw Results'!$W$2:$W$49,TRUE)=0,"",(IF('Raw Results'!$W$38="True",'Raw Results'!$U$38,0)+IF('Raw Results'!$W$39="True",'Raw Results'!$U$39,0)+IF('Raw Results'!$W$40="True",'Raw Results'!$U$40,0))/COUNTIFS('Raw Results'!$A$2:$A$49,A17,'Raw Results'!$B$2:$B$49,B17,'Raw Results'!$W$2:$W$49,TRUE))</x:f>
        <x:v>60.666666666666664</x:v>
      </x:c>
      <x:c r="Q17" s="68" t="n">
        <x:f>AVERAGEIFS('Raw Results'!$V$2:$V$49,'Raw Results'!$A$2:$A$49,A17,'Raw Results'!$B$2:$B$49,B17)</x:f>
        <x:v>27.903448200008523</x:v>
      </x:c>
      <x:c r="R17" s="64" t="n">
        <x:f>COUNTIFS('Raw Results'!$A$2:$A$49,A17,'Raw Results'!$B$2:$B$49,B17,'Raw Results'!$W$2:$W$49,TRUE)/C17</x:f>
        <x:v>1</x:v>
      </x:c>
    </x:row>
    <x:row r="18">
      <x:c r="A18" s="62" t="n">
        <x:v>500</x:v>
      </x:c>
      <x:c r="B18" s="90" t="n">
        <x:v>0.3</x:v>
      </x:c>
      <x:c r="C18" s="62" t="n">
        <x:f>COUNTIFS('Raw Results'!$A$2:$A$49,A18,'Raw Results'!$B$2:$B$49,B18)</x:f>
        <x:v>3</x:v>
      </x:c>
      <x:c r="D18" s="66" t="n">
        <x:f>IF(COUNTIFS('Raw Results'!$A$2:$A$49,A18,'Raw Results'!$B$2:$B$49,B18,'Raw Results'!$J$2:$J$49,TRUE)=0,"",(IF('Raw Results'!$J$41="True",'Raw Results'!$H$41,0)+IF('Raw Results'!$J$42="True",'Raw Results'!$H$42,0)+IF('Raw Results'!$J$43="True",'Raw Results'!$H$43,0))/COUNTIFS('Raw Results'!$A$2:$A$49,A18,'Raw Results'!$B$2:$B$49,B18,'Raw Results'!$J$2:$J$49,TRUE))</x:f>
        <x:v>59.666666666666664</x:v>
      </x:c>
      <x:c r="E18" s="68" t="n">
        <x:f>AVERAGEIFS('Raw Results'!$I$2:$I$49,'Raw Results'!$A$2:$A$49,A18,'Raw Results'!$B$2:$B$49,B18)</x:f>
        <x:v>2.1782534000036926</x:v>
      </x:c>
      <x:c r="F18" s="64" t="n">
        <x:f>COUNTIFS('Raw Results'!$A$2:$A$49,A18,'Raw Results'!$B$2:$B$49,B18,'Raw Results'!$J$2:$J$49,TRUE)/C18</x:f>
        <x:v>1</x:v>
      </x:c>
      <x:c r="G18" s="66" t="n">
        <x:f>IF(COUNTIFS('Raw Results'!$A$2:$A$49,A18,'Raw Results'!$B$2:$B$49,B18,'Raw Results'!$N$2:$N$49,TRUE)=0,"",(IF('Raw Results'!$N$41="True",'Raw Results'!$L$41,0)+IF('Raw Results'!$N$42="True",'Raw Results'!$L$42,0)+IF('Raw Results'!$N$43="True",'Raw Results'!$L$43,0))/COUNTIFS('Raw Results'!$A$2:$A$49,A18,'Raw Results'!$B$2:$B$49,B18,'Raw Results'!$N$2:$N$49,TRUE))</x:f>
        <x:v>53</x:v>
      </x:c>
      <x:c r="H18" s="68" t="n">
        <x:f>AVERAGEIFS('Raw Results'!$M$2:$M$49,'Raw Results'!$A$2:$A$49,A18,'Raw Results'!$B$2:$B$49,B18)</x:f>
        <x:v>1.074728999985382</x:v>
      </x:c>
      <x:c r="I18" s="64" t="n">
        <x:f>COUNTIFS('Raw Results'!$A$2:$A$49,A18,'Raw Results'!$B$2:$B$49,B18,'Raw Results'!$N$2:$N$49,TRUE)/C18</x:f>
        <x:v>0.3333333333333333</x:v>
      </x:c>
      <x:c r="J18" s="66" t="n">
        <x:f>IF(COUNTIFS('Raw Results'!$A$2:$A$49,A18,'Raw Results'!$B$2:$B$49,B18,'Raw Results'!$Q$2:$Q$49,TRUE)=0,"",(IF('Raw Results'!$Q$41="True",'Raw Results'!$O$41,0)+IF('Raw Results'!$Q$42="True",'Raw Results'!$O$42,0)+IF('Raw Results'!$Q$43="True",'Raw Results'!$O$43,0))/COUNTIFS('Raw Results'!$A$2:$A$49,A18,'Raw Results'!$B$2:$B$49,B18,'Raw Results'!$Q$2:$Q$49,TRUE))</x:f>
        <x:v>60</x:v>
      </x:c>
      <x:c r="K18" s="68" t="n">
        <x:f>AVERAGEIFS('Raw Results'!$P$2:$P$49,'Raw Results'!$A$2:$A$49,A18,'Raw Results'!$B$2:$B$49,B18)</x:f>
        <x:v>1.3261158666573465</x:v>
      </x:c>
      <x:c r="L18" s="64" t="n">
        <x:f>COUNTIFS('Raw Results'!$A$2:$A$49,A18,'Raw Results'!$B$2:$B$49,B18,'Raw Results'!$Q$2:$Q$49,TRUE)/C18</x:f>
        <x:v>1</x:v>
      </x:c>
      <x:c r="M18" s="66" t="n">
        <x:f>IF(COUNTIFS('Raw Results'!$A$2:$A$49,A18,'Raw Results'!$B$2:$B$49,B18,'Raw Results'!$T$2:$T$49,TRUE)=0,"",(IF('Raw Results'!$T$41="True",'Raw Results'!$R$41,0)+IF('Raw Results'!$T$42="True",'Raw Results'!$R$42,0)+IF('Raw Results'!$T$43="True",'Raw Results'!$R$43,0))/COUNTIFS('Raw Results'!$A$2:$A$49,A18,'Raw Results'!$B$2:$B$49,B18,'Raw Results'!$T$2:$T$49,TRUE))</x:f>
        <x:v>62</x:v>
      </x:c>
      <x:c r="N18" s="68" t="n">
        <x:f>AVERAGEIFS('Raw Results'!$S$2:$S$49,'Raw Results'!$A$2:$A$49,A18,'Raw Results'!$B$2:$B$49,B18)</x:f>
        <x:v>1.5343851999884162</x:v>
      </x:c>
      <x:c r="O18" s="64" t="n">
        <x:f>COUNTIFS('Raw Results'!$A$2:$A$49,A18,'Raw Results'!$B$2:$B$49,B18,'Raw Results'!$T$2:$T$49,TRUE)/C18</x:f>
        <x:v>1</x:v>
      </x:c>
      <x:c r="P18" s="66" t="n">
        <x:f>IF(COUNTIFS('Raw Results'!$A$2:$A$49,A18,'Raw Results'!$B$2:$B$49,B18,'Raw Results'!$W$2:$W$49,TRUE)=0,"",(IF('Raw Results'!$W$41="True",'Raw Results'!$U$41,0)+IF('Raw Results'!$W$42="True",'Raw Results'!$U$42,0)+IF('Raw Results'!$W$43="True",'Raw Results'!$U$43,0))/COUNTIFS('Raw Results'!$A$2:$A$49,A18,'Raw Results'!$B$2:$B$49,B18,'Raw Results'!$W$2:$W$49,TRUE))</x:f>
        <x:v>54</x:v>
      </x:c>
      <x:c r="Q18" s="68" t="n">
        <x:f>AVERAGEIFS('Raw Results'!$V$2:$V$49,'Raw Results'!$A$2:$A$49,A18,'Raw Results'!$B$2:$B$49,B18)</x:f>
        <x:v>28.390890433336608</x:v>
      </x:c>
      <x:c r="R18" s="64" t="n">
        <x:f>COUNTIFS('Raw Results'!$A$2:$A$49,A18,'Raw Results'!$B$2:$B$49,B18,'Raw Results'!$W$2:$W$49,TRUE)/C18</x:f>
        <x:v>1</x:v>
      </x:c>
    </x:row>
    <x:row r="19">
      <x:c r="A19" s="62" t="n">
        <x:v>500</x:v>
      </x:c>
      <x:c r="B19" s="90" t="n">
        <x:v>0.5</x:v>
      </x:c>
      <x:c r="C19" s="62" t="n">
        <x:f>COUNTIFS('Raw Results'!$A$2:$A$49,A19,'Raw Results'!$B$2:$B$49,B19)</x:f>
        <x:v>3</x:v>
      </x:c>
      <x:c r="D19" s="66" t="n">
        <x:f>IF(COUNTIFS('Raw Results'!$A$2:$A$49,A19,'Raw Results'!$B$2:$B$49,B19,'Raw Results'!$J$2:$J$49,TRUE)=0,"",(IF('Raw Results'!$J$44="True",'Raw Results'!$H$44,0)+IF('Raw Results'!$J$45="True",'Raw Results'!$H$45,0)+IF('Raw Results'!$J$46="True",'Raw Results'!$H$46,0))/COUNTIFS('Raw Results'!$A$2:$A$49,A19,'Raw Results'!$B$2:$B$49,B19,'Raw Results'!$J$2:$J$49,TRUE))</x:f>
        <x:v>91</x:v>
      </x:c>
      <x:c r="E19" s="68" t="n">
        <x:f>AVERAGEIFS('Raw Results'!$I$2:$I$49,'Raw Results'!$A$2:$A$49,A19,'Raw Results'!$B$2:$B$49,B19)</x:f>
        <x:v>20.653772033343557</x:v>
      </x:c>
      <x:c r="F19" s="64" t="n">
        <x:f>COUNTIFS('Raw Results'!$A$2:$A$49,A19,'Raw Results'!$B$2:$B$49,B19,'Raw Results'!$J$2:$J$49,TRUE)/C19</x:f>
        <x:v>1</x:v>
      </x:c>
      <x:c r="G19" s="66" t="n">
        <x:f>IF(COUNTIFS('Raw Results'!$A$2:$A$49,A19,'Raw Results'!$B$2:$B$49,B19,'Raw Results'!$N$2:$N$49,TRUE)=0,"",(IF('Raw Results'!$N$44="True",'Raw Results'!$L$44,0)+IF('Raw Results'!$N$45="True",'Raw Results'!$L$45,0)+IF('Raw Results'!$N$46="True",'Raw Results'!$L$46,0))/COUNTIFS('Raw Results'!$A$2:$A$49,A19,'Raw Results'!$B$2:$B$49,B19,'Raw Results'!$N$2:$N$49,TRUE))</x:f>
        <x:v>75.33333333333333</x:v>
      </x:c>
      <x:c r="H19" s="68" t="n">
        <x:f>AVERAGEIFS('Raw Results'!$M$2:$M$49,'Raw Results'!$A$2:$A$49,A19,'Raw Results'!$B$2:$B$49,B19)</x:f>
        <x:v>9.785781733342446</x:v>
      </x:c>
      <x:c r="I19" s="64" t="n">
        <x:f>COUNTIFS('Raw Results'!$A$2:$A$49,A19,'Raw Results'!$B$2:$B$49,B19,'Raw Results'!$N$2:$N$49,TRUE)/C19</x:f>
        <x:v>1</x:v>
      </x:c>
      <x:c r="J19" s="66" t="n">
        <x:f>IF(COUNTIFS('Raw Results'!$A$2:$A$49,A19,'Raw Results'!$B$2:$B$49,B19,'Raw Results'!$Q$2:$Q$49,TRUE)=0,"",(IF('Raw Results'!$Q$44="True",'Raw Results'!$O$44,0)+IF('Raw Results'!$Q$45="True",'Raw Results'!$O$45,0)+IF('Raw Results'!$Q$46="True",'Raw Results'!$O$46,0))/COUNTIFS('Raw Results'!$A$2:$A$49,A19,'Raw Results'!$B$2:$B$49,B19,'Raw Results'!$Q$2:$Q$49,TRUE))</x:f>
        <x:v>89.33333333333333</x:v>
      </x:c>
      <x:c r="K19" s="68" t="n">
        <x:f>AVERAGEIFS('Raw Results'!$P$2:$P$49,'Raw Results'!$A$2:$A$49,A19,'Raw Results'!$B$2:$B$49,B19)</x:f>
        <x:v>2.945265833346639</x:v>
      </x:c>
      <x:c r="L19" s="64" t="n">
        <x:f>COUNTIFS('Raw Results'!$A$2:$A$49,A19,'Raw Results'!$B$2:$B$49,B19,'Raw Results'!$Q$2:$Q$49,TRUE)/C19</x:f>
        <x:v>1</x:v>
      </x:c>
      <x:c r="M19" s="66" t="n">
        <x:f>IF(COUNTIFS('Raw Results'!$A$2:$A$49,A19,'Raw Results'!$B$2:$B$49,B19,'Raw Results'!$T$2:$T$49,TRUE)=0,"",(IF('Raw Results'!$T$44="True",'Raw Results'!$R$44,0)+IF('Raw Results'!$T$45="True",'Raw Results'!$R$45,0)+IF('Raw Results'!$T$46="True",'Raw Results'!$R$46,0))/COUNTIFS('Raw Results'!$A$2:$A$49,A19,'Raw Results'!$B$2:$B$49,B19,'Raw Results'!$T$2:$T$49,TRUE))</x:f>
        <x:v>92.66666666666667</x:v>
      </x:c>
      <x:c r="N19" s="68" t="n">
        <x:f>AVERAGEIFS('Raw Results'!$S$2:$S$49,'Raw Results'!$A$2:$A$49,A19,'Raw Results'!$B$2:$B$49,B19)</x:f>
        <x:v>3.740641233336646</x:v>
      </x:c>
      <x:c r="O19" s="64" t="n">
        <x:f>COUNTIFS('Raw Results'!$A$2:$A$49,A19,'Raw Results'!$B$2:$B$49,B19,'Raw Results'!$T$2:$T$49,TRUE)/C19</x:f>
        <x:v>1</x:v>
      </x:c>
      <x:c r="P19" s="66" t="n">
        <x:f>IF(COUNTIFS('Raw Results'!$A$2:$A$49,A19,'Raw Results'!$B$2:$B$49,B19,'Raw Results'!$W$2:$W$49,TRUE)=0,"",(IF('Raw Results'!$W$44="True",'Raw Results'!$U$44,0)+IF('Raw Results'!$W$45="True",'Raw Results'!$U$45,0)+IF('Raw Results'!$W$46="True",'Raw Results'!$U$46,0))/COUNTIFS('Raw Results'!$A$2:$A$49,A19,'Raw Results'!$B$2:$B$49,B19,'Raw Results'!$W$2:$W$49,TRUE))</x:f>
        <x:v>78.33333333333333</x:v>
      </x:c>
      <x:c r="Q19" s="68" t="n">
        <x:f>AVERAGEIFS('Raw Results'!$V$2:$V$49,'Raw Results'!$A$2:$A$49,A19,'Raw Results'!$B$2:$B$49,B19)</x:f>
        <x:v>35.65815523332761</x:v>
      </x:c>
      <x:c r="R19" s="64" t="n">
        <x:f>COUNTIFS('Raw Results'!$A$2:$A$49,A19,'Raw Results'!$B$2:$B$49,B19,'Raw Results'!$W$2:$W$49,TRUE)/C19</x:f>
        <x:v>1</x:v>
      </x:c>
    </x:row>
    <x:row r="20">
      <x:c r="A20" s="62" t="n">
        <x:v>500</x:v>
      </x:c>
      <x:c r="B20" s="90" t="n">
        <x:v>0.7</x:v>
      </x:c>
      <x:c r="C20" s="62" t="n">
        <x:f>COUNTIFS('Raw Results'!$A$2:$A$49,A20,'Raw Results'!$B$2:$B$49,B20)</x:f>
        <x:v>3</x:v>
      </x:c>
      <x:c r="D20" s="66" t="n">
        <x:f>IF(COUNTIFS('Raw Results'!$A$2:$A$49,A20,'Raw Results'!$B$2:$B$49,B20,'Raw Results'!$J$2:$J$49,TRUE)=0,"",(IF('Raw Results'!$J$47="True",'Raw Results'!$H$47,0)+IF('Raw Results'!$J$48="True",'Raw Results'!$H$48,0)+IF('Raw Results'!$J$49="True",'Raw Results'!$H$49,0))/COUNTIFS('Raw Results'!$A$2:$A$49,A20,'Raw Results'!$B$2:$B$49,B20,'Raw Results'!$J$2:$J$49,TRUE))</x:f>
        <x:v>113</x:v>
      </x:c>
      <x:c r="E20" s="68" t="n">
        <x:f>AVERAGEIFS('Raw Results'!$I$2:$I$49,'Raw Results'!$A$2:$A$49,A20,'Raw Results'!$B$2:$B$49,B20)</x:f>
        <x:v>18.771579799999017</x:v>
      </x:c>
      <x:c r="F20" s="64" t="n">
        <x:f>COUNTIFS('Raw Results'!$A$2:$A$49,A20,'Raw Results'!$B$2:$B$49,B20,'Raw Results'!$J$2:$J$49,TRUE)/C20</x:f>
        <x:v>1</x:v>
      </x:c>
      <x:c r="G20" s="66" t="n">
        <x:f>IF(COUNTIFS('Raw Results'!$A$2:$A$49,A20,'Raw Results'!$B$2:$B$49,B20,'Raw Results'!$N$2:$N$49,TRUE)=0,"",(IF('Raw Results'!$N$47="True",'Raw Results'!$L$47,0)+IF('Raw Results'!$N$48="True",'Raw Results'!$L$48,0)+IF('Raw Results'!$N$49="True",'Raw Results'!$L$49,0))/COUNTIFS('Raw Results'!$A$2:$A$49,A20,'Raw Results'!$B$2:$B$49,B20,'Raw Results'!$N$2:$N$49,TRUE))</x:f>
        <x:v>97.66666666666667</x:v>
      </x:c>
      <x:c r="H20" s="68" t="n">
        <x:f>AVERAGEIFS('Raw Results'!$M$2:$M$49,'Raw Results'!$A$2:$A$49,A20,'Raw Results'!$B$2:$B$49,B20)</x:f>
        <x:v>10.584785066680828</x:v>
      </x:c>
      <x:c r="I20" s="64" t="n">
        <x:f>COUNTIFS('Raw Results'!$A$2:$A$49,A20,'Raw Results'!$B$2:$B$49,B20,'Raw Results'!$N$2:$N$49,TRUE)/C20</x:f>
        <x:v>1</x:v>
      </x:c>
      <x:c r="J20" s="66" t="n">
        <x:f>IF(COUNTIFS('Raw Results'!$A$2:$A$49,A20,'Raw Results'!$B$2:$B$49,B20,'Raw Results'!$Q$2:$Q$49,TRUE)=0,"",(IF('Raw Results'!$Q$47="True",'Raw Results'!$O$47,0)+IF('Raw Results'!$Q$48="True",'Raw Results'!$O$48,0)+IF('Raw Results'!$Q$49="True",'Raw Results'!$O$49,0))/COUNTIFS('Raw Results'!$A$2:$A$49,A20,'Raw Results'!$B$2:$B$49,B20,'Raw Results'!$Q$2:$Q$49,TRUE))</x:f>
        <x:v>131</x:v>
      </x:c>
      <x:c r="K20" s="68" t="n">
        <x:f>AVERAGEIFS('Raw Results'!$P$2:$P$49,'Raw Results'!$A$2:$A$49,A20,'Raw Results'!$B$2:$B$49,B20)</x:f>
        <x:v>7.519312633317895</x:v>
      </x:c>
      <x:c r="L20" s="64" t="n">
        <x:f>COUNTIFS('Raw Results'!$A$2:$A$49,A20,'Raw Results'!$B$2:$B$49,B20,'Raw Results'!$Q$2:$Q$49,TRUE)/C20</x:f>
        <x:v>1</x:v>
      </x:c>
      <x:c r="M20" s="66" t="n">
        <x:f>IF(COUNTIFS('Raw Results'!$A$2:$A$49,A20,'Raw Results'!$B$2:$B$49,B20,'Raw Results'!$T$2:$T$49,TRUE)=0,"",(IF('Raw Results'!$T$47="True",'Raw Results'!$R$47,0)+IF('Raw Results'!$T$48="True",'Raw Results'!$R$48,0)+IF('Raw Results'!$T$49="True",'Raw Results'!$R$49,0))/COUNTIFS('Raw Results'!$A$2:$A$49,A20,'Raw Results'!$B$2:$B$49,B20,'Raw Results'!$T$2:$T$49,TRUE))</x:f>
        <x:v>118.66666666666667</x:v>
      </x:c>
      <x:c r="N20" s="68" t="n">
        <x:f>AVERAGEIFS('Raw Results'!$S$2:$S$49,'Raw Results'!$A$2:$A$49,A20,'Raw Results'!$B$2:$B$49,B20)</x:f>
        <x:v>12.672547466684287</x:v>
      </x:c>
      <x:c r="O20" s="64" t="n">
        <x:f>COUNTIFS('Raw Results'!$A$2:$A$49,A20,'Raw Results'!$B$2:$B$49,B20,'Raw Results'!$T$2:$T$49,TRUE)/C20</x:f>
        <x:v>1</x:v>
      </x:c>
      <x:c r="P20" s="66" t="n">
        <x:f>IF(COUNTIFS('Raw Results'!$A$2:$A$49,A20,'Raw Results'!$B$2:$B$49,B20,'Raw Results'!$W$2:$W$49,TRUE)=0,"",(IF('Raw Results'!$W$47="True",'Raw Results'!$U$47,0)+IF('Raw Results'!$W$48="True",'Raw Results'!$U$48,0)+IF('Raw Results'!$W$49="True",'Raw Results'!$U$49,0))/COUNTIFS('Raw Results'!$A$2:$A$49,A20,'Raw Results'!$B$2:$B$49,B20,'Raw Results'!$W$2:$W$49,TRUE))</x:f>
        <x:v>100.66666666666667</x:v>
      </x:c>
      <x:c r="Q20" s="68" t="n">
        <x:f>AVERAGEIFS('Raw Results'!$V$2:$V$49,'Raw Results'!$A$2:$A$49,A20,'Raw Results'!$B$2:$B$49,B20)</x:f>
        <x:v>34.952056033323366</x:v>
      </x:c>
      <x:c r="R20" s="64" t="n">
        <x:f>COUNTIFS('Raw Results'!$A$2:$A$49,A20,'Raw Results'!$B$2:$B$49,B20,'Raw Results'!$W$2:$W$49,TRUE)/C20</x:f>
        <x:v>1</x:v>
      </x:c>
    </x:row>
  </x:sheetData>
  <x:mergeCells>
    <x:mergeCell ref="A1:R1"/>
    <x:mergeCell ref="A2:R2"/>
  </x:mergeCells>
  <x:conditionalFormatting sqref="F5:F20">
    <x:cfRule type="cellIs" dxfId="1" priority="1" operator="lessThan">
      <x:formula>1</x:formula>
    </x:cfRule>
  </x:conditionalFormatting>
  <x:conditionalFormatting sqref="I5:I20">
    <x:cfRule type="cellIs" dxfId="2" priority="2" operator="lessThan">
      <x:formula>1</x:formula>
    </x:cfRule>
  </x:conditionalFormatting>
  <x:conditionalFormatting sqref="L5:L20">
    <x:cfRule type="cellIs" dxfId="3" priority="3" operator="lessThan">
      <x:formula>1</x:formula>
    </x:cfRule>
  </x:conditionalFormatting>
  <x:conditionalFormatting sqref="O5:O20">
    <x:cfRule type="cellIs" dxfId="4" priority="4" operator="lessThan">
      <x:formula>1</x:formula>
    </x:cfRule>
  </x:conditionalFormatting>
  <x:conditionalFormatting sqref="R5:R20">
    <x:cfRule type="cellIs" dxfId="5" priority="5" operator="lessThan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9e8cf1663b144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2" hidden="0" customWidth="1"/>
  </x:cols>
  <x:sheetData>
    <x:row r="1" ht="34" customHeight="1">
      <x:c r="A1" s="88" t="str">
        <x:v>Benchmark Methodology</x:v>
      </x:c>
      <x:c r="B1" s="88"/>
    </x:row>
    <x:row r="3" ht="30" customHeight="1">
      <x:c r="A3" s="106" t="str">
        <x:v>Graph generator</x:v>
      </x:c>
      <x:c r="B3" s="107" t="str">
        <x:v>networkx.random_geometric_graph</x:v>
      </x:c>
    </x:row>
    <x:row r="4" ht="30" customHeight="1">
      <x:c r="A4" s="108" t="str">
        <x:v>Graph sizes (n)</x:v>
      </x:c>
      <x:c r="B4" s="109" t="str">
        <x:v>50, 100, 200, 500</x:v>
      </x:c>
    </x:row>
    <x:row r="5" ht="30" customHeight="1">
      <x:c r="A5" s="108" t="str">
        <x:v>Connection radii</x:v>
      </x:c>
      <x:c r="B5" s="109" t="str">
        <x:v>0.1, 0.3, 0.5, 0.7</x:v>
      </x:c>
    </x:row>
    <x:row r="6" ht="30" customHeight="1">
      <x:c r="A6" s="108" t="str">
        <x:v>Repeats per (n, radius)</x:v>
      </x:c>
      <x:c r="B6" s="109" t="n">
        <x:v>3</x:v>
      </x:c>
    </x:row>
    <x:row r="7" ht="30" customHeight="1">
      <x:c r="A7" s="108" t="str">
        <x:v>Candidate pool</x:v>
      </x:c>
      <x:c r="B7" s="109" t="str">
        <x:v>k_nearest=5 for Grid, Grid Collision, Circle, and Zoomed Square</x:v>
      </x:c>
    </x:row>
    <x:row r="8" ht="30" customHeight="1">
      <x:c r="A8" s="108" t="str">
        <x:v>Base seed</x:v>
      </x:c>
      <x:c r="B8" s="109" t="n">
        <x:v>20260805</x:v>
      </x:c>
    </x:row>
    <x:row r="9" ht="30" customHeight="1">
      <x:c r="A9" s="108" t="str">
        <x:v>Grid</x:v>
      </x:c>
      <x:c r="B9" s="109" t="str">
        <x:v>Existing fixed-grid method using entropy among nearby candidates</x:v>
      </x:c>
    </x:row>
    <x:row r="10" ht="30" customHeight="1">
      <x:c r="A10" s="108" t="str">
        <x:v>Grid Collision</x:v>
      </x:c>
      <x:c r="B10" s="109" t="str">
        <x:v>New fixed-grid method minimizing unresolved signature-pair collisions</x:v>
      </x:c>
    </x:row>
    <x:row r="11" ht="30" customHeight="1">
      <x:c r="A11" s="108" t="str">
        <x:v>Circle</x:v>
      </x:c>
      <x:c r="B11" s="109" t="str">
        <x:v>Existing adaptive circle-neighborhood entropy method</x:v>
      </x:c>
    </x:row>
    <x:row r="12" ht="30" customHeight="1">
      <x:c r="A12" s="108" t="str">
        <x:v>Zoomed Square</x:v>
      </x:c>
      <x:c r="B12" s="109" t="str">
        <x:v>Existing adaptive square-neighborhood entropy method</x:v>
      </x:c>
    </x:row>
    <x:row r="13" ht="30" customHeight="1">
      <x:c r="A13" s="108" t="str">
        <x:v>ICH</x:v>
      </x:c>
      <x:c r="B13" s="109" t="str">
        <x:v>Existing information-content heuristic baseline; no k_nearest parameter</x:v>
      </x:c>
    </x:row>
    <x:row r="14" ht="30" customHeight="1">
      <x:c r="A14" s="108" t="str">
        <x:v>Timing scope</x:v>
      </x:c>
      <x:c r="B14" s="109" t="str">
        <x:v>Each method call, including conversion, distance calculation, selection, and pruning where applicable</x:v>
      </x:c>
    </x:row>
    <x:row r="15" ht="30" customHeight="1">
      <x:c r="A15" s="108" t="str">
        <x:v>Validity</x:v>
      </x:c>
      <x:c r="B15" s="109" t="str">
        <x:v>Each returned set independently checked against the same igraph distance matrix</x:v>
      </x:c>
    </x:row>
    <x:row r="16" ht="30" customHeight="1">
      <x:c r="A16" s="110" t="str">
        <x:v>Known limitation</x:v>
      </x:c>
      <x:c r="B16" s="111" t="str">
        <x:v>Grid and Grid Collision can remain unresolved on sparse/disconnected or cross-cell cases</x:v>
      </x:c>
    </x:row>
  </x:sheetData>
  <x:mergeCells>
    <x:mergeCell ref="A1:B1"/>
  </x:mergeCells>
  <x:pageMargins left="0.7" right="0.7" top="0.75" bottom="0.75" header="0.3" footer="0.3"/>
</x:worksheet>
</file>